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Downloads\"/>
    </mc:Choice>
  </mc:AlternateContent>
  <xr:revisionPtr revIDLastSave="0" documentId="13_ncr:1_{AACD3FAF-4F31-4139-A70D-9CF44CE90CA6}" xr6:coauthVersionLast="43" xr6:coauthVersionMax="43" xr10:uidLastSave="{00000000-0000-0000-0000-000000000000}"/>
  <bookViews>
    <workbookView xWindow="-120" yWindow="-120" windowWidth="20730" windowHeight="11160" tabRatio="778" activeTab="3" xr2:uid="{00000000-000D-0000-FFFF-FFFF00000000}"/>
  </bookViews>
  <sheets>
    <sheet name="Cocina C" sheetId="1" r:id="rId1"/>
    <sheet name="Nueva E" sheetId="2" r:id="rId2"/>
    <sheet name="Omnipotente" sheetId="3" r:id="rId3"/>
    <sheet name="teoria_del_big_bang" sheetId="4" r:id="rId4"/>
  </sheets>
  <definedNames>
    <definedName name="_xlnm.Print_Area" localSheetId="0">'Cocina C'!$A$1:$AB$55</definedName>
    <definedName name="_xlnm.Print_Area" localSheetId="1">'Nueva E'!$A$1:$AB$55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U41" i="4" l="1"/>
  <c r="R41" i="4"/>
  <c r="X41" i="4" s="1"/>
  <c r="N41" i="4"/>
  <c r="K41" i="4"/>
  <c r="I41" i="4"/>
  <c r="I40" i="4" s="1"/>
  <c r="M40" i="4" s="1"/>
  <c r="E41" i="4"/>
  <c r="D41" i="4"/>
  <c r="C41" i="4"/>
  <c r="R40" i="4"/>
  <c r="R39" i="4" s="1"/>
  <c r="R38" i="4" s="1"/>
  <c r="N40" i="4"/>
  <c r="N39" i="4" s="1"/>
  <c r="N38" i="4" s="1"/>
  <c r="D40" i="4"/>
  <c r="I39" i="4"/>
  <c r="I38" i="4" s="1"/>
  <c r="M38" i="4" s="1"/>
  <c r="I37" i="4"/>
  <c r="I36" i="4" s="1"/>
  <c r="M36" i="4" s="1"/>
  <c r="F35" i="4"/>
  <c r="L34" i="4"/>
  <c r="O34" i="4" s="1"/>
  <c r="J34" i="4"/>
  <c r="I34" i="4"/>
  <c r="M34" i="4" s="1"/>
  <c r="E34" i="4"/>
  <c r="D34" i="4"/>
  <c r="F34" i="4" s="1"/>
  <c r="C34" i="4"/>
  <c r="I33" i="4"/>
  <c r="M33" i="4" s="1"/>
  <c r="E33" i="4"/>
  <c r="L33" i="4" s="1"/>
  <c r="O33" i="4" s="1"/>
  <c r="C33" i="4"/>
  <c r="J33" i="4" s="1"/>
  <c r="F29" i="4"/>
  <c r="L28" i="4"/>
  <c r="O28" i="4" s="1"/>
  <c r="J28" i="4"/>
  <c r="I28" i="4"/>
  <c r="M28" i="4" s="1"/>
  <c r="E28" i="4"/>
  <c r="D28" i="4"/>
  <c r="C28" i="4"/>
  <c r="M27" i="4"/>
  <c r="I27" i="4"/>
  <c r="I26" i="4" s="1"/>
  <c r="E27" i="4"/>
  <c r="C27" i="4"/>
  <c r="F20" i="4"/>
  <c r="K19" i="4"/>
  <c r="I19" i="4"/>
  <c r="I18" i="4" s="1"/>
  <c r="M18" i="4" s="1"/>
  <c r="E19" i="4"/>
  <c r="D19" i="4"/>
  <c r="C19" i="4"/>
  <c r="D18" i="4"/>
  <c r="I17" i="4"/>
  <c r="I16" i="4" s="1"/>
  <c r="M16" i="4" s="1"/>
  <c r="E14" i="4"/>
  <c r="J13" i="4"/>
  <c r="I13" i="4"/>
  <c r="M13" i="4" s="1"/>
  <c r="D13" i="4"/>
  <c r="C13" i="4"/>
  <c r="I12" i="4"/>
  <c r="M12" i="4" s="1"/>
  <c r="C12" i="4"/>
  <c r="R41" i="3"/>
  <c r="X41" i="3" s="1"/>
  <c r="N41" i="3"/>
  <c r="U41" i="3" s="1"/>
  <c r="K41" i="3"/>
  <c r="I41" i="3"/>
  <c r="M41" i="3" s="1"/>
  <c r="E41" i="3"/>
  <c r="L41" i="3" s="1"/>
  <c r="O41" i="3" s="1"/>
  <c r="V41" i="3" s="1"/>
  <c r="D41" i="3"/>
  <c r="C41" i="3"/>
  <c r="J41" i="3" s="1"/>
  <c r="S41" i="3" s="1"/>
  <c r="R40" i="3"/>
  <c r="N40" i="3"/>
  <c r="D40" i="3"/>
  <c r="K40" i="3" s="1"/>
  <c r="F35" i="3"/>
  <c r="L34" i="3"/>
  <c r="O34" i="3" s="1"/>
  <c r="J34" i="3"/>
  <c r="I34" i="3"/>
  <c r="M34" i="3" s="1"/>
  <c r="E34" i="3"/>
  <c r="D34" i="3"/>
  <c r="F34" i="3" s="1"/>
  <c r="C34" i="3"/>
  <c r="I33" i="3"/>
  <c r="M33" i="3" s="1"/>
  <c r="E33" i="3"/>
  <c r="L33" i="3" s="1"/>
  <c r="O33" i="3" s="1"/>
  <c r="C33" i="3"/>
  <c r="J33" i="3" s="1"/>
  <c r="F29" i="3"/>
  <c r="L28" i="3"/>
  <c r="O28" i="3" s="1"/>
  <c r="J28" i="3"/>
  <c r="I28" i="3"/>
  <c r="M28" i="3" s="1"/>
  <c r="E28" i="3"/>
  <c r="D28" i="3"/>
  <c r="C28" i="3"/>
  <c r="I27" i="3"/>
  <c r="I26" i="3" s="1"/>
  <c r="M26" i="3" s="1"/>
  <c r="E27" i="3"/>
  <c r="C27" i="3"/>
  <c r="I25" i="3"/>
  <c r="I24" i="3" s="1"/>
  <c r="M24" i="3" s="1"/>
  <c r="M23" i="3"/>
  <c r="I23" i="3"/>
  <c r="I22" i="3"/>
  <c r="I21" i="3" s="1"/>
  <c r="F20" i="3"/>
  <c r="L19" i="3"/>
  <c r="O19" i="3" s="1"/>
  <c r="J19" i="3"/>
  <c r="I19" i="3"/>
  <c r="M19" i="3" s="1"/>
  <c r="E19" i="3"/>
  <c r="D19" i="3"/>
  <c r="K19" i="3" s="1"/>
  <c r="C19" i="3"/>
  <c r="I18" i="3"/>
  <c r="I17" i="3" s="1"/>
  <c r="M17" i="3" s="1"/>
  <c r="E18" i="3"/>
  <c r="L18" i="3" s="1"/>
  <c r="O18" i="3" s="1"/>
  <c r="C18" i="3"/>
  <c r="J18" i="3" s="1"/>
  <c r="I16" i="3"/>
  <c r="I15" i="3" s="1"/>
  <c r="M15" i="3" s="1"/>
  <c r="F14" i="3"/>
  <c r="E14" i="3"/>
  <c r="K13" i="3"/>
  <c r="I13" i="3"/>
  <c r="I12" i="3" s="1"/>
  <c r="M12" i="3" s="1"/>
  <c r="E13" i="3"/>
  <c r="D13" i="3"/>
  <c r="C13" i="3"/>
  <c r="D12" i="3"/>
  <c r="K12" i="3" s="1"/>
  <c r="V41" i="1"/>
  <c r="R41" i="1"/>
  <c r="N41" i="1"/>
  <c r="L41" i="1"/>
  <c r="O41" i="1" s="1"/>
  <c r="J41" i="1"/>
  <c r="I41" i="1"/>
  <c r="M41" i="1" s="1"/>
  <c r="E41" i="1"/>
  <c r="D41" i="1"/>
  <c r="C41" i="1"/>
  <c r="I40" i="1"/>
  <c r="I39" i="1" s="1"/>
  <c r="E40" i="1"/>
  <c r="C40" i="1"/>
  <c r="F35" i="1"/>
  <c r="L34" i="1"/>
  <c r="O34" i="1" s="1"/>
  <c r="J34" i="1"/>
  <c r="I34" i="1"/>
  <c r="M34" i="1" s="1"/>
  <c r="E34" i="1"/>
  <c r="D34" i="1"/>
  <c r="C34" i="1"/>
  <c r="I33" i="1"/>
  <c r="I32" i="1" s="1"/>
  <c r="M32" i="1" s="1"/>
  <c r="E33" i="1"/>
  <c r="C33" i="1"/>
  <c r="I31" i="1"/>
  <c r="I30" i="1" s="1"/>
  <c r="M30" i="1" s="1"/>
  <c r="F29" i="1"/>
  <c r="L28" i="1"/>
  <c r="O28" i="1" s="1"/>
  <c r="J28" i="1"/>
  <c r="I28" i="1"/>
  <c r="M28" i="1" s="1"/>
  <c r="E28" i="1"/>
  <c r="D28" i="1"/>
  <c r="C28" i="1"/>
  <c r="I27" i="1"/>
  <c r="I26" i="1" s="1"/>
  <c r="M26" i="1" s="1"/>
  <c r="E27" i="1"/>
  <c r="C27" i="1"/>
  <c r="I25" i="1"/>
  <c r="I24" i="1" s="1"/>
  <c r="M24" i="1" s="1"/>
  <c r="F20" i="1"/>
  <c r="L19" i="1"/>
  <c r="O19" i="1" s="1"/>
  <c r="J19" i="1"/>
  <c r="I19" i="1"/>
  <c r="M19" i="1" s="1"/>
  <c r="E19" i="1"/>
  <c r="D19" i="1"/>
  <c r="C19" i="1"/>
  <c r="I18" i="1"/>
  <c r="I17" i="1" s="1"/>
  <c r="M17" i="1" s="1"/>
  <c r="E18" i="1"/>
  <c r="C18" i="1"/>
  <c r="I16" i="1"/>
  <c r="I15" i="1" s="1"/>
  <c r="M15" i="1" s="1"/>
  <c r="F14" i="1"/>
  <c r="E14" i="1"/>
  <c r="K13" i="1"/>
  <c r="I13" i="1"/>
  <c r="I12" i="1" s="1"/>
  <c r="M12" i="1" s="1"/>
  <c r="E13" i="1"/>
  <c r="D13" i="1"/>
  <c r="C13" i="1"/>
  <c r="D12" i="1"/>
  <c r="K12" i="1" s="1"/>
  <c r="V41" i="2"/>
  <c r="R41" i="2"/>
  <c r="N41" i="2"/>
  <c r="L41" i="2"/>
  <c r="O41" i="2" s="1"/>
  <c r="J41" i="2"/>
  <c r="I41" i="2"/>
  <c r="M41" i="2" s="1"/>
  <c r="E41" i="2"/>
  <c r="D41" i="2"/>
  <c r="C41" i="2"/>
  <c r="I40" i="2"/>
  <c r="I39" i="2" s="1"/>
  <c r="E40" i="2"/>
  <c r="C40" i="2"/>
  <c r="F35" i="2"/>
  <c r="L34" i="2"/>
  <c r="O34" i="2" s="1"/>
  <c r="J34" i="2"/>
  <c r="I34" i="2"/>
  <c r="M34" i="2" s="1"/>
  <c r="E34" i="2"/>
  <c r="D34" i="2"/>
  <c r="C34" i="2"/>
  <c r="I33" i="2"/>
  <c r="I32" i="2" s="1"/>
  <c r="M32" i="2" s="1"/>
  <c r="E33" i="2"/>
  <c r="C33" i="2"/>
  <c r="I31" i="2"/>
  <c r="I30" i="2" s="1"/>
  <c r="M30" i="2" s="1"/>
  <c r="F29" i="2"/>
  <c r="L28" i="2"/>
  <c r="O28" i="2" s="1"/>
  <c r="J28" i="2"/>
  <c r="I28" i="2"/>
  <c r="M28" i="2" s="1"/>
  <c r="E28" i="2"/>
  <c r="D28" i="2"/>
  <c r="C28" i="2"/>
  <c r="I27" i="2"/>
  <c r="I26" i="2" s="1"/>
  <c r="M26" i="2" s="1"/>
  <c r="E27" i="2"/>
  <c r="C27" i="2"/>
  <c r="I25" i="2"/>
  <c r="I24" i="2" s="1"/>
  <c r="M24" i="2" s="1"/>
  <c r="F20" i="2"/>
  <c r="L19" i="2"/>
  <c r="O19" i="2" s="1"/>
  <c r="J19" i="2"/>
  <c r="I19" i="2"/>
  <c r="M19" i="2" s="1"/>
  <c r="E19" i="2"/>
  <c r="D19" i="2"/>
  <c r="C19" i="2"/>
  <c r="I18" i="2"/>
  <c r="I17" i="2" s="1"/>
  <c r="M17" i="2" s="1"/>
  <c r="E18" i="2"/>
  <c r="C18" i="2"/>
  <c r="I16" i="2"/>
  <c r="I15" i="2" s="1"/>
  <c r="M15" i="2" s="1"/>
  <c r="F14" i="2"/>
  <c r="E14" i="2"/>
  <c r="K13" i="2"/>
  <c r="I13" i="2"/>
  <c r="I12" i="2" s="1"/>
  <c r="M12" i="2" s="1"/>
  <c r="E13" i="2"/>
  <c r="D13" i="2"/>
  <c r="C13" i="2"/>
  <c r="D12" i="2"/>
  <c r="K12" i="2" s="1"/>
  <c r="V6" i="4"/>
  <c r="Q6" i="4"/>
  <c r="O6" i="4"/>
  <c r="V6" i="3"/>
  <c r="Q6" i="3"/>
  <c r="O6" i="3"/>
  <c r="V6" i="2"/>
  <c r="Q6" i="2"/>
  <c r="O6" i="2"/>
  <c r="V6" i="1"/>
  <c r="Q6" i="1"/>
  <c r="O6" i="1"/>
  <c r="J12" i="4" l="1"/>
  <c r="K13" i="4"/>
  <c r="D12" i="4"/>
  <c r="K12" i="4" s="1"/>
  <c r="M17" i="4"/>
  <c r="K18" i="4"/>
  <c r="D17" i="4"/>
  <c r="J19" i="4"/>
  <c r="F19" i="4"/>
  <c r="C18" i="4"/>
  <c r="L19" i="4"/>
  <c r="O19" i="4" s="1"/>
  <c r="E18" i="4"/>
  <c r="M19" i="4"/>
  <c r="F14" i="4"/>
  <c r="E13" i="4"/>
  <c r="I15" i="4"/>
  <c r="L27" i="4"/>
  <c r="O27" i="4" s="1"/>
  <c r="E26" i="4"/>
  <c r="N37" i="4"/>
  <c r="M26" i="4"/>
  <c r="I25" i="4"/>
  <c r="S28" i="4"/>
  <c r="G28" i="4" s="1"/>
  <c r="H28" i="4" s="1"/>
  <c r="Q28" i="4" s="1"/>
  <c r="J27" i="4"/>
  <c r="C26" i="4"/>
  <c r="K28" i="4"/>
  <c r="D27" i="4"/>
  <c r="F28" i="4"/>
  <c r="AA28" i="4"/>
  <c r="R37" i="4"/>
  <c r="C32" i="4"/>
  <c r="E32" i="4"/>
  <c r="I32" i="4"/>
  <c r="D33" i="4"/>
  <c r="K34" i="4"/>
  <c r="S34" i="4" s="1"/>
  <c r="M35" i="4"/>
  <c r="M39" i="4"/>
  <c r="K40" i="4"/>
  <c r="D39" i="4"/>
  <c r="X40" i="4"/>
  <c r="J41" i="4"/>
  <c r="F41" i="4"/>
  <c r="C40" i="4"/>
  <c r="L41" i="4"/>
  <c r="O41" i="4" s="1"/>
  <c r="V41" i="4" s="1"/>
  <c r="E40" i="4"/>
  <c r="M41" i="4"/>
  <c r="U40" i="4"/>
  <c r="M37" i="4"/>
  <c r="P41" i="4"/>
  <c r="M16" i="3"/>
  <c r="M21" i="3"/>
  <c r="M20" i="3"/>
  <c r="J13" i="3"/>
  <c r="F13" i="3"/>
  <c r="C12" i="3"/>
  <c r="L13" i="3"/>
  <c r="O13" i="3" s="1"/>
  <c r="E12" i="3"/>
  <c r="L12" i="3" s="1"/>
  <c r="O12" i="3" s="1"/>
  <c r="M13" i="3"/>
  <c r="M14" i="3"/>
  <c r="S19" i="3"/>
  <c r="G19" i="3" s="1"/>
  <c r="H19" i="3" s="1"/>
  <c r="Q19" i="3" s="1"/>
  <c r="M18" i="3"/>
  <c r="F19" i="3"/>
  <c r="M22" i="3"/>
  <c r="L27" i="3"/>
  <c r="O27" i="3" s="1"/>
  <c r="E26" i="3"/>
  <c r="M27" i="3"/>
  <c r="C17" i="3"/>
  <c r="E17" i="3"/>
  <c r="D18" i="3"/>
  <c r="F18" i="3"/>
  <c r="M25" i="3"/>
  <c r="J27" i="3"/>
  <c r="C26" i="3"/>
  <c r="K28" i="3"/>
  <c r="S28" i="3" s="1"/>
  <c r="D27" i="3"/>
  <c r="F28" i="3"/>
  <c r="C32" i="3"/>
  <c r="E32" i="3"/>
  <c r="I32" i="3"/>
  <c r="D33" i="3"/>
  <c r="K34" i="3"/>
  <c r="S34" i="3" s="1"/>
  <c r="AA41" i="3"/>
  <c r="W41" i="3"/>
  <c r="U40" i="3"/>
  <c r="Y41" i="3"/>
  <c r="G41" i="3"/>
  <c r="H41" i="3" s="1"/>
  <c r="Q41" i="3" s="1"/>
  <c r="X40" i="3"/>
  <c r="Z41" i="3"/>
  <c r="D39" i="3"/>
  <c r="N39" i="3"/>
  <c r="R39" i="3"/>
  <c r="C40" i="3"/>
  <c r="E40" i="3"/>
  <c r="I40" i="3"/>
  <c r="F41" i="3"/>
  <c r="P41" i="3"/>
  <c r="T41" i="3"/>
  <c r="M16" i="1"/>
  <c r="J18" i="1"/>
  <c r="C17" i="1"/>
  <c r="K19" i="1"/>
  <c r="D18" i="1"/>
  <c r="F19" i="1"/>
  <c r="J13" i="1"/>
  <c r="F13" i="1"/>
  <c r="C12" i="1"/>
  <c r="L13" i="1"/>
  <c r="O13" i="1" s="1"/>
  <c r="E12" i="1"/>
  <c r="L12" i="1" s="1"/>
  <c r="O12" i="1" s="1"/>
  <c r="M13" i="1"/>
  <c r="M14" i="1"/>
  <c r="L18" i="1"/>
  <c r="O18" i="1" s="1"/>
  <c r="E17" i="1"/>
  <c r="M18" i="1"/>
  <c r="S19" i="1"/>
  <c r="G19" i="1" s="1"/>
  <c r="H19" i="1" s="1"/>
  <c r="Q19" i="1" s="1"/>
  <c r="M25" i="1"/>
  <c r="J27" i="1"/>
  <c r="C26" i="1"/>
  <c r="K28" i="1"/>
  <c r="D27" i="1"/>
  <c r="F28" i="1"/>
  <c r="AA28" i="1"/>
  <c r="M31" i="1"/>
  <c r="J33" i="1"/>
  <c r="C32" i="1"/>
  <c r="K34" i="1"/>
  <c r="D33" i="1"/>
  <c r="F34" i="1"/>
  <c r="AA34" i="1"/>
  <c r="M39" i="1"/>
  <c r="I38" i="1"/>
  <c r="U41" i="1"/>
  <c r="N40" i="1"/>
  <c r="P41" i="1"/>
  <c r="I23" i="1"/>
  <c r="L27" i="1"/>
  <c r="O27" i="1" s="1"/>
  <c r="E26" i="1"/>
  <c r="M27" i="1"/>
  <c r="S28" i="1"/>
  <c r="G28" i="1" s="1"/>
  <c r="H28" i="1" s="1"/>
  <c r="Q28" i="1" s="1"/>
  <c r="M29" i="1"/>
  <c r="L33" i="1"/>
  <c r="O33" i="1" s="1"/>
  <c r="E32" i="1"/>
  <c r="M33" i="1"/>
  <c r="S34" i="1"/>
  <c r="G34" i="1" s="1"/>
  <c r="H34" i="1" s="1"/>
  <c r="Q34" i="1" s="1"/>
  <c r="L40" i="1"/>
  <c r="O40" i="1" s="1"/>
  <c r="V40" i="1" s="1"/>
  <c r="E39" i="1"/>
  <c r="M40" i="1"/>
  <c r="R40" i="1"/>
  <c r="X41" i="1"/>
  <c r="J40" i="1"/>
  <c r="C39" i="1"/>
  <c r="K41" i="1"/>
  <c r="S41" i="1" s="1"/>
  <c r="D40" i="1"/>
  <c r="F41" i="1"/>
  <c r="M16" i="2"/>
  <c r="J18" i="2"/>
  <c r="C17" i="2"/>
  <c r="K19" i="2"/>
  <c r="D18" i="2"/>
  <c r="F19" i="2"/>
  <c r="J13" i="2"/>
  <c r="F13" i="2"/>
  <c r="C12" i="2"/>
  <c r="L13" i="2"/>
  <c r="O13" i="2" s="1"/>
  <c r="E12" i="2"/>
  <c r="L12" i="2" s="1"/>
  <c r="O12" i="2" s="1"/>
  <c r="M13" i="2"/>
  <c r="M14" i="2"/>
  <c r="L18" i="2"/>
  <c r="O18" i="2" s="1"/>
  <c r="E17" i="2"/>
  <c r="M18" i="2"/>
  <c r="S19" i="2"/>
  <c r="G19" i="2" s="1"/>
  <c r="H19" i="2" s="1"/>
  <c r="Q19" i="2" s="1"/>
  <c r="M25" i="2"/>
  <c r="J27" i="2"/>
  <c r="C26" i="2"/>
  <c r="K28" i="2"/>
  <c r="D27" i="2"/>
  <c r="F28" i="2"/>
  <c r="AA28" i="2"/>
  <c r="M31" i="2"/>
  <c r="J33" i="2"/>
  <c r="C32" i="2"/>
  <c r="K34" i="2"/>
  <c r="D33" i="2"/>
  <c r="F34" i="2"/>
  <c r="AA34" i="2"/>
  <c r="M39" i="2"/>
  <c r="I38" i="2"/>
  <c r="U41" i="2"/>
  <c r="N40" i="2"/>
  <c r="P41" i="2"/>
  <c r="I23" i="2"/>
  <c r="L27" i="2"/>
  <c r="O27" i="2" s="1"/>
  <c r="E26" i="2"/>
  <c r="M27" i="2"/>
  <c r="S28" i="2"/>
  <c r="G28" i="2" s="1"/>
  <c r="H28" i="2" s="1"/>
  <c r="Q28" i="2" s="1"/>
  <c r="M29" i="2"/>
  <c r="L33" i="2"/>
  <c r="O33" i="2" s="1"/>
  <c r="E32" i="2"/>
  <c r="M33" i="2"/>
  <c r="S34" i="2"/>
  <c r="G34" i="2" s="1"/>
  <c r="H34" i="2" s="1"/>
  <c r="Q34" i="2" s="1"/>
  <c r="L40" i="2"/>
  <c r="O40" i="2" s="1"/>
  <c r="V40" i="2" s="1"/>
  <c r="E39" i="2"/>
  <c r="M40" i="2"/>
  <c r="R40" i="2"/>
  <c r="X41" i="2"/>
  <c r="J40" i="2"/>
  <c r="C39" i="2"/>
  <c r="K41" i="2"/>
  <c r="S41" i="2" s="1"/>
  <c r="D40" i="2"/>
  <c r="F41" i="2"/>
  <c r="G34" i="4" l="1"/>
  <c r="H34" i="4" s="1"/>
  <c r="Q34" i="4" s="1"/>
  <c r="AA34" i="4"/>
  <c r="W40" i="4"/>
  <c r="U39" i="4"/>
  <c r="L40" i="4"/>
  <c r="O40" i="4" s="1"/>
  <c r="P40" i="4" s="1"/>
  <c r="E39" i="4"/>
  <c r="J40" i="4"/>
  <c r="S40" i="4" s="1"/>
  <c r="F40" i="4"/>
  <c r="C39" i="4"/>
  <c r="X39" i="4"/>
  <c r="K33" i="4"/>
  <c r="S33" i="4" s="1"/>
  <c r="D32" i="4"/>
  <c r="J32" i="4"/>
  <c r="C31" i="4"/>
  <c r="R36" i="4"/>
  <c r="K27" i="4"/>
  <c r="S27" i="4" s="1"/>
  <c r="D26" i="4"/>
  <c r="F26" i="4"/>
  <c r="J26" i="4"/>
  <c r="C25" i="4"/>
  <c r="F27" i="4"/>
  <c r="N36" i="4"/>
  <c r="L13" i="4"/>
  <c r="E12" i="4"/>
  <c r="L12" i="4" s="1"/>
  <c r="O12" i="4" s="1"/>
  <c r="F13" i="4"/>
  <c r="S19" i="4"/>
  <c r="G19" i="4" s="1"/>
  <c r="H19" i="4" s="1"/>
  <c r="Q19" i="4" s="1"/>
  <c r="F12" i="4"/>
  <c r="W41" i="4"/>
  <c r="V40" i="4"/>
  <c r="S41" i="4"/>
  <c r="K39" i="4"/>
  <c r="D38" i="4"/>
  <c r="F33" i="4"/>
  <c r="I31" i="4"/>
  <c r="M32" i="4"/>
  <c r="L32" i="4"/>
  <c r="O32" i="4" s="1"/>
  <c r="E31" i="4"/>
  <c r="I24" i="4"/>
  <c r="M25" i="4"/>
  <c r="L26" i="4"/>
  <c r="O26" i="4" s="1"/>
  <c r="E25" i="4"/>
  <c r="M14" i="4"/>
  <c r="M15" i="4"/>
  <c r="AA19" i="4"/>
  <c r="L18" i="4"/>
  <c r="O18" i="4" s="1"/>
  <c r="E17" i="4"/>
  <c r="J18" i="4"/>
  <c r="S18" i="4" s="1"/>
  <c r="F18" i="4"/>
  <c r="C17" i="4"/>
  <c r="K17" i="4"/>
  <c r="D16" i="4"/>
  <c r="S12" i="4"/>
  <c r="AA12" i="4" s="1"/>
  <c r="G34" i="3"/>
  <c r="H34" i="3" s="1"/>
  <c r="Q34" i="3" s="1"/>
  <c r="AA34" i="3"/>
  <c r="G28" i="3"/>
  <c r="H28" i="3" s="1"/>
  <c r="Q28" i="3" s="1"/>
  <c r="AA28" i="3"/>
  <c r="J40" i="3"/>
  <c r="F40" i="3"/>
  <c r="C39" i="3"/>
  <c r="N38" i="3"/>
  <c r="U39" i="3"/>
  <c r="K33" i="3"/>
  <c r="S33" i="3" s="1"/>
  <c r="D32" i="3"/>
  <c r="F32" i="3" s="1"/>
  <c r="J32" i="3"/>
  <c r="C31" i="3"/>
  <c r="K27" i="3"/>
  <c r="D26" i="3"/>
  <c r="J26" i="3"/>
  <c r="F26" i="3"/>
  <c r="C25" i="3"/>
  <c r="F27" i="3"/>
  <c r="J17" i="3"/>
  <c r="C16" i="3"/>
  <c r="J12" i="3"/>
  <c r="S12" i="3" s="1"/>
  <c r="F12" i="3"/>
  <c r="I39" i="3"/>
  <c r="M40" i="3"/>
  <c r="L40" i="3"/>
  <c r="O40" i="3" s="1"/>
  <c r="E39" i="3"/>
  <c r="R38" i="3"/>
  <c r="K39" i="3"/>
  <c r="D38" i="3"/>
  <c r="X39" i="3"/>
  <c r="F33" i="3"/>
  <c r="I31" i="3"/>
  <c r="M32" i="3"/>
  <c r="L32" i="3"/>
  <c r="O32" i="3" s="1"/>
  <c r="E31" i="3"/>
  <c r="S27" i="3"/>
  <c r="G27" i="3" s="1"/>
  <c r="H27" i="3" s="1"/>
  <c r="Q27" i="3" s="1"/>
  <c r="K18" i="3"/>
  <c r="S18" i="3" s="1"/>
  <c r="G18" i="3" s="1"/>
  <c r="H18" i="3" s="1"/>
  <c r="Q18" i="3" s="1"/>
  <c r="D17" i="3"/>
  <c r="F17" i="3" s="1"/>
  <c r="L17" i="3"/>
  <c r="O17" i="3" s="1"/>
  <c r="E16" i="3"/>
  <c r="L26" i="3"/>
  <c r="O26" i="3" s="1"/>
  <c r="E25" i="3"/>
  <c r="AA18" i="3"/>
  <c r="S13" i="3"/>
  <c r="G13" i="3" s="1"/>
  <c r="H13" i="3" s="1"/>
  <c r="Q13" i="3" s="1"/>
  <c r="AA19" i="3"/>
  <c r="Y41" i="1"/>
  <c r="G41" i="1"/>
  <c r="H41" i="1" s="1"/>
  <c r="Q41" i="1" s="1"/>
  <c r="T41" i="1"/>
  <c r="AA41" i="1"/>
  <c r="X40" i="1"/>
  <c r="Z41" i="1"/>
  <c r="AA33" i="1"/>
  <c r="L32" i="1"/>
  <c r="O32" i="1" s="1"/>
  <c r="E31" i="1"/>
  <c r="AA27" i="1"/>
  <c r="L26" i="1"/>
  <c r="O26" i="1" s="1"/>
  <c r="E25" i="1"/>
  <c r="M23" i="1"/>
  <c r="I22" i="1"/>
  <c r="W41" i="1"/>
  <c r="U40" i="1"/>
  <c r="I37" i="1"/>
  <c r="M38" i="1"/>
  <c r="K33" i="1"/>
  <c r="D32" i="1"/>
  <c r="J32" i="1"/>
  <c r="F32" i="1"/>
  <c r="C31" i="1"/>
  <c r="F33" i="1"/>
  <c r="K27" i="1"/>
  <c r="D26" i="1"/>
  <c r="J26" i="1"/>
  <c r="F26" i="1"/>
  <c r="C25" i="1"/>
  <c r="F27" i="1"/>
  <c r="J12" i="1"/>
  <c r="S12" i="1" s="1"/>
  <c r="F12" i="1"/>
  <c r="AA19" i="1"/>
  <c r="K18" i="1"/>
  <c r="D17" i="1"/>
  <c r="J17" i="1"/>
  <c r="F17" i="1"/>
  <c r="C16" i="1"/>
  <c r="F18" i="1"/>
  <c r="K40" i="1"/>
  <c r="S40" i="1" s="1"/>
  <c r="D39" i="1"/>
  <c r="J39" i="1"/>
  <c r="C38" i="1"/>
  <c r="F39" i="1"/>
  <c r="F40" i="1"/>
  <c r="R39" i="1"/>
  <c r="L39" i="1"/>
  <c r="O39" i="1" s="1"/>
  <c r="V39" i="1" s="1"/>
  <c r="E38" i="1"/>
  <c r="P40" i="1"/>
  <c r="N39" i="1"/>
  <c r="S33" i="1"/>
  <c r="G33" i="1" s="1"/>
  <c r="H33" i="1" s="1"/>
  <c r="Q33" i="1" s="1"/>
  <c r="S27" i="1"/>
  <c r="G27" i="1" s="1"/>
  <c r="H27" i="1" s="1"/>
  <c r="Q27" i="1" s="1"/>
  <c r="L17" i="1"/>
  <c r="O17" i="1" s="1"/>
  <c r="E16" i="1"/>
  <c r="S13" i="1"/>
  <c r="G13" i="1" s="1"/>
  <c r="H13" i="1" s="1"/>
  <c r="Q13" i="1" s="1"/>
  <c r="S18" i="1"/>
  <c r="G18" i="1" s="1"/>
  <c r="H18" i="1" s="1"/>
  <c r="Q18" i="1" s="1"/>
  <c r="Y41" i="2"/>
  <c r="G41" i="2"/>
  <c r="H41" i="2" s="1"/>
  <c r="Q41" i="2" s="1"/>
  <c r="T41" i="2"/>
  <c r="AA41" i="2"/>
  <c r="X40" i="2"/>
  <c r="Z41" i="2"/>
  <c r="AA33" i="2"/>
  <c r="L32" i="2"/>
  <c r="O32" i="2" s="1"/>
  <c r="E31" i="2"/>
  <c r="AA27" i="2"/>
  <c r="L26" i="2"/>
  <c r="O26" i="2" s="1"/>
  <c r="E25" i="2"/>
  <c r="M23" i="2"/>
  <c r="I22" i="2"/>
  <c r="W41" i="2"/>
  <c r="U40" i="2"/>
  <c r="I37" i="2"/>
  <c r="M38" i="2"/>
  <c r="K33" i="2"/>
  <c r="D32" i="2"/>
  <c r="J32" i="2"/>
  <c r="F32" i="2"/>
  <c r="C31" i="2"/>
  <c r="F33" i="2"/>
  <c r="K27" i="2"/>
  <c r="D26" i="2"/>
  <c r="J26" i="2"/>
  <c r="F26" i="2"/>
  <c r="C25" i="2"/>
  <c r="F27" i="2"/>
  <c r="J12" i="2"/>
  <c r="S12" i="2" s="1"/>
  <c r="F12" i="2"/>
  <c r="AA19" i="2"/>
  <c r="K18" i="2"/>
  <c r="D17" i="2"/>
  <c r="J17" i="2"/>
  <c r="F17" i="2"/>
  <c r="C16" i="2"/>
  <c r="F18" i="2"/>
  <c r="K40" i="2"/>
  <c r="S40" i="2" s="1"/>
  <c r="D39" i="2"/>
  <c r="J39" i="2"/>
  <c r="C38" i="2"/>
  <c r="F39" i="2"/>
  <c r="F40" i="2"/>
  <c r="R39" i="2"/>
  <c r="L39" i="2"/>
  <c r="O39" i="2" s="1"/>
  <c r="V39" i="2" s="1"/>
  <c r="E38" i="2"/>
  <c r="P40" i="2"/>
  <c r="N39" i="2"/>
  <c r="S33" i="2"/>
  <c r="G33" i="2" s="1"/>
  <c r="H33" i="2" s="1"/>
  <c r="Q33" i="2" s="1"/>
  <c r="S27" i="2"/>
  <c r="G27" i="2" s="1"/>
  <c r="H27" i="2" s="1"/>
  <c r="Q27" i="2" s="1"/>
  <c r="L17" i="2"/>
  <c r="O17" i="2" s="1"/>
  <c r="E16" i="2"/>
  <c r="S13" i="2"/>
  <c r="G13" i="2" s="1"/>
  <c r="H13" i="2" s="1"/>
  <c r="Q13" i="2" s="1"/>
  <c r="S18" i="2"/>
  <c r="G18" i="2" s="1"/>
  <c r="H18" i="2" s="1"/>
  <c r="Q18" i="2" s="1"/>
  <c r="G27" i="4" l="1"/>
  <c r="H27" i="4" s="1"/>
  <c r="Q27" i="4" s="1"/>
  <c r="AA27" i="4"/>
  <c r="K16" i="4"/>
  <c r="D15" i="4"/>
  <c r="J17" i="4"/>
  <c r="F17" i="4"/>
  <c r="C16" i="4"/>
  <c r="L17" i="4"/>
  <c r="O17" i="4" s="1"/>
  <c r="E16" i="4"/>
  <c r="M24" i="4"/>
  <c r="I23" i="4"/>
  <c r="M31" i="4"/>
  <c r="I30" i="4"/>
  <c r="K38" i="4"/>
  <c r="D37" i="4"/>
  <c r="G41" i="4"/>
  <c r="H41" i="4" s="1"/>
  <c r="Q41" i="4" s="1"/>
  <c r="Y41" i="4"/>
  <c r="T41" i="4"/>
  <c r="G12" i="4"/>
  <c r="H12" i="4" s="1"/>
  <c r="Q12" i="4" s="1"/>
  <c r="O13" i="4"/>
  <c r="S13" i="4"/>
  <c r="S26" i="4"/>
  <c r="J31" i="4"/>
  <c r="F31" i="4"/>
  <c r="C30" i="4"/>
  <c r="K32" i="4"/>
  <c r="S32" i="4" s="1"/>
  <c r="D31" i="4"/>
  <c r="J39" i="4"/>
  <c r="F39" i="4"/>
  <c r="C38" i="4"/>
  <c r="L39" i="4"/>
  <c r="O39" i="4" s="1"/>
  <c r="P39" i="4" s="1"/>
  <c r="E38" i="4"/>
  <c r="AA41" i="4"/>
  <c r="G18" i="4"/>
  <c r="H18" i="4" s="1"/>
  <c r="Q18" i="4" s="1"/>
  <c r="AA18" i="4"/>
  <c r="L25" i="4"/>
  <c r="O25" i="4" s="1"/>
  <c r="E24" i="4"/>
  <c r="L31" i="4"/>
  <c r="O31" i="4" s="1"/>
  <c r="E30" i="4"/>
  <c r="V39" i="4"/>
  <c r="N35" i="4"/>
  <c r="J25" i="4"/>
  <c r="C24" i="4"/>
  <c r="K26" i="4"/>
  <c r="D25" i="4"/>
  <c r="R35" i="4"/>
  <c r="F32" i="4"/>
  <c r="G33" i="4"/>
  <c r="H33" i="4" s="1"/>
  <c r="Q33" i="4" s="1"/>
  <c r="AA33" i="4"/>
  <c r="X38" i="4"/>
  <c r="T40" i="4"/>
  <c r="G40" i="4"/>
  <c r="H40" i="4" s="1"/>
  <c r="Q40" i="4" s="1"/>
  <c r="AA40" i="4"/>
  <c r="U38" i="4"/>
  <c r="AA13" i="3"/>
  <c r="L25" i="3"/>
  <c r="O25" i="3" s="1"/>
  <c r="E24" i="3"/>
  <c r="AA27" i="3"/>
  <c r="M31" i="3"/>
  <c r="I30" i="3"/>
  <c r="X38" i="3"/>
  <c r="K38" i="3"/>
  <c r="D37" i="3"/>
  <c r="R37" i="3"/>
  <c r="L39" i="3"/>
  <c r="O39" i="3" s="1"/>
  <c r="P39" i="3" s="1"/>
  <c r="E38" i="3"/>
  <c r="J16" i="3"/>
  <c r="C15" i="3"/>
  <c r="J25" i="3"/>
  <c r="C24" i="3"/>
  <c r="K26" i="3"/>
  <c r="D25" i="3"/>
  <c r="J31" i="3"/>
  <c r="C30" i="3"/>
  <c r="G33" i="3"/>
  <c r="H33" i="3" s="1"/>
  <c r="Q33" i="3" s="1"/>
  <c r="AA33" i="3"/>
  <c r="U38" i="3"/>
  <c r="N37" i="3"/>
  <c r="J39" i="3"/>
  <c r="S39" i="3" s="1"/>
  <c r="F39" i="3"/>
  <c r="C38" i="3"/>
  <c r="L16" i="3"/>
  <c r="O16" i="3" s="1"/>
  <c r="E15" i="3"/>
  <c r="K17" i="3"/>
  <c r="D16" i="3"/>
  <c r="L31" i="3"/>
  <c r="O31" i="3" s="1"/>
  <c r="E30" i="3"/>
  <c r="P40" i="3"/>
  <c r="V40" i="3"/>
  <c r="M39" i="3"/>
  <c r="AA39" i="3" s="1"/>
  <c r="I38" i="3"/>
  <c r="G12" i="3"/>
  <c r="H12" i="3" s="1"/>
  <c r="Q12" i="3" s="1"/>
  <c r="AA12" i="3"/>
  <c r="S17" i="3"/>
  <c r="S26" i="3"/>
  <c r="K32" i="3"/>
  <c r="S32" i="3" s="1"/>
  <c r="D31" i="3"/>
  <c r="S40" i="3"/>
  <c r="G40" i="1"/>
  <c r="H40" i="1" s="1"/>
  <c r="Q40" i="1" s="1"/>
  <c r="AA40" i="1"/>
  <c r="T40" i="1"/>
  <c r="V38" i="1"/>
  <c r="AA13" i="1"/>
  <c r="L16" i="1"/>
  <c r="O16" i="1" s="1"/>
  <c r="E15" i="1"/>
  <c r="AA18" i="1"/>
  <c r="N38" i="1"/>
  <c r="P39" i="1"/>
  <c r="L38" i="1"/>
  <c r="O38" i="1" s="1"/>
  <c r="E37" i="1"/>
  <c r="R38" i="1"/>
  <c r="J25" i="1"/>
  <c r="C24" i="1"/>
  <c r="K26" i="1"/>
  <c r="D25" i="1"/>
  <c r="J31" i="1"/>
  <c r="C30" i="1"/>
  <c r="K32" i="1"/>
  <c r="D31" i="1"/>
  <c r="U39" i="1"/>
  <c r="W40" i="1"/>
  <c r="I21" i="1"/>
  <c r="M22" i="1"/>
  <c r="L25" i="1"/>
  <c r="O25" i="1" s="1"/>
  <c r="E24" i="1"/>
  <c r="L31" i="1"/>
  <c r="O31" i="1" s="1"/>
  <c r="E30" i="1"/>
  <c r="J38" i="1"/>
  <c r="C37" i="1"/>
  <c r="K39" i="1"/>
  <c r="S39" i="1" s="1"/>
  <c r="D38" i="1"/>
  <c r="J16" i="1"/>
  <c r="C15" i="1"/>
  <c r="K17" i="1"/>
  <c r="S17" i="1" s="1"/>
  <c r="D16" i="1"/>
  <c r="G12" i="1"/>
  <c r="H12" i="1" s="1"/>
  <c r="Q12" i="1" s="1"/>
  <c r="AA12" i="1"/>
  <c r="S26" i="1"/>
  <c r="S32" i="1"/>
  <c r="M37" i="1"/>
  <c r="I36" i="1"/>
  <c r="X39" i="1"/>
  <c r="Y40" i="1"/>
  <c r="G40" i="2"/>
  <c r="H40" i="2" s="1"/>
  <c r="Q40" i="2" s="1"/>
  <c r="AA40" i="2"/>
  <c r="T40" i="2"/>
  <c r="V38" i="2"/>
  <c r="AA13" i="2"/>
  <c r="L16" i="2"/>
  <c r="O16" i="2" s="1"/>
  <c r="E15" i="2"/>
  <c r="AA18" i="2"/>
  <c r="N38" i="2"/>
  <c r="P39" i="2"/>
  <c r="L38" i="2"/>
  <c r="O38" i="2" s="1"/>
  <c r="E37" i="2"/>
  <c r="R38" i="2"/>
  <c r="J25" i="2"/>
  <c r="C24" i="2"/>
  <c r="K26" i="2"/>
  <c r="D25" i="2"/>
  <c r="J31" i="2"/>
  <c r="C30" i="2"/>
  <c r="K32" i="2"/>
  <c r="D31" i="2"/>
  <c r="U39" i="2"/>
  <c r="W40" i="2"/>
  <c r="I21" i="2"/>
  <c r="M22" i="2"/>
  <c r="L25" i="2"/>
  <c r="O25" i="2" s="1"/>
  <c r="E24" i="2"/>
  <c r="L31" i="2"/>
  <c r="O31" i="2" s="1"/>
  <c r="E30" i="2"/>
  <c r="J38" i="2"/>
  <c r="C37" i="2"/>
  <c r="K39" i="2"/>
  <c r="S39" i="2" s="1"/>
  <c r="D38" i="2"/>
  <c r="J16" i="2"/>
  <c r="C15" i="2"/>
  <c r="K17" i="2"/>
  <c r="S17" i="2" s="1"/>
  <c r="D16" i="2"/>
  <c r="G12" i="2"/>
  <c r="H12" i="2" s="1"/>
  <c r="Q12" i="2" s="1"/>
  <c r="AA12" i="2"/>
  <c r="S26" i="2"/>
  <c r="S32" i="2"/>
  <c r="M37" i="2"/>
  <c r="I36" i="2"/>
  <c r="X39" i="2"/>
  <c r="Y40" i="2"/>
  <c r="G32" i="4" l="1"/>
  <c r="H32" i="4" s="1"/>
  <c r="Q32" i="4" s="1"/>
  <c r="AA32" i="4"/>
  <c r="U37" i="4"/>
  <c r="X37" i="4"/>
  <c r="K25" i="4"/>
  <c r="D24" i="4"/>
  <c r="J24" i="4"/>
  <c r="F24" i="4"/>
  <c r="C23" i="4"/>
  <c r="F25" i="4"/>
  <c r="L29" i="4"/>
  <c r="O29" i="4" s="1"/>
  <c r="L30" i="4"/>
  <c r="O30" i="4" s="1"/>
  <c r="S39" i="4"/>
  <c r="J29" i="4"/>
  <c r="J30" i="4"/>
  <c r="AA26" i="4"/>
  <c r="G26" i="4"/>
  <c r="H26" i="4" s="1"/>
  <c r="Q26" i="4" s="1"/>
  <c r="S17" i="4"/>
  <c r="W39" i="4"/>
  <c r="R34" i="4"/>
  <c r="S25" i="4"/>
  <c r="N34" i="4"/>
  <c r="L24" i="4"/>
  <c r="O24" i="4" s="1"/>
  <c r="E23" i="4"/>
  <c r="L38" i="4"/>
  <c r="O38" i="4" s="1"/>
  <c r="P38" i="4" s="1"/>
  <c r="E37" i="4"/>
  <c r="J38" i="4"/>
  <c r="S38" i="4" s="1"/>
  <c r="F38" i="4"/>
  <c r="C37" i="4"/>
  <c r="K31" i="4"/>
  <c r="S31" i="4" s="1"/>
  <c r="D30" i="4"/>
  <c r="AA13" i="4"/>
  <c r="G13" i="4"/>
  <c r="H13" i="4" s="1"/>
  <c r="Q13" i="4" s="1"/>
  <c r="Y40" i="4"/>
  <c r="Z41" i="4"/>
  <c r="K37" i="4"/>
  <c r="D36" i="4"/>
  <c r="M30" i="4"/>
  <c r="M29" i="4"/>
  <c r="I22" i="4"/>
  <c r="M23" i="4"/>
  <c r="L16" i="4"/>
  <c r="O16" i="4" s="1"/>
  <c r="E15" i="4"/>
  <c r="J16" i="4"/>
  <c r="S16" i="4" s="1"/>
  <c r="F16" i="4"/>
  <c r="C15" i="4"/>
  <c r="K14" i="4"/>
  <c r="K15" i="4"/>
  <c r="G32" i="3"/>
  <c r="H32" i="3" s="1"/>
  <c r="Q32" i="3" s="1"/>
  <c r="AA32" i="3"/>
  <c r="K31" i="3"/>
  <c r="D30" i="3"/>
  <c r="AA17" i="3"/>
  <c r="G17" i="3"/>
  <c r="H17" i="3" s="1"/>
  <c r="Q17" i="3" s="1"/>
  <c r="M38" i="3"/>
  <c r="I37" i="3"/>
  <c r="V39" i="3"/>
  <c r="W40" i="3"/>
  <c r="G39" i="3"/>
  <c r="H39" i="3" s="1"/>
  <c r="Q39" i="3" s="1"/>
  <c r="T39" i="3"/>
  <c r="N36" i="3"/>
  <c r="S31" i="3"/>
  <c r="G31" i="3" s="1"/>
  <c r="H31" i="3" s="1"/>
  <c r="Q31" i="3" s="1"/>
  <c r="L38" i="3"/>
  <c r="O38" i="3" s="1"/>
  <c r="P38" i="3" s="1"/>
  <c r="E37" i="3"/>
  <c r="K37" i="3"/>
  <c r="D36" i="3"/>
  <c r="X37" i="3"/>
  <c r="M30" i="3"/>
  <c r="M29" i="3"/>
  <c r="T40" i="3"/>
  <c r="G40" i="3"/>
  <c r="H40" i="3" s="1"/>
  <c r="Q40" i="3" s="1"/>
  <c r="Y40" i="3"/>
  <c r="AA26" i="3"/>
  <c r="G26" i="3"/>
  <c r="H26" i="3" s="1"/>
  <c r="Q26" i="3" s="1"/>
  <c r="L30" i="3"/>
  <c r="O30" i="3" s="1"/>
  <c r="L29" i="3"/>
  <c r="O29" i="3" s="1"/>
  <c r="K16" i="3"/>
  <c r="S16" i="3" s="1"/>
  <c r="D15" i="3"/>
  <c r="L15" i="3"/>
  <c r="O15" i="3" s="1"/>
  <c r="L14" i="3"/>
  <c r="O14" i="3" s="1"/>
  <c r="J38" i="3"/>
  <c r="S38" i="3" s="1"/>
  <c r="F38" i="3"/>
  <c r="C37" i="3"/>
  <c r="U37" i="3"/>
  <c r="J30" i="3"/>
  <c r="F30" i="3"/>
  <c r="J29" i="3"/>
  <c r="F31" i="3"/>
  <c r="K25" i="3"/>
  <c r="S25" i="3" s="1"/>
  <c r="D24" i="3"/>
  <c r="J24" i="3"/>
  <c r="F24" i="3"/>
  <c r="C23" i="3"/>
  <c r="F25" i="3"/>
  <c r="J14" i="3"/>
  <c r="J15" i="3"/>
  <c r="F15" i="3"/>
  <c r="F16" i="3"/>
  <c r="AA40" i="3"/>
  <c r="R36" i="3"/>
  <c r="AA31" i="3"/>
  <c r="E23" i="3"/>
  <c r="L24" i="3"/>
  <c r="O24" i="3" s="1"/>
  <c r="AA17" i="1"/>
  <c r="G17" i="1"/>
  <c r="H17" i="1" s="1"/>
  <c r="Q17" i="1" s="1"/>
  <c r="G39" i="1"/>
  <c r="H39" i="1" s="1"/>
  <c r="Q39" i="1" s="1"/>
  <c r="AA39" i="1"/>
  <c r="T39" i="1"/>
  <c r="X38" i="1"/>
  <c r="M21" i="1"/>
  <c r="M20" i="1"/>
  <c r="W39" i="1"/>
  <c r="U38" i="1"/>
  <c r="K31" i="1"/>
  <c r="D30" i="1"/>
  <c r="J29" i="1"/>
  <c r="J30" i="1"/>
  <c r="F30" i="1"/>
  <c r="F31" i="1"/>
  <c r="K25" i="1"/>
  <c r="S25" i="1" s="1"/>
  <c r="D24" i="1"/>
  <c r="C23" i="1"/>
  <c r="J24" i="1"/>
  <c r="F24" i="1"/>
  <c r="F25" i="1"/>
  <c r="L37" i="1"/>
  <c r="O37" i="1" s="1"/>
  <c r="E36" i="1"/>
  <c r="V37" i="1"/>
  <c r="Y39" i="1"/>
  <c r="Z40" i="1"/>
  <c r="M35" i="1"/>
  <c r="M36" i="1"/>
  <c r="AA32" i="1"/>
  <c r="G32" i="1"/>
  <c r="H32" i="1" s="1"/>
  <c r="Q32" i="1" s="1"/>
  <c r="AA26" i="1"/>
  <c r="G26" i="1"/>
  <c r="H26" i="1" s="1"/>
  <c r="Q26" i="1" s="1"/>
  <c r="K16" i="1"/>
  <c r="S16" i="1" s="1"/>
  <c r="D15" i="1"/>
  <c r="J14" i="1"/>
  <c r="J15" i="1"/>
  <c r="F15" i="1"/>
  <c r="F16" i="1"/>
  <c r="K38" i="1"/>
  <c r="S38" i="1" s="1"/>
  <c r="D37" i="1"/>
  <c r="J37" i="1"/>
  <c r="F37" i="1"/>
  <c r="C36" i="1"/>
  <c r="F38" i="1"/>
  <c r="L29" i="1"/>
  <c r="O29" i="1" s="1"/>
  <c r="L30" i="1"/>
  <c r="O30" i="1" s="1"/>
  <c r="L24" i="1"/>
  <c r="O24" i="1" s="1"/>
  <c r="E23" i="1"/>
  <c r="S31" i="1"/>
  <c r="R37" i="1"/>
  <c r="P38" i="1"/>
  <c r="N37" i="1"/>
  <c r="L15" i="1"/>
  <c r="O15" i="1" s="1"/>
  <c r="L14" i="1"/>
  <c r="O14" i="1" s="1"/>
  <c r="AA17" i="2"/>
  <c r="G17" i="2"/>
  <c r="H17" i="2" s="1"/>
  <c r="Q17" i="2" s="1"/>
  <c r="G39" i="2"/>
  <c r="H39" i="2" s="1"/>
  <c r="Q39" i="2" s="1"/>
  <c r="AA39" i="2"/>
  <c r="T39" i="2"/>
  <c r="X38" i="2"/>
  <c r="M21" i="2"/>
  <c r="M20" i="2"/>
  <c r="W39" i="2"/>
  <c r="U38" i="2"/>
  <c r="K31" i="2"/>
  <c r="D30" i="2"/>
  <c r="J29" i="2"/>
  <c r="J30" i="2"/>
  <c r="F30" i="2"/>
  <c r="F31" i="2"/>
  <c r="K25" i="2"/>
  <c r="S25" i="2" s="1"/>
  <c r="D24" i="2"/>
  <c r="C23" i="2"/>
  <c r="J24" i="2"/>
  <c r="F24" i="2"/>
  <c r="F25" i="2"/>
  <c r="L37" i="2"/>
  <c r="O37" i="2" s="1"/>
  <c r="E36" i="2"/>
  <c r="V37" i="2"/>
  <c r="Y39" i="2"/>
  <c r="Z40" i="2"/>
  <c r="M35" i="2"/>
  <c r="M36" i="2"/>
  <c r="AA32" i="2"/>
  <c r="G32" i="2"/>
  <c r="H32" i="2" s="1"/>
  <c r="Q32" i="2" s="1"/>
  <c r="AA26" i="2"/>
  <c r="G26" i="2"/>
  <c r="H26" i="2" s="1"/>
  <c r="Q26" i="2" s="1"/>
  <c r="K16" i="2"/>
  <c r="S16" i="2" s="1"/>
  <c r="D15" i="2"/>
  <c r="J14" i="2"/>
  <c r="J15" i="2"/>
  <c r="F15" i="2"/>
  <c r="F16" i="2"/>
  <c r="K38" i="2"/>
  <c r="S38" i="2" s="1"/>
  <c r="D37" i="2"/>
  <c r="J37" i="2"/>
  <c r="F37" i="2"/>
  <c r="C36" i="2"/>
  <c r="F38" i="2"/>
  <c r="L29" i="2"/>
  <c r="O29" i="2" s="1"/>
  <c r="L30" i="2"/>
  <c r="O30" i="2" s="1"/>
  <c r="L24" i="2"/>
  <c r="O24" i="2" s="1"/>
  <c r="E23" i="2"/>
  <c r="S31" i="2"/>
  <c r="R37" i="2"/>
  <c r="P38" i="2"/>
  <c r="N37" i="2"/>
  <c r="L15" i="2"/>
  <c r="O15" i="2" s="1"/>
  <c r="L14" i="2"/>
  <c r="O14" i="2" s="1"/>
  <c r="G31" i="4" l="1"/>
  <c r="H31" i="4" s="1"/>
  <c r="Q31" i="4" s="1"/>
  <c r="AA31" i="4"/>
  <c r="AA16" i="4"/>
  <c r="G16" i="4"/>
  <c r="H16" i="4" s="1"/>
  <c r="Q16" i="4" s="1"/>
  <c r="M22" i="4"/>
  <c r="I21" i="4"/>
  <c r="Y39" i="4"/>
  <c r="Z40" i="4"/>
  <c r="T38" i="4"/>
  <c r="AA38" i="4"/>
  <c r="G38" i="4"/>
  <c r="H38" i="4" s="1"/>
  <c r="Q38" i="4" s="1"/>
  <c r="G17" i="4"/>
  <c r="H17" i="4" s="1"/>
  <c r="Q17" i="4" s="1"/>
  <c r="AA17" i="4"/>
  <c r="S30" i="4"/>
  <c r="G30" i="4" s="1"/>
  <c r="H30" i="4" s="1"/>
  <c r="Q30" i="4" s="1"/>
  <c r="V38" i="4"/>
  <c r="J23" i="4"/>
  <c r="C22" i="4"/>
  <c r="K24" i="4"/>
  <c r="D23" i="4"/>
  <c r="U36" i="4"/>
  <c r="J15" i="4"/>
  <c r="F15" i="4"/>
  <c r="J14" i="4"/>
  <c r="L15" i="4"/>
  <c r="O15" i="4" s="1"/>
  <c r="L14" i="4"/>
  <c r="O14" i="4" s="1"/>
  <c r="K36" i="4"/>
  <c r="K35" i="4"/>
  <c r="K30" i="4"/>
  <c r="K29" i="4"/>
  <c r="S29" i="4" s="1"/>
  <c r="J37" i="4"/>
  <c r="F37" i="4"/>
  <c r="C36" i="4"/>
  <c r="L37" i="4"/>
  <c r="O37" i="4" s="1"/>
  <c r="P37" i="4" s="1"/>
  <c r="E36" i="4"/>
  <c r="L23" i="4"/>
  <c r="O23" i="4" s="1"/>
  <c r="E22" i="4"/>
  <c r="P34" i="4"/>
  <c r="N33" i="4"/>
  <c r="G25" i="4"/>
  <c r="H25" i="4" s="1"/>
  <c r="Q25" i="4" s="1"/>
  <c r="AA25" i="4"/>
  <c r="T34" i="4"/>
  <c r="R33" i="4"/>
  <c r="F30" i="4"/>
  <c r="T39" i="4"/>
  <c r="G39" i="4"/>
  <c r="H39" i="4" s="1"/>
  <c r="Q39" i="4" s="1"/>
  <c r="AA39" i="4"/>
  <c r="S24" i="4"/>
  <c r="X36" i="4"/>
  <c r="G25" i="3"/>
  <c r="H25" i="3" s="1"/>
  <c r="Q25" i="3" s="1"/>
  <c r="AA25" i="3"/>
  <c r="AA16" i="3"/>
  <c r="G16" i="3"/>
  <c r="H16" i="3" s="1"/>
  <c r="Q16" i="3" s="1"/>
  <c r="L23" i="3"/>
  <c r="O23" i="3" s="1"/>
  <c r="E22" i="3"/>
  <c r="R35" i="3"/>
  <c r="U36" i="3"/>
  <c r="J37" i="3"/>
  <c r="F37" i="3"/>
  <c r="C36" i="3"/>
  <c r="K15" i="3"/>
  <c r="K14" i="3"/>
  <c r="Y39" i="3"/>
  <c r="Z40" i="3"/>
  <c r="V38" i="3"/>
  <c r="W39" i="3"/>
  <c r="AA38" i="3"/>
  <c r="K30" i="3"/>
  <c r="K29" i="3"/>
  <c r="S15" i="3"/>
  <c r="S14" i="3"/>
  <c r="J23" i="3"/>
  <c r="C22" i="3"/>
  <c r="K24" i="3"/>
  <c r="S24" i="3" s="1"/>
  <c r="D23" i="3"/>
  <c r="S29" i="3"/>
  <c r="G29" i="3" s="1"/>
  <c r="H29" i="3" s="1"/>
  <c r="Q29" i="3" s="1"/>
  <c r="S30" i="3"/>
  <c r="G30" i="3" s="1"/>
  <c r="H30" i="3" s="1"/>
  <c r="Q30" i="3" s="1"/>
  <c r="T38" i="3"/>
  <c r="G38" i="3"/>
  <c r="H38" i="3" s="1"/>
  <c r="Q38" i="3" s="1"/>
  <c r="AA29" i="3"/>
  <c r="X36" i="3"/>
  <c r="K36" i="3"/>
  <c r="K35" i="3"/>
  <c r="L37" i="3"/>
  <c r="O37" i="3" s="1"/>
  <c r="P37" i="3" s="1"/>
  <c r="E36" i="3"/>
  <c r="N35" i="3"/>
  <c r="I36" i="3"/>
  <c r="M37" i="3"/>
  <c r="G38" i="1"/>
  <c r="H38" i="1" s="1"/>
  <c r="Q38" i="1" s="1"/>
  <c r="AA38" i="1"/>
  <c r="T38" i="1"/>
  <c r="AA16" i="1"/>
  <c r="G16" i="1"/>
  <c r="H16" i="1" s="1"/>
  <c r="Q16" i="1" s="1"/>
  <c r="AA25" i="1"/>
  <c r="G25" i="1"/>
  <c r="H25" i="1" s="1"/>
  <c r="Q25" i="1" s="1"/>
  <c r="L23" i="1"/>
  <c r="O23" i="1" s="1"/>
  <c r="E22" i="1"/>
  <c r="K15" i="1"/>
  <c r="K14" i="1"/>
  <c r="S14" i="1" s="1"/>
  <c r="Y38" i="1"/>
  <c r="L36" i="1"/>
  <c r="O36" i="1" s="1"/>
  <c r="L35" i="1"/>
  <c r="O35" i="1" s="1"/>
  <c r="K30" i="1"/>
  <c r="K29" i="1"/>
  <c r="U37" i="1"/>
  <c r="W38" i="1"/>
  <c r="M42" i="1"/>
  <c r="Z38" i="1"/>
  <c r="X37" i="1"/>
  <c r="N36" i="1"/>
  <c r="P37" i="1"/>
  <c r="R36" i="1"/>
  <c r="AA31" i="1"/>
  <c r="G31" i="1"/>
  <c r="H31" i="1" s="1"/>
  <c r="Q31" i="1" s="1"/>
  <c r="J36" i="1"/>
  <c r="J35" i="1"/>
  <c r="K37" i="1"/>
  <c r="S37" i="1" s="1"/>
  <c r="D36" i="1"/>
  <c r="S15" i="1"/>
  <c r="V36" i="1"/>
  <c r="J23" i="1"/>
  <c r="C22" i="1"/>
  <c r="K24" i="1"/>
  <c r="S24" i="1" s="1"/>
  <c r="D23" i="1"/>
  <c r="S30" i="1"/>
  <c r="S29" i="1"/>
  <c r="Z39" i="1"/>
  <c r="G38" i="2"/>
  <c r="H38" i="2" s="1"/>
  <c r="Q38" i="2" s="1"/>
  <c r="AA38" i="2"/>
  <c r="T38" i="2"/>
  <c r="AA16" i="2"/>
  <c r="G16" i="2"/>
  <c r="H16" i="2" s="1"/>
  <c r="Q16" i="2" s="1"/>
  <c r="AA25" i="2"/>
  <c r="G25" i="2"/>
  <c r="H25" i="2" s="1"/>
  <c r="Q25" i="2" s="1"/>
  <c r="L23" i="2"/>
  <c r="O23" i="2" s="1"/>
  <c r="E22" i="2"/>
  <c r="K15" i="2"/>
  <c r="K14" i="2"/>
  <c r="S14" i="2" s="1"/>
  <c r="Y38" i="2"/>
  <c r="L36" i="2"/>
  <c r="O36" i="2" s="1"/>
  <c r="L35" i="2"/>
  <c r="O35" i="2" s="1"/>
  <c r="K30" i="2"/>
  <c r="K29" i="2"/>
  <c r="U37" i="2"/>
  <c r="W38" i="2"/>
  <c r="M42" i="2"/>
  <c r="Z38" i="2"/>
  <c r="X37" i="2"/>
  <c r="N36" i="2"/>
  <c r="P37" i="2"/>
  <c r="R36" i="2"/>
  <c r="AA31" i="2"/>
  <c r="G31" i="2"/>
  <c r="H31" i="2" s="1"/>
  <c r="Q31" i="2" s="1"/>
  <c r="J36" i="2"/>
  <c r="J35" i="2"/>
  <c r="K37" i="2"/>
  <c r="S37" i="2" s="1"/>
  <c r="D36" i="2"/>
  <c r="S15" i="2"/>
  <c r="V36" i="2"/>
  <c r="J23" i="2"/>
  <c r="C22" i="2"/>
  <c r="K24" i="2"/>
  <c r="S24" i="2" s="1"/>
  <c r="D23" i="2"/>
  <c r="S30" i="2"/>
  <c r="S29" i="2"/>
  <c r="Z39" i="2"/>
  <c r="AA29" i="4" l="1"/>
  <c r="G29" i="4"/>
  <c r="H29" i="4" s="1"/>
  <c r="Q29" i="4" s="1"/>
  <c r="R32" i="4"/>
  <c r="T33" i="4"/>
  <c r="N32" i="4"/>
  <c r="P33" i="4"/>
  <c r="L22" i="4"/>
  <c r="O22" i="4" s="1"/>
  <c r="E21" i="4"/>
  <c r="L35" i="4"/>
  <c r="O35" i="4" s="1"/>
  <c r="P35" i="4" s="1"/>
  <c r="L36" i="4"/>
  <c r="O36" i="4" s="1"/>
  <c r="P36" i="4" s="1"/>
  <c r="J35" i="4"/>
  <c r="S35" i="4" s="1"/>
  <c r="G35" i="4"/>
  <c r="H35" i="4" s="1"/>
  <c r="Q35" i="4" s="1"/>
  <c r="J36" i="4"/>
  <c r="F36" i="4"/>
  <c r="K23" i="4"/>
  <c r="D22" i="4"/>
  <c r="J22" i="4"/>
  <c r="C21" i="4"/>
  <c r="F23" i="4"/>
  <c r="V37" i="4"/>
  <c r="W38" i="4"/>
  <c r="Y38" i="4"/>
  <c r="Z39" i="4"/>
  <c r="M21" i="4"/>
  <c r="M20" i="4"/>
  <c r="X35" i="4"/>
  <c r="AA24" i="4"/>
  <c r="G24" i="4"/>
  <c r="H24" i="4" s="1"/>
  <c r="Q24" i="4" s="1"/>
  <c r="S37" i="4"/>
  <c r="S14" i="4"/>
  <c r="S15" i="4"/>
  <c r="U35" i="4"/>
  <c r="S23" i="4"/>
  <c r="AA30" i="4"/>
  <c r="AA24" i="3"/>
  <c r="G24" i="3"/>
  <c r="H24" i="3" s="1"/>
  <c r="Q24" i="3" s="1"/>
  <c r="L35" i="3"/>
  <c r="O35" i="3" s="1"/>
  <c r="L36" i="3"/>
  <c r="O36" i="3" s="1"/>
  <c r="P36" i="3" s="1"/>
  <c r="X35" i="3"/>
  <c r="K23" i="3"/>
  <c r="D22" i="3"/>
  <c r="J22" i="3"/>
  <c r="F22" i="3"/>
  <c r="C21" i="3"/>
  <c r="F23" i="3"/>
  <c r="AA14" i="3"/>
  <c r="G14" i="3"/>
  <c r="H14" i="3" s="1"/>
  <c r="Q14" i="3" s="1"/>
  <c r="V37" i="3"/>
  <c r="W38" i="3"/>
  <c r="J35" i="3"/>
  <c r="S35" i="3" s="1"/>
  <c r="G35" i="3" s="1"/>
  <c r="H35" i="3" s="1"/>
  <c r="Q35" i="3" s="1"/>
  <c r="J36" i="3"/>
  <c r="S36" i="3" s="1"/>
  <c r="F36" i="3"/>
  <c r="T35" i="3"/>
  <c r="R34" i="3"/>
  <c r="M36" i="3"/>
  <c r="AA36" i="3" s="1"/>
  <c r="M35" i="3"/>
  <c r="P35" i="3"/>
  <c r="N34" i="3"/>
  <c r="S23" i="3"/>
  <c r="AA15" i="3"/>
  <c r="G15" i="3"/>
  <c r="H15" i="3" s="1"/>
  <c r="Q15" i="3" s="1"/>
  <c r="AA30" i="3"/>
  <c r="Y38" i="3"/>
  <c r="Z39" i="3"/>
  <c r="S37" i="3"/>
  <c r="U35" i="3"/>
  <c r="L22" i="3"/>
  <c r="O22" i="3" s="1"/>
  <c r="E21" i="3"/>
  <c r="AA24" i="1"/>
  <c r="G24" i="1"/>
  <c r="H24" i="1" s="1"/>
  <c r="Q24" i="1" s="1"/>
  <c r="G37" i="1"/>
  <c r="H37" i="1" s="1"/>
  <c r="Q37" i="1" s="1"/>
  <c r="AA37" i="1"/>
  <c r="T37" i="1"/>
  <c r="AA14" i="1"/>
  <c r="G14" i="1"/>
  <c r="H14" i="1" s="1"/>
  <c r="Q14" i="1" s="1"/>
  <c r="AA30" i="1"/>
  <c r="G30" i="1"/>
  <c r="H30" i="1" s="1"/>
  <c r="Q30" i="1" s="1"/>
  <c r="S23" i="1"/>
  <c r="AA15" i="1"/>
  <c r="G15" i="1"/>
  <c r="H15" i="1" s="1"/>
  <c r="Q15" i="1" s="1"/>
  <c r="R35" i="1"/>
  <c r="P36" i="1"/>
  <c r="N35" i="1"/>
  <c r="W37" i="1"/>
  <c r="U36" i="1"/>
  <c r="Y37" i="1"/>
  <c r="AA29" i="1"/>
  <c r="G29" i="1"/>
  <c r="H29" i="1" s="1"/>
  <c r="Q29" i="1" s="1"/>
  <c r="K23" i="1"/>
  <c r="D22" i="1"/>
  <c r="J22" i="1"/>
  <c r="F22" i="1"/>
  <c r="C21" i="1"/>
  <c r="F23" i="1"/>
  <c r="V35" i="1"/>
  <c r="V34" i="1" s="1"/>
  <c r="V33" i="1" s="1"/>
  <c r="V32" i="1" s="1"/>
  <c r="V31" i="1" s="1"/>
  <c r="V30" i="1" s="1"/>
  <c r="V29" i="1" s="1"/>
  <c r="V28" i="1" s="1"/>
  <c r="V27" i="1" s="1"/>
  <c r="V26" i="1" s="1"/>
  <c r="V25" i="1" s="1"/>
  <c r="V24" i="1" s="1"/>
  <c r="V23" i="1" s="1"/>
  <c r="V22" i="1" s="1"/>
  <c r="K35" i="1"/>
  <c r="K36" i="1"/>
  <c r="S36" i="1" s="1"/>
  <c r="S35" i="1"/>
  <c r="F36" i="1"/>
  <c r="X36" i="1"/>
  <c r="Z37" i="1"/>
  <c r="L22" i="1"/>
  <c r="O22" i="1" s="1"/>
  <c r="E21" i="1"/>
  <c r="AA24" i="2"/>
  <c r="G24" i="2"/>
  <c r="H24" i="2" s="1"/>
  <c r="Q24" i="2" s="1"/>
  <c r="G37" i="2"/>
  <c r="H37" i="2" s="1"/>
  <c r="Q37" i="2" s="1"/>
  <c r="AA37" i="2"/>
  <c r="T37" i="2"/>
  <c r="AA14" i="2"/>
  <c r="G14" i="2"/>
  <c r="H14" i="2" s="1"/>
  <c r="Q14" i="2" s="1"/>
  <c r="AA30" i="2"/>
  <c r="G30" i="2"/>
  <c r="H30" i="2" s="1"/>
  <c r="Q30" i="2" s="1"/>
  <c r="S23" i="2"/>
  <c r="AA15" i="2"/>
  <c r="G15" i="2"/>
  <c r="H15" i="2" s="1"/>
  <c r="Q15" i="2" s="1"/>
  <c r="R35" i="2"/>
  <c r="P36" i="2"/>
  <c r="N35" i="2"/>
  <c r="W37" i="2"/>
  <c r="U36" i="2"/>
  <c r="Y37" i="2"/>
  <c r="AA29" i="2"/>
  <c r="G29" i="2"/>
  <c r="H29" i="2" s="1"/>
  <c r="Q29" i="2" s="1"/>
  <c r="K23" i="2"/>
  <c r="D22" i="2"/>
  <c r="J22" i="2"/>
  <c r="F22" i="2"/>
  <c r="C21" i="2"/>
  <c r="F23" i="2"/>
  <c r="V35" i="2"/>
  <c r="V34" i="2" s="1"/>
  <c r="V33" i="2" s="1"/>
  <c r="V32" i="2" s="1"/>
  <c r="V31" i="2" s="1"/>
  <c r="V30" i="2" s="1"/>
  <c r="V29" i="2" s="1"/>
  <c r="V28" i="2" s="1"/>
  <c r="V27" i="2" s="1"/>
  <c r="V26" i="2" s="1"/>
  <c r="V25" i="2" s="1"/>
  <c r="V24" i="2" s="1"/>
  <c r="V23" i="2" s="1"/>
  <c r="V22" i="2" s="1"/>
  <c r="K35" i="2"/>
  <c r="K36" i="2"/>
  <c r="S36" i="2" s="1"/>
  <c r="S35" i="2"/>
  <c r="F36" i="2"/>
  <c r="X36" i="2"/>
  <c r="Z37" i="2"/>
  <c r="L22" i="2"/>
  <c r="O22" i="2" s="1"/>
  <c r="E21" i="2"/>
  <c r="AA23" i="4" l="1"/>
  <c r="G23" i="4"/>
  <c r="H23" i="4" s="1"/>
  <c r="Q23" i="4" s="1"/>
  <c r="U34" i="4"/>
  <c r="AA15" i="4"/>
  <c r="G15" i="4"/>
  <c r="H15" i="4" s="1"/>
  <c r="Q15" i="4" s="1"/>
  <c r="AA37" i="4"/>
  <c r="T37" i="4"/>
  <c r="G37" i="4"/>
  <c r="H37" i="4" s="1"/>
  <c r="Q37" i="4" s="1"/>
  <c r="X34" i="4"/>
  <c r="Y37" i="4"/>
  <c r="Z38" i="4"/>
  <c r="V36" i="4"/>
  <c r="W37" i="4"/>
  <c r="J21" i="4"/>
  <c r="J20" i="4"/>
  <c r="K22" i="4"/>
  <c r="D21" i="4"/>
  <c r="L21" i="4"/>
  <c r="O21" i="4" s="1"/>
  <c r="L20" i="4"/>
  <c r="O20" i="4" s="1"/>
  <c r="AA14" i="4"/>
  <c r="G14" i="4"/>
  <c r="H14" i="4" s="1"/>
  <c r="Q14" i="4" s="1"/>
  <c r="M42" i="4"/>
  <c r="S22" i="4"/>
  <c r="F22" i="4"/>
  <c r="S36" i="4"/>
  <c r="AA35" i="4"/>
  <c r="T35" i="4"/>
  <c r="P32" i="4"/>
  <c r="N31" i="4"/>
  <c r="T32" i="4"/>
  <c r="R31" i="4"/>
  <c r="L20" i="3"/>
  <c r="O20" i="3" s="1"/>
  <c r="L21" i="3"/>
  <c r="O21" i="3" s="1"/>
  <c r="U34" i="3"/>
  <c r="G37" i="3"/>
  <c r="H37" i="3" s="1"/>
  <c r="Q37" i="3" s="1"/>
  <c r="T37" i="3"/>
  <c r="Y37" i="3"/>
  <c r="Z38" i="3"/>
  <c r="AA23" i="3"/>
  <c r="G23" i="3"/>
  <c r="H23" i="3" s="1"/>
  <c r="Q23" i="3" s="1"/>
  <c r="P34" i="3"/>
  <c r="N33" i="3"/>
  <c r="AA35" i="3"/>
  <c r="M42" i="3"/>
  <c r="T34" i="3"/>
  <c r="R33" i="3"/>
  <c r="X34" i="3"/>
  <c r="T36" i="3"/>
  <c r="G36" i="3"/>
  <c r="H36" i="3" s="1"/>
  <c r="Q36" i="3" s="1"/>
  <c r="V36" i="3"/>
  <c r="W37" i="3"/>
  <c r="J20" i="3"/>
  <c r="J21" i="3"/>
  <c r="K22" i="3"/>
  <c r="S22" i="3" s="1"/>
  <c r="D21" i="3"/>
  <c r="AA37" i="3"/>
  <c r="G36" i="1"/>
  <c r="H36" i="1" s="1"/>
  <c r="Q36" i="1" s="1"/>
  <c r="AA36" i="1"/>
  <c r="T36" i="1"/>
  <c r="L20" i="1"/>
  <c r="O20" i="1" s="1"/>
  <c r="L21" i="1"/>
  <c r="O21" i="1" s="1"/>
  <c r="V21" i="1"/>
  <c r="V20" i="1" s="1"/>
  <c r="V19" i="1" s="1"/>
  <c r="V18" i="1" s="1"/>
  <c r="V17" i="1" s="1"/>
  <c r="V16" i="1" s="1"/>
  <c r="V15" i="1" s="1"/>
  <c r="V14" i="1" s="1"/>
  <c r="V13" i="1" s="1"/>
  <c r="V12" i="1" s="1"/>
  <c r="J20" i="1"/>
  <c r="J21" i="1"/>
  <c r="K22" i="1"/>
  <c r="D21" i="1"/>
  <c r="Y36" i="1"/>
  <c r="Y35" i="1" s="1"/>
  <c r="Y34" i="1" s="1"/>
  <c r="Y33" i="1" s="1"/>
  <c r="Y32" i="1" s="1"/>
  <c r="Y31" i="1" s="1"/>
  <c r="Y30" i="1" s="1"/>
  <c r="Y29" i="1" s="1"/>
  <c r="Y28" i="1" s="1"/>
  <c r="Y27" i="1" s="1"/>
  <c r="Y26" i="1" s="1"/>
  <c r="Y25" i="1" s="1"/>
  <c r="Y24" i="1" s="1"/>
  <c r="Y23" i="1" s="1"/>
  <c r="AA23" i="1"/>
  <c r="G23" i="1"/>
  <c r="H23" i="1" s="1"/>
  <c r="Q23" i="1" s="1"/>
  <c r="Z36" i="1"/>
  <c r="X35" i="1"/>
  <c r="AA35" i="1"/>
  <c r="G35" i="1"/>
  <c r="H35" i="1" s="1"/>
  <c r="Q35" i="1" s="1"/>
  <c r="S22" i="1"/>
  <c r="U35" i="1"/>
  <c r="W36" i="1"/>
  <c r="P35" i="1"/>
  <c r="N34" i="1"/>
  <c r="T35" i="1"/>
  <c r="R34" i="1"/>
  <c r="G36" i="2"/>
  <c r="H36" i="2" s="1"/>
  <c r="Q36" i="2" s="1"/>
  <c r="AA36" i="2"/>
  <c r="T36" i="2"/>
  <c r="L20" i="2"/>
  <c r="O20" i="2" s="1"/>
  <c r="L21" i="2"/>
  <c r="O21" i="2" s="1"/>
  <c r="V21" i="2"/>
  <c r="V20" i="2" s="1"/>
  <c r="V19" i="2" s="1"/>
  <c r="V18" i="2" s="1"/>
  <c r="V17" i="2" s="1"/>
  <c r="V16" i="2" s="1"/>
  <c r="V15" i="2" s="1"/>
  <c r="V14" i="2" s="1"/>
  <c r="V13" i="2" s="1"/>
  <c r="V12" i="2" s="1"/>
  <c r="J20" i="2"/>
  <c r="J21" i="2"/>
  <c r="K22" i="2"/>
  <c r="D21" i="2"/>
  <c r="Y36" i="2"/>
  <c r="Y35" i="2" s="1"/>
  <c r="Y34" i="2" s="1"/>
  <c r="Y33" i="2" s="1"/>
  <c r="Y32" i="2" s="1"/>
  <c r="Y31" i="2" s="1"/>
  <c r="Y30" i="2" s="1"/>
  <c r="Y29" i="2" s="1"/>
  <c r="Y28" i="2" s="1"/>
  <c r="Y27" i="2" s="1"/>
  <c r="Y26" i="2" s="1"/>
  <c r="Y25" i="2" s="1"/>
  <c r="Y24" i="2" s="1"/>
  <c r="Y23" i="2" s="1"/>
  <c r="AA23" i="2"/>
  <c r="G23" i="2"/>
  <c r="H23" i="2" s="1"/>
  <c r="Q23" i="2" s="1"/>
  <c r="Z36" i="2"/>
  <c r="X35" i="2"/>
  <c r="AA35" i="2"/>
  <c r="G35" i="2"/>
  <c r="H35" i="2" s="1"/>
  <c r="Q35" i="2" s="1"/>
  <c r="S22" i="2"/>
  <c r="U35" i="2"/>
  <c r="W36" i="2"/>
  <c r="P35" i="2"/>
  <c r="N34" i="2"/>
  <c r="T35" i="2"/>
  <c r="R34" i="2"/>
  <c r="K20" i="4" l="1"/>
  <c r="K21" i="4"/>
  <c r="S20" i="4"/>
  <c r="AA20" i="4" s="1"/>
  <c r="F21" i="4"/>
  <c r="U33" i="4"/>
  <c r="T31" i="4"/>
  <c r="R30" i="4"/>
  <c r="P31" i="4"/>
  <c r="N30" i="4"/>
  <c r="AA36" i="4"/>
  <c r="T36" i="4"/>
  <c r="G36" i="4"/>
  <c r="H36" i="4" s="1"/>
  <c r="Q36" i="4" s="1"/>
  <c r="G22" i="4"/>
  <c r="H22" i="4" s="1"/>
  <c r="Q22" i="4" s="1"/>
  <c r="AA22" i="4"/>
  <c r="G20" i="4"/>
  <c r="H20" i="4" s="1"/>
  <c r="Q20" i="4" s="1"/>
  <c r="S21" i="4"/>
  <c r="V35" i="4"/>
  <c r="W36" i="4"/>
  <c r="Y36" i="4"/>
  <c r="Z37" i="4"/>
  <c r="X33" i="4"/>
  <c r="AA22" i="3"/>
  <c r="G22" i="3"/>
  <c r="H22" i="3" s="1"/>
  <c r="Q22" i="3" s="1"/>
  <c r="K21" i="3"/>
  <c r="K20" i="3"/>
  <c r="F21" i="3"/>
  <c r="V35" i="3"/>
  <c r="W36" i="3"/>
  <c r="R32" i="3"/>
  <c r="T33" i="3"/>
  <c r="N32" i="3"/>
  <c r="P33" i="3"/>
  <c r="U33" i="3"/>
  <c r="S21" i="3"/>
  <c r="S20" i="3"/>
  <c r="AA20" i="3" s="1"/>
  <c r="X33" i="3"/>
  <c r="Y36" i="3"/>
  <c r="Z37" i="3"/>
  <c r="R33" i="1"/>
  <c r="T34" i="1"/>
  <c r="N33" i="1"/>
  <c r="P34" i="1"/>
  <c r="AA22" i="1"/>
  <c r="G22" i="1"/>
  <c r="H22" i="1" s="1"/>
  <c r="Q22" i="1" s="1"/>
  <c r="X34" i="1"/>
  <c r="Z35" i="1"/>
  <c r="K21" i="1"/>
  <c r="K20" i="1"/>
  <c r="S20" i="1" s="1"/>
  <c r="F21" i="1"/>
  <c r="W35" i="1"/>
  <c r="U34" i="1"/>
  <c r="Y22" i="1"/>
  <c r="S21" i="1"/>
  <c r="R33" i="2"/>
  <c r="T34" i="2"/>
  <c r="N33" i="2"/>
  <c r="P34" i="2"/>
  <c r="AA22" i="2"/>
  <c r="G22" i="2"/>
  <c r="H22" i="2" s="1"/>
  <c r="Q22" i="2" s="1"/>
  <c r="X34" i="2"/>
  <c r="Z35" i="2"/>
  <c r="K21" i="2"/>
  <c r="K20" i="2"/>
  <c r="S20" i="2" s="1"/>
  <c r="F21" i="2"/>
  <c r="W35" i="2"/>
  <c r="U34" i="2"/>
  <c r="Y22" i="2"/>
  <c r="S21" i="2"/>
  <c r="X32" i="4" l="1"/>
  <c r="G21" i="4"/>
  <c r="H21" i="4" s="1"/>
  <c r="Q21" i="4" s="1"/>
  <c r="AA21" i="4"/>
  <c r="AA42" i="4" s="1"/>
  <c r="N29" i="4"/>
  <c r="P30" i="4"/>
  <c r="R29" i="4"/>
  <c r="T30" i="4"/>
  <c r="Y35" i="4"/>
  <c r="Z36" i="4"/>
  <c r="V34" i="4"/>
  <c r="W35" i="4"/>
  <c r="U32" i="4"/>
  <c r="X32" i="3"/>
  <c r="G20" i="3"/>
  <c r="H20" i="3" s="1"/>
  <c r="Q20" i="3" s="1"/>
  <c r="Y35" i="3"/>
  <c r="Z36" i="3"/>
  <c r="AA21" i="3"/>
  <c r="AA42" i="3" s="1"/>
  <c r="G21" i="3"/>
  <c r="H21" i="3" s="1"/>
  <c r="Q21" i="3" s="1"/>
  <c r="U32" i="3"/>
  <c r="P32" i="3"/>
  <c r="N31" i="3"/>
  <c r="T32" i="3"/>
  <c r="R31" i="3"/>
  <c r="V34" i="3"/>
  <c r="W35" i="3"/>
  <c r="AA20" i="1"/>
  <c r="G20" i="1"/>
  <c r="H20" i="1" s="1"/>
  <c r="Q20" i="1" s="1"/>
  <c r="AA21" i="1"/>
  <c r="G21" i="1"/>
  <c r="H21" i="1" s="1"/>
  <c r="Q21" i="1" s="1"/>
  <c r="W34" i="1"/>
  <c r="U33" i="1"/>
  <c r="Y21" i="1"/>
  <c r="Y20" i="1" s="1"/>
  <c r="Y19" i="1" s="1"/>
  <c r="Y18" i="1" s="1"/>
  <c r="Y17" i="1" s="1"/>
  <c r="Y16" i="1" s="1"/>
  <c r="Y15" i="1" s="1"/>
  <c r="Y14" i="1" s="1"/>
  <c r="Y13" i="1" s="1"/>
  <c r="Y12" i="1" s="1"/>
  <c r="Z34" i="1"/>
  <c r="X33" i="1"/>
  <c r="P33" i="1"/>
  <c r="N32" i="1"/>
  <c r="T33" i="1"/>
  <c r="R32" i="1"/>
  <c r="AA20" i="2"/>
  <c r="G20" i="2"/>
  <c r="H20" i="2" s="1"/>
  <c r="Q20" i="2" s="1"/>
  <c r="AA21" i="2"/>
  <c r="G21" i="2"/>
  <c r="H21" i="2" s="1"/>
  <c r="Q21" i="2" s="1"/>
  <c r="W34" i="2"/>
  <c r="U33" i="2"/>
  <c r="Y21" i="2"/>
  <c r="Y20" i="2" s="1"/>
  <c r="Y19" i="2" s="1"/>
  <c r="Y18" i="2" s="1"/>
  <c r="Y17" i="2" s="1"/>
  <c r="Y16" i="2" s="1"/>
  <c r="Y15" i="2" s="1"/>
  <c r="Y14" i="2" s="1"/>
  <c r="Y13" i="2" s="1"/>
  <c r="Y12" i="2" s="1"/>
  <c r="Z34" i="2"/>
  <c r="X33" i="2"/>
  <c r="P33" i="2"/>
  <c r="N32" i="2"/>
  <c r="T33" i="2"/>
  <c r="R32" i="2"/>
  <c r="U31" i="4" l="1"/>
  <c r="V33" i="4"/>
  <c r="W34" i="4"/>
  <c r="Y34" i="4"/>
  <c r="Z35" i="4"/>
  <c r="T29" i="4"/>
  <c r="R28" i="4"/>
  <c r="P29" i="4"/>
  <c r="N28" i="4"/>
  <c r="X31" i="4"/>
  <c r="V33" i="3"/>
  <c r="W34" i="3"/>
  <c r="Y34" i="3"/>
  <c r="Z35" i="3"/>
  <c r="X31" i="3"/>
  <c r="R30" i="3"/>
  <c r="T31" i="3"/>
  <c r="N30" i="3"/>
  <c r="P31" i="3"/>
  <c r="U31" i="3"/>
  <c r="U32" i="1"/>
  <c r="W33" i="1"/>
  <c r="R31" i="1"/>
  <c r="T32" i="1"/>
  <c r="N31" i="1"/>
  <c r="P32" i="1"/>
  <c r="Z33" i="1"/>
  <c r="X32" i="1"/>
  <c r="AA42" i="1"/>
  <c r="U32" i="2"/>
  <c r="W33" i="2"/>
  <c r="R31" i="2"/>
  <c r="T32" i="2"/>
  <c r="N31" i="2"/>
  <c r="P32" i="2"/>
  <c r="Z33" i="2"/>
  <c r="X32" i="2"/>
  <c r="AA42" i="2"/>
  <c r="X30" i="4" l="1"/>
  <c r="N27" i="4"/>
  <c r="P28" i="4"/>
  <c r="R27" i="4"/>
  <c r="T28" i="4"/>
  <c r="Y33" i="4"/>
  <c r="Z34" i="4"/>
  <c r="V32" i="4"/>
  <c r="W33" i="4"/>
  <c r="U30" i="4"/>
  <c r="X30" i="3"/>
  <c r="U30" i="3"/>
  <c r="P30" i="3"/>
  <c r="N29" i="3"/>
  <c r="T30" i="3"/>
  <c r="R29" i="3"/>
  <c r="Y33" i="3"/>
  <c r="Z34" i="3"/>
  <c r="V32" i="3"/>
  <c r="W33" i="3"/>
  <c r="X31" i="1"/>
  <c r="Z32" i="1"/>
  <c r="P31" i="1"/>
  <c r="N30" i="1"/>
  <c r="T31" i="1"/>
  <c r="R30" i="1"/>
  <c r="W32" i="1"/>
  <c r="U31" i="1"/>
  <c r="X31" i="2"/>
  <c r="Z32" i="2"/>
  <c r="P31" i="2"/>
  <c r="N30" i="2"/>
  <c r="T31" i="2"/>
  <c r="R30" i="2"/>
  <c r="W32" i="2"/>
  <c r="U31" i="2"/>
  <c r="U29" i="4" l="1"/>
  <c r="X29" i="4"/>
  <c r="V31" i="4"/>
  <c r="W32" i="4"/>
  <c r="Y32" i="4"/>
  <c r="Z33" i="4"/>
  <c r="T27" i="4"/>
  <c r="R26" i="4"/>
  <c r="P27" i="4"/>
  <c r="N26" i="4"/>
  <c r="T29" i="3"/>
  <c r="R28" i="3"/>
  <c r="P29" i="3"/>
  <c r="N28" i="3"/>
  <c r="U29" i="3"/>
  <c r="V31" i="3"/>
  <c r="W32" i="3"/>
  <c r="Y32" i="3"/>
  <c r="Z33" i="3"/>
  <c r="X29" i="3"/>
  <c r="U30" i="1"/>
  <c r="W31" i="1"/>
  <c r="R29" i="1"/>
  <c r="T30" i="1"/>
  <c r="N29" i="1"/>
  <c r="P30" i="1"/>
  <c r="Z31" i="1"/>
  <c r="X30" i="1"/>
  <c r="U30" i="2"/>
  <c r="W31" i="2"/>
  <c r="R29" i="2"/>
  <c r="T30" i="2"/>
  <c r="N29" i="2"/>
  <c r="P30" i="2"/>
  <c r="Z31" i="2"/>
  <c r="X30" i="2"/>
  <c r="N25" i="4" l="1"/>
  <c r="P26" i="4"/>
  <c r="R25" i="4"/>
  <c r="T26" i="4"/>
  <c r="U28" i="4"/>
  <c r="Y31" i="4"/>
  <c r="Z32" i="4"/>
  <c r="V30" i="4"/>
  <c r="W31" i="4"/>
  <c r="X28" i="4"/>
  <c r="X28" i="3"/>
  <c r="N27" i="3"/>
  <c r="P28" i="3"/>
  <c r="R27" i="3"/>
  <c r="T28" i="3"/>
  <c r="Y31" i="3"/>
  <c r="Z32" i="3"/>
  <c r="V30" i="3"/>
  <c r="W31" i="3"/>
  <c r="U28" i="3"/>
  <c r="X29" i="1"/>
  <c r="Z30" i="1"/>
  <c r="P29" i="1"/>
  <c r="N28" i="1"/>
  <c r="T29" i="1"/>
  <c r="R28" i="1"/>
  <c r="W30" i="1"/>
  <c r="U29" i="1"/>
  <c r="X29" i="2"/>
  <c r="Z30" i="2"/>
  <c r="P29" i="2"/>
  <c r="N28" i="2"/>
  <c r="T29" i="2"/>
  <c r="R28" i="2"/>
  <c r="W30" i="2"/>
  <c r="U29" i="2"/>
  <c r="X27" i="4" l="1"/>
  <c r="V29" i="4"/>
  <c r="W30" i="4"/>
  <c r="Y30" i="4"/>
  <c r="Z31" i="4"/>
  <c r="U27" i="4"/>
  <c r="T25" i="4"/>
  <c r="R24" i="4"/>
  <c r="P25" i="4"/>
  <c r="N24" i="4"/>
  <c r="U27" i="3"/>
  <c r="X27" i="3"/>
  <c r="V29" i="3"/>
  <c r="W30" i="3"/>
  <c r="Y30" i="3"/>
  <c r="Z31" i="3"/>
  <c r="T27" i="3"/>
  <c r="R26" i="3"/>
  <c r="P27" i="3"/>
  <c r="N26" i="3"/>
  <c r="U28" i="1"/>
  <c r="W29" i="1"/>
  <c r="R27" i="1"/>
  <c r="T28" i="1"/>
  <c r="N27" i="1"/>
  <c r="P28" i="1"/>
  <c r="Z29" i="1"/>
  <c r="X28" i="1"/>
  <c r="U28" i="2"/>
  <c r="W29" i="2"/>
  <c r="R27" i="2"/>
  <c r="T28" i="2"/>
  <c r="N27" i="2"/>
  <c r="P28" i="2"/>
  <c r="Z29" i="2"/>
  <c r="X28" i="2"/>
  <c r="N23" i="4" l="1"/>
  <c r="P24" i="4"/>
  <c r="R23" i="4"/>
  <c r="T24" i="4"/>
  <c r="U26" i="4"/>
  <c r="Y29" i="4"/>
  <c r="Z30" i="4"/>
  <c r="V28" i="4"/>
  <c r="W29" i="4"/>
  <c r="X26" i="4"/>
  <c r="N25" i="3"/>
  <c r="P26" i="3"/>
  <c r="R25" i="3"/>
  <c r="T26" i="3"/>
  <c r="U26" i="3"/>
  <c r="Y29" i="3"/>
  <c r="Z30" i="3"/>
  <c r="V28" i="3"/>
  <c r="W29" i="3"/>
  <c r="X26" i="3"/>
  <c r="X27" i="1"/>
  <c r="Z28" i="1"/>
  <c r="P27" i="1"/>
  <c r="N26" i="1"/>
  <c r="T27" i="1"/>
  <c r="R26" i="1"/>
  <c r="W28" i="1"/>
  <c r="U27" i="1"/>
  <c r="X27" i="2"/>
  <c r="Z28" i="2"/>
  <c r="P27" i="2"/>
  <c r="N26" i="2"/>
  <c r="T27" i="2"/>
  <c r="R26" i="2"/>
  <c r="W28" i="2"/>
  <c r="U27" i="2"/>
  <c r="X25" i="4" l="1"/>
  <c r="V27" i="4"/>
  <c r="W28" i="4"/>
  <c r="Y28" i="4"/>
  <c r="Z29" i="4"/>
  <c r="U25" i="4"/>
  <c r="T23" i="4"/>
  <c r="R22" i="4"/>
  <c r="P23" i="4"/>
  <c r="N22" i="4"/>
  <c r="X25" i="3"/>
  <c r="V27" i="3"/>
  <c r="W28" i="3"/>
  <c r="Y28" i="3"/>
  <c r="Z29" i="3"/>
  <c r="U25" i="3"/>
  <c r="T25" i="3"/>
  <c r="R24" i="3"/>
  <c r="P25" i="3"/>
  <c r="N24" i="3"/>
  <c r="U26" i="1"/>
  <c r="W27" i="1"/>
  <c r="R25" i="1"/>
  <c r="T26" i="1"/>
  <c r="N25" i="1"/>
  <c r="P26" i="1"/>
  <c r="Z27" i="1"/>
  <c r="X26" i="1"/>
  <c r="U26" i="2"/>
  <c r="W27" i="2"/>
  <c r="R25" i="2"/>
  <c r="T26" i="2"/>
  <c r="N25" i="2"/>
  <c r="P26" i="2"/>
  <c r="Z27" i="2"/>
  <c r="X26" i="2"/>
  <c r="N21" i="4" l="1"/>
  <c r="P22" i="4"/>
  <c r="R21" i="4"/>
  <c r="T22" i="4"/>
  <c r="U24" i="4"/>
  <c r="Y27" i="4"/>
  <c r="Z28" i="4"/>
  <c r="V26" i="4"/>
  <c r="W27" i="4"/>
  <c r="X24" i="4"/>
  <c r="N23" i="3"/>
  <c r="P24" i="3"/>
  <c r="R23" i="3"/>
  <c r="T24" i="3"/>
  <c r="U24" i="3"/>
  <c r="Y27" i="3"/>
  <c r="Z28" i="3"/>
  <c r="V26" i="3"/>
  <c r="W27" i="3"/>
  <c r="X24" i="3"/>
  <c r="X25" i="1"/>
  <c r="Z26" i="1"/>
  <c r="P25" i="1"/>
  <c r="N24" i="1"/>
  <c r="T25" i="1"/>
  <c r="R24" i="1"/>
  <c r="W26" i="1"/>
  <c r="U25" i="1"/>
  <c r="X25" i="2"/>
  <c r="Z26" i="2"/>
  <c r="P25" i="2"/>
  <c r="N24" i="2"/>
  <c r="T25" i="2"/>
  <c r="R24" i="2"/>
  <c r="W26" i="2"/>
  <c r="U25" i="2"/>
  <c r="X23" i="4" l="1"/>
  <c r="V25" i="4"/>
  <c r="W26" i="4"/>
  <c r="Y26" i="4"/>
  <c r="Z27" i="4"/>
  <c r="U23" i="4"/>
  <c r="T21" i="4"/>
  <c r="R20" i="4"/>
  <c r="P21" i="4"/>
  <c r="N20" i="4"/>
  <c r="X23" i="3"/>
  <c r="V25" i="3"/>
  <c r="W26" i="3"/>
  <c r="Y26" i="3"/>
  <c r="Z27" i="3"/>
  <c r="U23" i="3"/>
  <c r="T23" i="3"/>
  <c r="R22" i="3"/>
  <c r="P23" i="3"/>
  <c r="N22" i="3"/>
  <c r="U24" i="1"/>
  <c r="W25" i="1"/>
  <c r="T24" i="1"/>
  <c r="R23" i="1"/>
  <c r="P24" i="1"/>
  <c r="N23" i="1"/>
  <c r="Z25" i="1"/>
  <c r="X24" i="1"/>
  <c r="U24" i="2"/>
  <c r="W25" i="2"/>
  <c r="T24" i="2"/>
  <c r="R23" i="2"/>
  <c r="P24" i="2"/>
  <c r="N23" i="2"/>
  <c r="Z25" i="2"/>
  <c r="X24" i="2"/>
  <c r="N19" i="4" l="1"/>
  <c r="P20" i="4"/>
  <c r="R19" i="4"/>
  <c r="T20" i="4"/>
  <c r="U22" i="4"/>
  <c r="X22" i="4"/>
  <c r="Y25" i="4"/>
  <c r="Z26" i="4"/>
  <c r="V24" i="4"/>
  <c r="W25" i="4"/>
  <c r="P22" i="3"/>
  <c r="N21" i="3"/>
  <c r="T22" i="3"/>
  <c r="R21" i="3"/>
  <c r="U22" i="3"/>
  <c r="Y25" i="3"/>
  <c r="Z26" i="3"/>
  <c r="V24" i="3"/>
  <c r="W25" i="3"/>
  <c r="X22" i="3"/>
  <c r="Z24" i="1"/>
  <c r="X23" i="1"/>
  <c r="N22" i="1"/>
  <c r="P23" i="1"/>
  <c r="R22" i="1"/>
  <c r="T23" i="1"/>
  <c r="W24" i="1"/>
  <c r="U23" i="1"/>
  <c r="Z24" i="2"/>
  <c r="X23" i="2"/>
  <c r="N22" i="2"/>
  <c r="P23" i="2"/>
  <c r="R22" i="2"/>
  <c r="T23" i="2"/>
  <c r="W24" i="2"/>
  <c r="U23" i="2"/>
  <c r="X21" i="4" l="1"/>
  <c r="V23" i="4"/>
  <c r="W24" i="4"/>
  <c r="Y24" i="4"/>
  <c r="Z25" i="4"/>
  <c r="U21" i="4"/>
  <c r="T19" i="4"/>
  <c r="R18" i="4"/>
  <c r="P19" i="4"/>
  <c r="N18" i="4"/>
  <c r="X21" i="3"/>
  <c r="U21" i="3"/>
  <c r="R20" i="3"/>
  <c r="T21" i="3"/>
  <c r="N20" i="3"/>
  <c r="P21" i="3"/>
  <c r="V23" i="3"/>
  <c r="W24" i="3"/>
  <c r="Y24" i="3"/>
  <c r="Z25" i="3"/>
  <c r="W23" i="1"/>
  <c r="U22" i="1"/>
  <c r="X22" i="1"/>
  <c r="Z23" i="1"/>
  <c r="T22" i="1"/>
  <c r="R21" i="1"/>
  <c r="P22" i="1"/>
  <c r="N21" i="1"/>
  <c r="W23" i="2"/>
  <c r="U22" i="2"/>
  <c r="X22" i="2"/>
  <c r="Z23" i="2"/>
  <c r="T22" i="2"/>
  <c r="R21" i="2"/>
  <c r="P22" i="2"/>
  <c r="N21" i="2"/>
  <c r="N17" i="4" l="1"/>
  <c r="P18" i="4"/>
  <c r="R17" i="4"/>
  <c r="T18" i="4"/>
  <c r="U20" i="4"/>
  <c r="Y23" i="4"/>
  <c r="Z24" i="4"/>
  <c r="V22" i="4"/>
  <c r="W23" i="4"/>
  <c r="X20" i="4"/>
  <c r="X20" i="3"/>
  <c r="Y23" i="3"/>
  <c r="Z24" i="3"/>
  <c r="V22" i="3"/>
  <c r="W23" i="3"/>
  <c r="P20" i="3"/>
  <c r="N19" i="3"/>
  <c r="T20" i="3"/>
  <c r="R19" i="3"/>
  <c r="U20" i="3"/>
  <c r="N20" i="1"/>
  <c r="P21" i="1"/>
  <c r="R20" i="1"/>
  <c r="T21" i="1"/>
  <c r="U21" i="1"/>
  <c r="W22" i="1"/>
  <c r="Z22" i="1"/>
  <c r="X21" i="1"/>
  <c r="N20" i="2"/>
  <c r="P21" i="2"/>
  <c r="R20" i="2"/>
  <c r="T21" i="2"/>
  <c r="U21" i="2"/>
  <c r="W22" i="2"/>
  <c r="Z22" i="2"/>
  <c r="X21" i="2"/>
  <c r="X19" i="4" l="1"/>
  <c r="V21" i="4"/>
  <c r="W22" i="4"/>
  <c r="Y22" i="4"/>
  <c r="Z23" i="4"/>
  <c r="U19" i="4"/>
  <c r="T17" i="4"/>
  <c r="R16" i="4"/>
  <c r="P17" i="4"/>
  <c r="N16" i="4"/>
  <c r="U19" i="3"/>
  <c r="R18" i="3"/>
  <c r="T19" i="3"/>
  <c r="N18" i="3"/>
  <c r="P19" i="3"/>
  <c r="V21" i="3"/>
  <c r="W22" i="3"/>
  <c r="Y22" i="3"/>
  <c r="Z23" i="3"/>
  <c r="X19" i="3"/>
  <c r="X20" i="1"/>
  <c r="Z21" i="1"/>
  <c r="W21" i="1"/>
  <c r="U20" i="1"/>
  <c r="T20" i="1"/>
  <c r="R19" i="1"/>
  <c r="P20" i="1"/>
  <c r="N19" i="1"/>
  <c r="X20" i="2"/>
  <c r="Z21" i="2"/>
  <c r="W21" i="2"/>
  <c r="U20" i="2"/>
  <c r="T20" i="2"/>
  <c r="R19" i="2"/>
  <c r="P20" i="2"/>
  <c r="N19" i="2"/>
  <c r="N15" i="4" l="1"/>
  <c r="P16" i="4"/>
  <c r="R15" i="4"/>
  <c r="T16" i="4"/>
  <c r="U18" i="4"/>
  <c r="X18" i="4"/>
  <c r="Y21" i="4"/>
  <c r="Z22" i="4"/>
  <c r="V20" i="4"/>
  <c r="W21" i="4"/>
  <c r="X18" i="3"/>
  <c r="Y21" i="3"/>
  <c r="Z22" i="3"/>
  <c r="V20" i="3"/>
  <c r="W21" i="3"/>
  <c r="P18" i="3"/>
  <c r="N17" i="3"/>
  <c r="T18" i="3"/>
  <c r="R17" i="3"/>
  <c r="U18" i="3"/>
  <c r="N18" i="1"/>
  <c r="P19" i="1"/>
  <c r="R18" i="1"/>
  <c r="T19" i="1"/>
  <c r="U19" i="1"/>
  <c r="W20" i="1"/>
  <c r="Z20" i="1"/>
  <c r="X19" i="1"/>
  <c r="N18" i="2"/>
  <c r="P19" i="2"/>
  <c r="R18" i="2"/>
  <c r="T19" i="2"/>
  <c r="U19" i="2"/>
  <c r="W20" i="2"/>
  <c r="Z20" i="2"/>
  <c r="X19" i="2"/>
  <c r="X17" i="4" l="1"/>
  <c r="V19" i="4"/>
  <c r="W20" i="4"/>
  <c r="Y20" i="4"/>
  <c r="Z21" i="4"/>
  <c r="U17" i="4"/>
  <c r="T15" i="4"/>
  <c r="R14" i="4"/>
  <c r="P15" i="4"/>
  <c r="N14" i="4"/>
  <c r="U17" i="3"/>
  <c r="R16" i="3"/>
  <c r="T17" i="3"/>
  <c r="N16" i="3"/>
  <c r="P17" i="3"/>
  <c r="V19" i="3"/>
  <c r="W20" i="3"/>
  <c r="Y20" i="3"/>
  <c r="Z21" i="3"/>
  <c r="X17" i="3"/>
  <c r="X18" i="1"/>
  <c r="Z19" i="1"/>
  <c r="W19" i="1"/>
  <c r="U18" i="1"/>
  <c r="T18" i="1"/>
  <c r="R17" i="1"/>
  <c r="P18" i="1"/>
  <c r="N17" i="1"/>
  <c r="X18" i="2"/>
  <c r="Z19" i="2"/>
  <c r="W19" i="2"/>
  <c r="U18" i="2"/>
  <c r="T18" i="2"/>
  <c r="R17" i="2"/>
  <c r="P18" i="2"/>
  <c r="N17" i="2"/>
  <c r="P14" i="4" l="1"/>
  <c r="N13" i="4"/>
  <c r="T14" i="4"/>
  <c r="R13" i="4"/>
  <c r="U16" i="4"/>
  <c r="Y19" i="4"/>
  <c r="Z20" i="4"/>
  <c r="V18" i="4"/>
  <c r="W19" i="4"/>
  <c r="X16" i="4"/>
  <c r="X16" i="3"/>
  <c r="Y19" i="3"/>
  <c r="Z20" i="3"/>
  <c r="V18" i="3"/>
  <c r="W19" i="3"/>
  <c r="P16" i="3"/>
  <c r="N15" i="3"/>
  <c r="T16" i="3"/>
  <c r="R15" i="3"/>
  <c r="U16" i="3"/>
  <c r="N16" i="1"/>
  <c r="P17" i="1"/>
  <c r="R16" i="1"/>
  <c r="T17" i="1"/>
  <c r="U17" i="1"/>
  <c r="W18" i="1"/>
  <c r="Z18" i="1"/>
  <c r="X17" i="1"/>
  <c r="N16" i="2"/>
  <c r="P17" i="2"/>
  <c r="R16" i="2"/>
  <c r="T17" i="2"/>
  <c r="U17" i="2"/>
  <c r="W18" i="2"/>
  <c r="Z18" i="2"/>
  <c r="X17" i="2"/>
  <c r="X15" i="4" l="1"/>
  <c r="R12" i="4"/>
  <c r="T12" i="4" s="1"/>
  <c r="T13" i="4"/>
  <c r="N12" i="4"/>
  <c r="P12" i="4" s="1"/>
  <c r="P13" i="4"/>
  <c r="V17" i="4"/>
  <c r="W18" i="4"/>
  <c r="Y18" i="4"/>
  <c r="Z19" i="4"/>
  <c r="U15" i="4"/>
  <c r="U15" i="3"/>
  <c r="R14" i="3"/>
  <c r="T15" i="3"/>
  <c r="N14" i="3"/>
  <c r="P15" i="3"/>
  <c r="V17" i="3"/>
  <c r="W18" i="3"/>
  <c r="Y18" i="3"/>
  <c r="Z19" i="3"/>
  <c r="X15" i="3"/>
  <c r="X16" i="1"/>
  <c r="Z17" i="1"/>
  <c r="W17" i="1"/>
  <c r="U16" i="1"/>
  <c r="T16" i="1"/>
  <c r="R15" i="1"/>
  <c r="P16" i="1"/>
  <c r="N15" i="1"/>
  <c r="X16" i="2"/>
  <c r="Z17" i="2"/>
  <c r="W17" i="2"/>
  <c r="U16" i="2"/>
  <c r="T16" i="2"/>
  <c r="R15" i="2"/>
  <c r="P16" i="2"/>
  <c r="N15" i="2"/>
  <c r="U14" i="4" l="1"/>
  <c r="Y17" i="4"/>
  <c r="Z18" i="4"/>
  <c r="V16" i="4"/>
  <c r="W17" i="4"/>
  <c r="X14" i="4"/>
  <c r="X14" i="3"/>
  <c r="Y17" i="3"/>
  <c r="Z18" i="3"/>
  <c r="V16" i="3"/>
  <c r="W17" i="3"/>
  <c r="P14" i="3"/>
  <c r="N13" i="3"/>
  <c r="T14" i="3"/>
  <c r="R13" i="3"/>
  <c r="U14" i="3"/>
  <c r="N14" i="1"/>
  <c r="P15" i="1"/>
  <c r="R14" i="1"/>
  <c r="T15" i="1"/>
  <c r="U15" i="1"/>
  <c r="W16" i="1"/>
  <c r="Z16" i="1"/>
  <c r="X15" i="1"/>
  <c r="N14" i="2"/>
  <c r="P15" i="2"/>
  <c r="R14" i="2"/>
  <c r="T15" i="2"/>
  <c r="U15" i="2"/>
  <c r="W16" i="2"/>
  <c r="Z16" i="2"/>
  <c r="X15" i="2"/>
  <c r="X13" i="4" l="1"/>
  <c r="V15" i="4"/>
  <c r="W16" i="4"/>
  <c r="Y16" i="4"/>
  <c r="Z17" i="4"/>
  <c r="U13" i="4"/>
  <c r="U13" i="3"/>
  <c r="T13" i="3"/>
  <c r="R12" i="3"/>
  <c r="T12" i="3" s="1"/>
  <c r="P13" i="3"/>
  <c r="N12" i="3"/>
  <c r="P12" i="3" s="1"/>
  <c r="V15" i="3"/>
  <c r="W16" i="3"/>
  <c r="Y16" i="3"/>
  <c r="Z17" i="3"/>
  <c r="X13" i="3"/>
  <c r="X14" i="1"/>
  <c r="Z15" i="1"/>
  <c r="W15" i="1"/>
  <c r="U14" i="1"/>
  <c r="T14" i="1"/>
  <c r="R13" i="1"/>
  <c r="P14" i="1"/>
  <c r="N13" i="1"/>
  <c r="X14" i="2"/>
  <c r="Z15" i="2"/>
  <c r="W15" i="2"/>
  <c r="U14" i="2"/>
  <c r="T14" i="2"/>
  <c r="R13" i="2"/>
  <c r="P14" i="2"/>
  <c r="N13" i="2"/>
  <c r="U12" i="4" l="1"/>
  <c r="X12" i="4"/>
  <c r="Y15" i="4"/>
  <c r="Z16" i="4"/>
  <c r="V14" i="4"/>
  <c r="W15" i="4"/>
  <c r="X12" i="3"/>
  <c r="Y15" i="3"/>
  <c r="Z16" i="3"/>
  <c r="V14" i="3"/>
  <c r="W15" i="3"/>
  <c r="U12" i="3"/>
  <c r="P13" i="1"/>
  <c r="N12" i="1"/>
  <c r="P12" i="1" s="1"/>
  <c r="T13" i="1"/>
  <c r="R12" i="1"/>
  <c r="T12" i="1" s="1"/>
  <c r="U13" i="1"/>
  <c r="W14" i="1"/>
  <c r="Z14" i="1"/>
  <c r="X13" i="1"/>
  <c r="P13" i="2"/>
  <c r="N12" i="2"/>
  <c r="P12" i="2" s="1"/>
  <c r="T13" i="2"/>
  <c r="R12" i="2"/>
  <c r="T12" i="2" s="1"/>
  <c r="U13" i="2"/>
  <c r="W14" i="2"/>
  <c r="Z14" i="2"/>
  <c r="X13" i="2"/>
  <c r="V13" i="4" l="1"/>
  <c r="W14" i="4"/>
  <c r="Y14" i="4"/>
  <c r="Z15" i="4"/>
  <c r="V13" i="3"/>
  <c r="W14" i="3"/>
  <c r="Y14" i="3"/>
  <c r="Z15" i="3"/>
  <c r="Z13" i="1"/>
  <c r="X12" i="1"/>
  <c r="Z12" i="1" s="1"/>
  <c r="U12" i="1"/>
  <c r="W12" i="1" s="1"/>
  <c r="W13" i="1"/>
  <c r="Z13" i="2"/>
  <c r="X12" i="2"/>
  <c r="Z12" i="2" s="1"/>
  <c r="U12" i="2"/>
  <c r="W12" i="2" s="1"/>
  <c r="W13" i="2"/>
  <c r="Y13" i="4" l="1"/>
  <c r="Z14" i="4"/>
  <c r="V12" i="4"/>
  <c r="W12" i="4" s="1"/>
  <c r="W13" i="4"/>
  <c r="Y13" i="3"/>
  <c r="Z14" i="3"/>
  <c r="V12" i="3"/>
  <c r="W12" i="3" s="1"/>
  <c r="W13" i="3"/>
  <c r="Y12" i="4" l="1"/>
  <c r="Z12" i="4" s="1"/>
  <c r="Z13" i="4"/>
  <c r="Y12" i="3"/>
  <c r="Z12" i="3" s="1"/>
  <c r="Z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Gomez Fernandez</author>
  </authors>
  <commentList>
    <comment ref="M42" authorId="0" shapeId="0" xr:uid="{4E97D932-834D-4299-BB69-DEB171CF2E07}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Gomez Fernandez</author>
  </authors>
  <commentList>
    <comment ref="M42" authorId="0" shapeId="0" xr:uid="{3CBB57DA-3785-4E2B-AE38-3EA5455F0DAC}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Gomez Fernandez</author>
  </authors>
  <commentList>
    <comment ref="M42" authorId="0" shapeId="0" xr:uid="{AEB35133-C133-47C7-8879-108922683385}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Gomez Fernandez</author>
  </authors>
  <commentList>
    <comment ref="M42" authorId="0" shapeId="0" xr:uid="{94B2DF8C-571B-4927-8AF4-4CB125FDE23D}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sharedStrings.xml><?xml version="1.0" encoding="utf-8"?>
<sst xmlns="http://schemas.openxmlformats.org/spreadsheetml/2006/main" count="208" uniqueCount="46">
  <si>
    <t xml:space="preserve">                                                                        ANEXO No. 1.</t>
  </si>
  <si>
    <t xml:space="preserve">                                                                  TABLA 1A</t>
  </si>
  <si>
    <t xml:space="preserve">Cumplimiento del plan de consumo de energía eléctrica total, mes: </t>
  </si>
  <si>
    <t>junio-2025</t>
  </si>
  <si>
    <t>SERVICIO: COCINA COMEDOR</t>
  </si>
  <si>
    <t>total</t>
  </si>
  <si>
    <t>diaria</t>
  </si>
  <si>
    <t>SERVICIO: Cocina Comedor</t>
  </si>
  <si>
    <t>Plan Pico N</t>
  </si>
  <si>
    <t>Plan Pico D</t>
  </si>
  <si>
    <t>PLAN MES</t>
  </si>
  <si>
    <t>Perdidas:</t>
  </si>
  <si>
    <t>Día</t>
  </si>
  <si>
    <t>Lectura del contador</t>
  </si>
  <si>
    <t>Consumo diario kWh y kvarh</t>
  </si>
  <si>
    <t>Consumo diario Pico nocturno kWh</t>
  </si>
  <si>
    <t>Consumo diario pico Diurno kWh</t>
  </si>
  <si>
    <t>Consumo diario total kWh</t>
  </si>
  <si>
    <t>Consumo acumulado Pico kWh</t>
  </si>
  <si>
    <t>Consumo acumulado Total kWh</t>
  </si>
  <si>
    <t>Firma Responsable</t>
  </si>
  <si>
    <t>MAD</t>
  </si>
  <si>
    <t>DIA</t>
  </si>
  <si>
    <t>PICO</t>
  </si>
  <si>
    <t>TOTAL</t>
  </si>
  <si>
    <t>Pico Diurno 11 am</t>
  </si>
  <si>
    <t>Pico Diurno 1 pm</t>
  </si>
  <si>
    <t>REACT</t>
  </si>
  <si>
    <t>Plan Pico</t>
  </si>
  <si>
    <t>Real Pico</t>
  </si>
  <si>
    <t>Plan - Real</t>
  </si>
  <si>
    <t>Plan</t>
  </si>
  <si>
    <t>Real</t>
  </si>
  <si>
    <t>Plan   - Real</t>
  </si>
  <si>
    <t>FP</t>
  </si>
  <si>
    <t>cierre mes anterior</t>
  </si>
  <si>
    <t/>
  </si>
  <si>
    <t>Aprobado:</t>
  </si>
  <si>
    <t>Ms.C. Jorge Luis García Santana</t>
  </si>
  <si>
    <t>Director General</t>
  </si>
  <si>
    <t>Universidad Camaguey</t>
  </si>
  <si>
    <t>SERVICIO: CIENCIA ANIMAL</t>
  </si>
  <si>
    <t>SERVICIO: Nueva Estacion</t>
  </si>
  <si>
    <t>SERVICIO: Omnipotente</t>
  </si>
  <si>
    <t>SERVICIO: Teoria del Big Bang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</si>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</sst>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8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/>
    <xf numFmtId="17" fontId="7" fillId="0" borderId="0" xfId="0" applyNumberFormat="1" applyFont="1"/>
    <xf numFmtId="1" fontId="13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1" fontId="0" fillId="0" borderId="0" xfId="0" applyNumberFormat="1"/>
    <xf numFmtId="1" fontId="8" fillId="0" borderId="0" xfId="0" applyNumberFormat="1" applyFont="1"/>
    <xf numFmtId="14" fontId="0" fillId="0" borderId="0" xfId="0" applyNumberFormat="1"/>
    <xf numFmtId="1" fontId="8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2" fontId="9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0" xfId="0"/>
    <xf numFmtId="1" fontId="1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0" xfId="0" applyFill="1"/>
    <xf numFmtId="0" fontId="12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6" fillId="0" borderId="0" xfId="0" applyFont="1" applyAlignment="1">
      <alignment horizontal="left"/>
    </xf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8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2" fontId="9" fillId="0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0" fontId="18" fillId="2" borderId="0" xfId="0" applyFont="1" applyFill="1"/>
    <xf numFmtId="2" fontId="8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B4141"/>
  <sheetViews>
    <sheetView topLeftCell="Y1" zoomScale="60" zoomScaleNormal="60" zoomScaleSheetLayoutView="95" workbookViewId="0">
      <pane ySplit="1" topLeftCell="A20" activePane="bottomLeft" state="frozen"/>
      <selection pane="bottomLeft" activeCell="B12" sqref="B12:AA42"/>
    </sheetView>
  </sheetViews>
  <sheetFormatPr baseColWidth="10" defaultColWidth="11.42578125" defaultRowHeight="15" x14ac:dyDescent="0.25"/>
  <cols>
    <col min="1" max="2" width="11.42578125" style="36" customWidth="1"/>
    <col min="3" max="3" width="12.28515625" style="36" bestFit="1" customWidth="1"/>
    <col min="4" max="4" width="12.140625" style="36" customWidth="1"/>
    <col min="5" max="5" width="16.28515625" style="36" customWidth="1"/>
    <col min="6" max="7" width="13" style="36" customWidth="1"/>
    <col min="8" max="8" width="12" style="36" customWidth="1"/>
    <col min="9" max="9" width="12.28515625" style="36" bestFit="1" customWidth="1"/>
    <col min="11" max="11" width="14" style="36" customWidth="1"/>
    <col min="16" max="16" width="13.42578125" style="36" bestFit="1" customWidth="1"/>
    <col min="17" max="17" width="13.140625" style="36" customWidth="1"/>
    <col min="18" max="18" width="11.42578125" style="7" customWidth="1"/>
    <col min="19" max="19" width="13.28515625" style="36" customWidth="1"/>
    <col min="20" max="20" width="14.7109375" style="36" bestFit="1" customWidth="1"/>
    <col min="21" max="21" width="11.7109375" style="36" bestFit="1" customWidth="1"/>
    <col min="22" max="22" width="13.28515625" style="36" bestFit="1" customWidth="1"/>
    <col min="23" max="23" width="12.5703125" style="36" bestFit="1" customWidth="1"/>
    <col min="24" max="24" width="11.5703125" style="36" bestFit="1" customWidth="1"/>
    <col min="25" max="25" width="14" style="36" bestFit="1" customWidth="1"/>
    <col min="26" max="26" width="13.42578125" style="36" bestFit="1" customWidth="1"/>
    <col min="27" max="27" width="15.140625" style="36" customWidth="1"/>
    <col min="28" max="28" width="16.140625" style="36" customWidth="1"/>
  </cols>
  <sheetData>
    <row r="2" spans="2:28" ht="15.75" customHeight="1" x14ac:dyDescent="0.25">
      <c r="G2" s="12" t="s">
        <v>0</v>
      </c>
    </row>
    <row r="3" spans="2:28" ht="15.75" customHeight="1" x14ac:dyDescent="0.25">
      <c r="G3" s="12" t="s">
        <v>1</v>
      </c>
    </row>
    <row r="4" spans="2:28" ht="15.75" customHeight="1" x14ac:dyDescent="0.3">
      <c r="G4" s="13" t="s">
        <v>2</v>
      </c>
      <c r="N4" s="14" t="s">
        <v>3</v>
      </c>
    </row>
    <row r="5" spans="2:28" x14ac:dyDescent="0.25">
      <c r="C5" s="43" t="s">
        <v>4</v>
      </c>
      <c r="D5" s="44"/>
      <c r="E5" s="44"/>
      <c r="T5" s="26"/>
      <c r="U5" s="26" t="s">
        <v>5</v>
      </c>
      <c r="V5" s="26" t="s">
        <v>6</v>
      </c>
      <c r="W5" s="23"/>
    </row>
    <row r="6" spans="2:28" ht="15.75" customHeight="1" x14ac:dyDescent="0.25">
      <c r="C6" t="s">
        <v>7</v>
      </c>
      <c r="N6" s="6" t="s">
        <v>8</v>
      </c>
      <c r="O6" s="15">
        <f>S6*16.5%</f>
        <v>42900</v>
      </c>
      <c r="P6" s="16" t="s">
        <v>9</v>
      </c>
      <c r="Q6" s="5">
        <f>(S6*8)/100</f>
        <v>20800</v>
      </c>
      <c r="R6" s="8" t="s">
        <v>10</v>
      </c>
      <c r="S6" s="5">
        <v>260000</v>
      </c>
      <c r="T6" s="26" t="s">
        <v>11</v>
      </c>
      <c r="U6" s="26">
        <v>125</v>
      </c>
      <c r="V6" s="25">
        <f>U6/30</f>
        <v>4.166666666666667</v>
      </c>
    </row>
    <row r="7" spans="2:28" ht="15.75" customHeight="1" x14ac:dyDescent="0.25">
      <c r="N7" s="6"/>
      <c r="O7" s="15"/>
      <c r="P7" s="16"/>
      <c r="Q7" s="5"/>
      <c r="R7" s="8"/>
      <c r="S7" s="5"/>
      <c r="T7" s="26"/>
      <c r="U7" s="26"/>
      <c r="V7" s="25"/>
    </row>
    <row r="8" spans="2:28" ht="46.5" customHeight="1" x14ac:dyDescent="0.25">
      <c r="B8" s="47" t="s">
        <v>12</v>
      </c>
      <c r="C8" s="40" t="s">
        <v>13</v>
      </c>
      <c r="D8" s="41"/>
      <c r="E8" s="41"/>
      <c r="F8" s="41"/>
      <c r="G8" s="41"/>
      <c r="H8" s="41"/>
      <c r="I8" s="42"/>
      <c r="J8" s="40" t="s">
        <v>14</v>
      </c>
      <c r="K8" s="41"/>
      <c r="L8" s="41"/>
      <c r="M8" s="42"/>
      <c r="N8" s="40" t="s">
        <v>15</v>
      </c>
      <c r="O8" s="41"/>
      <c r="P8" s="42"/>
      <c r="Q8" s="45" t="s">
        <v>16</v>
      </c>
      <c r="R8" s="40" t="s">
        <v>17</v>
      </c>
      <c r="S8" s="41"/>
      <c r="T8" s="42"/>
      <c r="U8" s="40" t="s">
        <v>18</v>
      </c>
      <c r="V8" s="41"/>
      <c r="W8" s="42"/>
      <c r="X8" s="40" t="s">
        <v>19</v>
      </c>
      <c r="Y8" s="41"/>
      <c r="Z8" s="41"/>
      <c r="AA8" s="42"/>
      <c r="AB8" s="45" t="s">
        <v>20</v>
      </c>
    </row>
    <row r="9" spans="2:28" ht="30" customHeight="1" x14ac:dyDescent="0.25">
      <c r="B9" s="46"/>
      <c r="C9" s="38" t="s">
        <v>21</v>
      </c>
      <c r="D9" s="38" t="s">
        <v>22</v>
      </c>
      <c r="E9" s="38" t="s">
        <v>23</v>
      </c>
      <c r="F9" s="38" t="s">
        <v>24</v>
      </c>
      <c r="G9" s="38" t="s">
        <v>25</v>
      </c>
      <c r="H9" s="38" t="s">
        <v>26</v>
      </c>
      <c r="I9" s="38" t="s">
        <v>27</v>
      </c>
      <c r="J9" s="38" t="s">
        <v>21</v>
      </c>
      <c r="K9" s="38" t="s">
        <v>22</v>
      </c>
      <c r="L9" s="38" t="s">
        <v>23</v>
      </c>
      <c r="M9" s="38" t="s">
        <v>27</v>
      </c>
      <c r="N9" s="38" t="s">
        <v>28</v>
      </c>
      <c r="O9" s="38" t="s">
        <v>29</v>
      </c>
      <c r="P9" s="38" t="s">
        <v>30</v>
      </c>
      <c r="Q9" s="46"/>
      <c r="R9" s="9" t="s">
        <v>31</v>
      </c>
      <c r="S9" s="38" t="s">
        <v>32</v>
      </c>
      <c r="T9" s="38" t="s">
        <v>30</v>
      </c>
      <c r="U9" s="38" t="s">
        <v>28</v>
      </c>
      <c r="V9" s="38" t="s">
        <v>29</v>
      </c>
      <c r="W9" s="38" t="s">
        <v>30</v>
      </c>
      <c r="X9" s="38" t="s">
        <v>31</v>
      </c>
      <c r="Y9" s="38" t="s">
        <v>32</v>
      </c>
      <c r="Z9" s="17" t="s">
        <v>33</v>
      </c>
      <c r="AA9" s="38" t="s">
        <v>34</v>
      </c>
      <c r="AB9" s="46"/>
    </row>
    <row r="10" spans="2:28" x14ac:dyDescent="0.25">
      <c r="B10" s="18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0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customHeight="1" x14ac:dyDescent="0.25">
      <c r="B11" s="27"/>
      <c r="C11" s="27"/>
      <c r="D11" s="27"/>
      <c r="E11" s="27"/>
      <c r="F11" s="29"/>
      <c r="G11" s="30"/>
      <c r="H11" s="28"/>
      <c r="I11" s="28"/>
      <c r="J11" s="31"/>
      <c r="K11" s="31"/>
      <c r="L11" s="31"/>
      <c r="M11" s="31"/>
      <c r="N11" s="32"/>
      <c r="O11" s="33"/>
      <c r="P11" s="32"/>
      <c r="Q11" s="32"/>
      <c r="R11" s="37"/>
      <c r="S11" s="31"/>
      <c r="T11" s="28"/>
      <c r="U11" s="28"/>
      <c r="V11" s="28"/>
      <c r="W11" s="28"/>
      <c r="X11" s="28"/>
      <c r="Y11" s="28"/>
      <c r="Z11" s="28"/>
      <c r="AA11" s="34"/>
      <c r="AB11" s="35"/>
    </row>
    <row r="12" spans="2:28" ht="18" customHeight="1" x14ac:dyDescent="0.25">
      <c r="B12" s="27">
        <v>30</v>
      </c>
      <c r="C12" s="32">
        <f>C13+214</f>
        <v>283379</v>
      </c>
      <c r="D12" s="32">
        <f>D13+114</f>
        <v>598023</v>
      </c>
      <c r="E12" s="32">
        <f>E13+10</f>
        <v>145074</v>
      </c>
      <c r="F12" s="29">
        <f t="shared" ref="F12" si="0">C12+D12+E12</f>
        <v>1026476</v>
      </c>
      <c r="G12" s="30">
        <f t="shared" ref="G12:G41" si="1">(C13+D13+E13)+((S12/24)*7.5)</f>
        <v>1026243.625</v>
      </c>
      <c r="H12" s="28">
        <f t="shared" ref="H12:H41" si="2">G12+((K12/12)*2.5)</f>
        <v>1026267.375</v>
      </c>
      <c r="I12" s="32">
        <f>I13+212</f>
        <v>718278</v>
      </c>
      <c r="J12" s="31">
        <f t="shared" ref="J12:L27" si="3">C12-C13</f>
        <v>214</v>
      </c>
      <c r="K12" s="31">
        <f t="shared" si="3"/>
        <v>114</v>
      </c>
      <c r="L12" s="31">
        <f t="shared" si="3"/>
        <v>10</v>
      </c>
      <c r="M12" s="31">
        <f t="shared" ref="M12:M41" si="4">I12-I13</f>
        <v>212</v>
      </c>
      <c r="N12" s="32">
        <f t="shared" ref="N12:N41" si="5">N13</f>
        <v>1383.8709677419354</v>
      </c>
      <c r="O12" s="33">
        <f t="shared" ref="O12:O41" si="6">L12</f>
        <v>10</v>
      </c>
      <c r="P12" s="32">
        <f t="shared" ref="P12:P41" si="7">N12-O12</f>
        <v>1373.8709677419354</v>
      </c>
      <c r="Q12" s="32">
        <f t="shared" ref="Q12:Q41" si="8">H12-G12</f>
        <v>23.75</v>
      </c>
      <c r="R12" s="28">
        <f t="shared" ref="R12:R40" si="9">R13</f>
        <v>8387.0967741935492</v>
      </c>
      <c r="S12" s="31">
        <f t="shared" ref="S12:S39" si="10">J12+K12+L12</f>
        <v>338</v>
      </c>
      <c r="T12" s="28">
        <f t="shared" ref="T12:T41" si="11">R12-S12</f>
        <v>8049.0967741935492</v>
      </c>
      <c r="U12" s="28">
        <f t="shared" ref="U12:V27" si="12">U13+N12</f>
        <v>41516.129032258039</v>
      </c>
      <c r="V12" s="28">
        <f t="shared" si="12"/>
        <v>2082</v>
      </c>
      <c r="W12" s="28">
        <f t="shared" ref="W12:W41" si="13">U12-V12</f>
        <v>39434.129032258039</v>
      </c>
      <c r="X12" s="28">
        <f t="shared" ref="X12:Y27" si="14">X13+R12</f>
        <v>251612.9032258064</v>
      </c>
      <c r="Y12" s="28">
        <f t="shared" si="14"/>
        <v>14966.166666666668</v>
      </c>
      <c r="Z12" s="28">
        <f t="shared" ref="Z12:Z41" si="15">X12-Y12</f>
        <v>236646.73655913974</v>
      </c>
      <c r="AA12" s="34">
        <f t="shared" ref="AA12:AA41" si="16">COS(ATAN(M12/S12))</f>
        <v>0.84715238348320165</v>
      </c>
      <c r="AB12" s="35"/>
    </row>
    <row r="13" spans="2:28" ht="18" customHeight="1" x14ac:dyDescent="0.25">
      <c r="B13" s="27">
        <v>29</v>
      </c>
      <c r="C13" s="32">
        <f>C14+210</f>
        <v>283165</v>
      </c>
      <c r="D13" s="32">
        <f>D14+190</f>
        <v>597909</v>
      </c>
      <c r="E13" s="32">
        <f>E14+8</f>
        <v>145064</v>
      </c>
      <c r="F13" s="29">
        <f>C13+D13+E13</f>
        <v>1026138</v>
      </c>
      <c r="G13" s="30">
        <f t="shared" si="1"/>
        <v>1025857.5</v>
      </c>
      <c r="H13" s="28">
        <f t="shared" si="2"/>
        <v>1025897.0833333334</v>
      </c>
      <c r="I13" s="32">
        <f>I14+209</f>
        <v>718066</v>
      </c>
      <c r="J13" s="31">
        <f t="shared" si="3"/>
        <v>210</v>
      </c>
      <c r="K13" s="31">
        <f t="shared" si="3"/>
        <v>190</v>
      </c>
      <c r="L13" s="31">
        <f t="shared" si="3"/>
        <v>8</v>
      </c>
      <c r="M13" s="31">
        <f t="shared" si="4"/>
        <v>209</v>
      </c>
      <c r="N13" s="32">
        <f t="shared" si="5"/>
        <v>1383.8709677419354</v>
      </c>
      <c r="O13" s="33">
        <f t="shared" si="6"/>
        <v>8</v>
      </c>
      <c r="P13" s="32">
        <f t="shared" si="7"/>
        <v>1375.8709677419354</v>
      </c>
      <c r="Q13" s="32">
        <f t="shared" si="8"/>
        <v>39.583333333372138</v>
      </c>
      <c r="R13" s="28">
        <f t="shared" si="9"/>
        <v>8387.0967741935492</v>
      </c>
      <c r="S13" s="31">
        <f t="shared" si="10"/>
        <v>408</v>
      </c>
      <c r="T13" s="28">
        <f t="shared" si="11"/>
        <v>7979.0967741935492</v>
      </c>
      <c r="U13" s="28">
        <f t="shared" si="12"/>
        <v>40132.258064516107</v>
      </c>
      <c r="V13" s="28">
        <f t="shared" si="12"/>
        <v>2072</v>
      </c>
      <c r="W13" s="28">
        <f t="shared" si="13"/>
        <v>38060.258064516107</v>
      </c>
      <c r="X13" s="28">
        <f t="shared" si="14"/>
        <v>243225.80645161285</v>
      </c>
      <c r="Y13" s="28">
        <f t="shared" si="14"/>
        <v>14628.166666666668</v>
      </c>
      <c r="Z13" s="28">
        <f t="shared" si="15"/>
        <v>228597.63978494619</v>
      </c>
      <c r="AA13" s="34">
        <f t="shared" si="16"/>
        <v>0.89002177576251562</v>
      </c>
      <c r="AB13" s="35"/>
    </row>
    <row r="14" spans="2:28" ht="18" customHeight="1" x14ac:dyDescent="0.25">
      <c r="B14" s="27">
        <v>28</v>
      </c>
      <c r="C14" s="32">
        <v>282955</v>
      </c>
      <c r="D14" s="32">
        <v>597719</v>
      </c>
      <c r="E14" s="32">
        <f>144997+59</f>
        <v>145056</v>
      </c>
      <c r="F14" s="29">
        <f t="shared" ref="F14:F41" si="17">C14+D14+E14</f>
        <v>1025730</v>
      </c>
      <c r="G14" s="30">
        <f t="shared" si="1"/>
        <v>1025404.8125</v>
      </c>
      <c r="H14" s="28">
        <f t="shared" si="2"/>
        <v>1025451.0625</v>
      </c>
      <c r="I14" s="32">
        <v>717857</v>
      </c>
      <c r="J14" s="31">
        <f t="shared" si="3"/>
        <v>186</v>
      </c>
      <c r="K14" s="31">
        <f t="shared" si="3"/>
        <v>222</v>
      </c>
      <c r="L14" s="31">
        <f t="shared" si="3"/>
        <v>65</v>
      </c>
      <c r="M14" s="31">
        <f t="shared" si="4"/>
        <v>294</v>
      </c>
      <c r="N14" s="32">
        <f t="shared" si="5"/>
        <v>1383.8709677419354</v>
      </c>
      <c r="O14" s="33">
        <f t="shared" si="6"/>
        <v>65</v>
      </c>
      <c r="P14" s="32">
        <f t="shared" si="7"/>
        <v>1318.8709677419354</v>
      </c>
      <c r="Q14" s="32">
        <f t="shared" si="8"/>
        <v>46.25</v>
      </c>
      <c r="R14" s="28">
        <f t="shared" si="9"/>
        <v>8387.0967741935492</v>
      </c>
      <c r="S14" s="31">
        <f t="shared" si="10"/>
        <v>473</v>
      </c>
      <c r="T14" s="28">
        <f t="shared" si="11"/>
        <v>7914.0967741935492</v>
      </c>
      <c r="U14" s="28">
        <f t="shared" si="12"/>
        <v>38748.387096774175</v>
      </c>
      <c r="V14" s="28">
        <f t="shared" si="12"/>
        <v>2064</v>
      </c>
      <c r="W14" s="28">
        <f t="shared" si="13"/>
        <v>36684.387096774175</v>
      </c>
      <c r="X14" s="28">
        <f t="shared" si="14"/>
        <v>234838.70967741931</v>
      </c>
      <c r="Y14" s="28">
        <f t="shared" si="14"/>
        <v>14220.166666666668</v>
      </c>
      <c r="Z14" s="28">
        <f t="shared" si="15"/>
        <v>220618.54301075265</v>
      </c>
      <c r="AA14" s="34">
        <f t="shared" si="16"/>
        <v>0.8493070833823968</v>
      </c>
      <c r="AB14" s="35"/>
    </row>
    <row r="15" spans="2:28" ht="18" customHeight="1" x14ac:dyDescent="0.25">
      <c r="B15" s="27">
        <v>27</v>
      </c>
      <c r="C15" s="32">
        <f>C16+184</f>
        <v>282769</v>
      </c>
      <c r="D15" s="32">
        <f t="shared" ref="D15" si="18">D16+220</f>
        <v>597497</v>
      </c>
      <c r="E15" s="32">
        <f>E16+69</f>
        <v>144991</v>
      </c>
      <c r="F15" s="29">
        <f t="shared" si="17"/>
        <v>1025257</v>
      </c>
      <c r="G15" s="30">
        <f t="shared" si="1"/>
        <v>1024931.8125</v>
      </c>
      <c r="H15" s="28">
        <f t="shared" si="2"/>
        <v>1024977.6458333334</v>
      </c>
      <c r="I15" s="32">
        <f>I16+296</f>
        <v>717563</v>
      </c>
      <c r="J15" s="31">
        <f t="shared" si="3"/>
        <v>184</v>
      </c>
      <c r="K15" s="31">
        <f t="shared" si="3"/>
        <v>220</v>
      </c>
      <c r="L15" s="31">
        <f t="shared" si="3"/>
        <v>69</v>
      </c>
      <c r="M15" s="31">
        <f t="shared" si="4"/>
        <v>296</v>
      </c>
      <c r="N15" s="32">
        <f t="shared" si="5"/>
        <v>1383.8709677419354</v>
      </c>
      <c r="O15" s="33">
        <f t="shared" si="6"/>
        <v>69</v>
      </c>
      <c r="P15" s="32">
        <f t="shared" si="7"/>
        <v>1314.8709677419354</v>
      </c>
      <c r="Q15" s="32">
        <f t="shared" si="8"/>
        <v>45.833333333372138</v>
      </c>
      <c r="R15" s="28">
        <f t="shared" si="9"/>
        <v>8387.0967741935492</v>
      </c>
      <c r="S15" s="31">
        <f t="shared" si="10"/>
        <v>473</v>
      </c>
      <c r="T15" s="28">
        <f t="shared" si="11"/>
        <v>7914.0967741935492</v>
      </c>
      <c r="U15" s="28">
        <f t="shared" si="12"/>
        <v>37364.516129032243</v>
      </c>
      <c r="V15" s="28">
        <f t="shared" si="12"/>
        <v>1999</v>
      </c>
      <c r="W15" s="28">
        <f t="shared" si="13"/>
        <v>35365.516129032243</v>
      </c>
      <c r="X15" s="28">
        <f t="shared" si="14"/>
        <v>226451.61290322576</v>
      </c>
      <c r="Y15" s="28">
        <f t="shared" si="14"/>
        <v>13747.166666666668</v>
      </c>
      <c r="Z15" s="28">
        <f t="shared" si="15"/>
        <v>212704.4462365591</v>
      </c>
      <c r="AA15" s="34">
        <f t="shared" si="16"/>
        <v>0.84769611527329025</v>
      </c>
      <c r="AB15" s="35"/>
    </row>
    <row r="16" spans="2:28" ht="18" customHeight="1" x14ac:dyDescent="0.25">
      <c r="B16" s="49">
        <v>26</v>
      </c>
      <c r="C16" s="32">
        <f>C17+191</f>
        <v>282585</v>
      </c>
      <c r="D16" s="32">
        <f>D17+228</f>
        <v>597277</v>
      </c>
      <c r="E16" s="32">
        <f>E17+64</f>
        <v>144922</v>
      </c>
      <c r="F16" s="50">
        <f t="shared" si="17"/>
        <v>1024784</v>
      </c>
      <c r="G16" s="51">
        <f t="shared" si="1"/>
        <v>1024451.9375</v>
      </c>
      <c r="H16" s="52">
        <f t="shared" si="2"/>
        <v>1024499.4375</v>
      </c>
      <c r="I16" s="32">
        <f>I17+290</f>
        <v>717267</v>
      </c>
      <c r="J16" s="53">
        <f t="shared" si="3"/>
        <v>191</v>
      </c>
      <c r="K16" s="53">
        <f t="shared" si="3"/>
        <v>228</v>
      </c>
      <c r="L16" s="53">
        <f t="shared" si="3"/>
        <v>64</v>
      </c>
      <c r="M16" s="53">
        <f t="shared" si="4"/>
        <v>290</v>
      </c>
      <c r="N16" s="54">
        <f>N17</f>
        <v>1383.8709677419354</v>
      </c>
      <c r="O16" s="55">
        <f t="shared" si="6"/>
        <v>64</v>
      </c>
      <c r="P16" s="54">
        <f t="shared" si="7"/>
        <v>1319.8709677419354</v>
      </c>
      <c r="Q16" s="54">
        <f t="shared" si="8"/>
        <v>47.5</v>
      </c>
      <c r="R16" s="52">
        <f>R17</f>
        <v>8387.0967741935492</v>
      </c>
      <c r="S16" s="53">
        <f t="shared" si="10"/>
        <v>483</v>
      </c>
      <c r="T16" s="52">
        <f t="shared" si="11"/>
        <v>7904.0967741935492</v>
      </c>
      <c r="U16" s="52">
        <f t="shared" si="12"/>
        <v>35980.645161290311</v>
      </c>
      <c r="V16" s="52">
        <f t="shared" si="12"/>
        <v>1930</v>
      </c>
      <c r="W16" s="52">
        <f t="shared" si="13"/>
        <v>34050.645161290311</v>
      </c>
      <c r="X16" s="52">
        <f t="shared" si="14"/>
        <v>218064.51612903221</v>
      </c>
      <c r="Y16" s="52">
        <f t="shared" si="14"/>
        <v>13274.166666666668</v>
      </c>
      <c r="Z16" s="52">
        <f t="shared" si="15"/>
        <v>204790.34946236556</v>
      </c>
      <c r="AA16" s="56">
        <f t="shared" si="16"/>
        <v>0.85733626627631687</v>
      </c>
      <c r="AB16" s="35"/>
    </row>
    <row r="17" spans="2:28" ht="18" customHeight="1" x14ac:dyDescent="0.25">
      <c r="B17" s="27">
        <v>25</v>
      </c>
      <c r="C17" s="32">
        <f>C18+189</f>
        <v>282394</v>
      </c>
      <c r="D17" s="32">
        <f>D18+222</f>
        <v>597049</v>
      </c>
      <c r="E17" s="32">
        <f t="shared" ref="E17" si="19">E18+52</f>
        <v>144858</v>
      </c>
      <c r="F17" s="29">
        <f t="shared" si="17"/>
        <v>1024301</v>
      </c>
      <c r="G17" s="30">
        <f t="shared" si="1"/>
        <v>1023982.6875</v>
      </c>
      <c r="H17" s="28">
        <f t="shared" si="2"/>
        <v>1024028.9375</v>
      </c>
      <c r="I17" s="32">
        <f>I18+295</f>
        <v>716977</v>
      </c>
      <c r="J17" s="31">
        <f t="shared" si="3"/>
        <v>189</v>
      </c>
      <c r="K17" s="31">
        <f t="shared" si="3"/>
        <v>222</v>
      </c>
      <c r="L17" s="31">
        <f t="shared" si="3"/>
        <v>52</v>
      </c>
      <c r="M17" s="31">
        <f t="shared" si="4"/>
        <v>295</v>
      </c>
      <c r="N17" s="32">
        <f t="shared" si="5"/>
        <v>1383.8709677419354</v>
      </c>
      <c r="O17" s="33">
        <f t="shared" si="6"/>
        <v>52</v>
      </c>
      <c r="P17" s="32">
        <f t="shared" si="7"/>
        <v>1331.8709677419354</v>
      </c>
      <c r="Q17" s="32">
        <f t="shared" si="8"/>
        <v>46.25</v>
      </c>
      <c r="R17" s="28">
        <f t="shared" si="9"/>
        <v>8387.0967741935492</v>
      </c>
      <c r="S17" s="31">
        <f t="shared" si="10"/>
        <v>463</v>
      </c>
      <c r="T17" s="28">
        <f t="shared" si="11"/>
        <v>7924.0967741935492</v>
      </c>
      <c r="U17" s="28">
        <f t="shared" si="12"/>
        <v>34596.774193548379</v>
      </c>
      <c r="V17" s="28">
        <f t="shared" si="12"/>
        <v>1866</v>
      </c>
      <c r="W17" s="28">
        <f t="shared" si="13"/>
        <v>32730.774193548379</v>
      </c>
      <c r="X17" s="28">
        <f t="shared" si="14"/>
        <v>209677.41935483867</v>
      </c>
      <c r="Y17" s="28">
        <f t="shared" si="14"/>
        <v>12791.166666666668</v>
      </c>
      <c r="Z17" s="28">
        <f t="shared" si="15"/>
        <v>196886.25268817201</v>
      </c>
      <c r="AA17" s="34">
        <f t="shared" si="16"/>
        <v>0.8433613418065472</v>
      </c>
      <c r="AB17" s="35"/>
    </row>
    <row r="18" spans="2:28" ht="18" customHeight="1" x14ac:dyDescent="0.25">
      <c r="B18" s="27">
        <v>24</v>
      </c>
      <c r="C18" s="32">
        <f>C19+185</f>
        <v>282205</v>
      </c>
      <c r="D18" s="32">
        <f>D19+219</f>
        <v>596827</v>
      </c>
      <c r="E18" s="32">
        <f>E19+59</f>
        <v>144806</v>
      </c>
      <c r="F18" s="29">
        <f t="shared" si="17"/>
        <v>1023838</v>
      </c>
      <c r="G18" s="30">
        <f t="shared" si="1"/>
        <v>1023519.6875</v>
      </c>
      <c r="H18" s="28">
        <f t="shared" si="2"/>
        <v>1023565.3125</v>
      </c>
      <c r="I18" s="32">
        <f>I19+291</f>
        <v>716682</v>
      </c>
      <c r="J18" s="31">
        <f t="shared" si="3"/>
        <v>185</v>
      </c>
      <c r="K18" s="31">
        <f t="shared" si="3"/>
        <v>219</v>
      </c>
      <c r="L18" s="31">
        <f t="shared" si="3"/>
        <v>59</v>
      </c>
      <c r="M18" s="31">
        <f t="shared" si="4"/>
        <v>291</v>
      </c>
      <c r="N18" s="32">
        <f t="shared" si="5"/>
        <v>1383.8709677419354</v>
      </c>
      <c r="O18" s="33">
        <f t="shared" si="6"/>
        <v>59</v>
      </c>
      <c r="P18" s="32">
        <f t="shared" si="7"/>
        <v>1324.8709677419354</v>
      </c>
      <c r="Q18" s="32">
        <f t="shared" si="8"/>
        <v>45.625</v>
      </c>
      <c r="R18" s="28">
        <f t="shared" si="9"/>
        <v>8387.0967741935492</v>
      </c>
      <c r="S18" s="31">
        <f t="shared" si="10"/>
        <v>463</v>
      </c>
      <c r="T18" s="28">
        <f t="shared" si="11"/>
        <v>7924.0967741935492</v>
      </c>
      <c r="U18" s="28">
        <f t="shared" si="12"/>
        <v>33212.903225806447</v>
      </c>
      <c r="V18" s="28">
        <f t="shared" si="12"/>
        <v>1814</v>
      </c>
      <c r="W18" s="28">
        <f t="shared" si="13"/>
        <v>31398.903225806447</v>
      </c>
      <c r="X18" s="28">
        <f t="shared" si="14"/>
        <v>201290.32258064512</v>
      </c>
      <c r="Y18" s="28">
        <f t="shared" si="14"/>
        <v>12328.166666666668</v>
      </c>
      <c r="Z18" s="28">
        <f t="shared" si="15"/>
        <v>188962.15591397847</v>
      </c>
      <c r="AA18" s="34">
        <f t="shared" si="16"/>
        <v>0.84666008850501107</v>
      </c>
      <c r="AB18" s="35"/>
    </row>
    <row r="19" spans="2:28" ht="18" customHeight="1" x14ac:dyDescent="0.25">
      <c r="B19" s="27">
        <v>23</v>
      </c>
      <c r="C19" s="32">
        <f>C20+187</f>
        <v>282020</v>
      </c>
      <c r="D19" s="32">
        <f>D20+210</f>
        <v>596608</v>
      </c>
      <c r="E19" s="32">
        <f>E20+62</f>
        <v>144747</v>
      </c>
      <c r="F19" s="29">
        <f t="shared" si="17"/>
        <v>1023375</v>
      </c>
      <c r="G19" s="30">
        <f t="shared" si="1"/>
        <v>1023059.4375</v>
      </c>
      <c r="H19" s="28">
        <f t="shared" si="2"/>
        <v>1023103.1875</v>
      </c>
      <c r="I19" s="32">
        <f>I20+293</f>
        <v>716391</v>
      </c>
      <c r="J19" s="31">
        <f t="shared" si="3"/>
        <v>187</v>
      </c>
      <c r="K19" s="31">
        <f t="shared" si="3"/>
        <v>210</v>
      </c>
      <c r="L19" s="31">
        <f t="shared" si="3"/>
        <v>62</v>
      </c>
      <c r="M19" s="31">
        <f t="shared" si="4"/>
        <v>293</v>
      </c>
      <c r="N19" s="32">
        <f t="shared" si="5"/>
        <v>1383.8709677419354</v>
      </c>
      <c r="O19" s="27">
        <f t="shared" si="6"/>
        <v>62</v>
      </c>
      <c r="P19" s="32">
        <f t="shared" si="7"/>
        <v>1321.8709677419354</v>
      </c>
      <c r="Q19" s="32">
        <f t="shared" si="8"/>
        <v>43.75</v>
      </c>
      <c r="R19" s="28">
        <f t="shared" si="9"/>
        <v>8387.0967741935492</v>
      </c>
      <c r="S19" s="31">
        <f t="shared" si="10"/>
        <v>459</v>
      </c>
      <c r="T19" s="28">
        <f t="shared" si="11"/>
        <v>7928.0967741935492</v>
      </c>
      <c r="U19" s="28">
        <f t="shared" si="12"/>
        <v>31829.032258064515</v>
      </c>
      <c r="V19" s="28">
        <f t="shared" si="12"/>
        <v>1755</v>
      </c>
      <c r="W19" s="28">
        <f t="shared" si="13"/>
        <v>30074.032258064515</v>
      </c>
      <c r="X19" s="28">
        <f t="shared" si="14"/>
        <v>192903.22580645158</v>
      </c>
      <c r="Y19" s="28">
        <f t="shared" si="14"/>
        <v>11865.166666666668</v>
      </c>
      <c r="Z19" s="28">
        <f t="shared" si="15"/>
        <v>181038.05913978492</v>
      </c>
      <c r="AA19" s="34">
        <f t="shared" si="16"/>
        <v>0.84290448901857318</v>
      </c>
      <c r="AB19" s="1"/>
    </row>
    <row r="20" spans="2:28" ht="18" customHeight="1" x14ac:dyDescent="0.25">
      <c r="B20" s="27">
        <v>22</v>
      </c>
      <c r="C20" s="32">
        <v>281833</v>
      </c>
      <c r="D20" s="32">
        <v>596398</v>
      </c>
      <c r="E20" s="32">
        <v>144685</v>
      </c>
      <c r="F20" s="29">
        <f t="shared" si="17"/>
        <v>1022916</v>
      </c>
      <c r="G20" s="30">
        <f t="shared" si="1"/>
        <v>1022592.1875</v>
      </c>
      <c r="H20" s="28">
        <f t="shared" si="2"/>
        <v>1022635.1041666666</v>
      </c>
      <c r="I20" s="32">
        <v>716098</v>
      </c>
      <c r="J20" s="31">
        <f t="shared" si="3"/>
        <v>190</v>
      </c>
      <c r="K20" s="31">
        <f t="shared" si="3"/>
        <v>206</v>
      </c>
      <c r="L20" s="31">
        <f t="shared" si="3"/>
        <v>75</v>
      </c>
      <c r="M20" s="31">
        <f t="shared" si="4"/>
        <v>310</v>
      </c>
      <c r="N20" s="32">
        <f t="shared" si="5"/>
        <v>1383.8709677419354</v>
      </c>
      <c r="O20" s="27">
        <f t="shared" si="6"/>
        <v>75</v>
      </c>
      <c r="P20" s="32">
        <f t="shared" si="7"/>
        <v>1308.8709677419354</v>
      </c>
      <c r="Q20" s="32">
        <f t="shared" si="8"/>
        <v>42.916666666627862</v>
      </c>
      <c r="R20" s="28">
        <f t="shared" si="9"/>
        <v>8387.0967741935492</v>
      </c>
      <c r="S20" s="31">
        <f t="shared" si="10"/>
        <v>471</v>
      </c>
      <c r="T20" s="28">
        <f t="shared" si="11"/>
        <v>7916.0967741935492</v>
      </c>
      <c r="U20" s="28">
        <f t="shared" si="12"/>
        <v>30445.16129032258</v>
      </c>
      <c r="V20" s="28">
        <f t="shared" si="12"/>
        <v>1693</v>
      </c>
      <c r="W20" s="28">
        <f t="shared" si="13"/>
        <v>28752.16129032258</v>
      </c>
      <c r="X20" s="28">
        <f t="shared" si="14"/>
        <v>184516.12903225803</v>
      </c>
      <c r="Y20" s="28">
        <f t="shared" si="14"/>
        <v>11406.166666666668</v>
      </c>
      <c r="Z20" s="28">
        <f t="shared" si="15"/>
        <v>173109.96236559137</v>
      </c>
      <c r="AA20" s="34">
        <f t="shared" si="16"/>
        <v>0.83530992029719064</v>
      </c>
      <c r="AB20" s="1"/>
    </row>
    <row r="21" spans="2:28" ht="18" customHeight="1" x14ac:dyDescent="0.25">
      <c r="B21" s="27">
        <v>21</v>
      </c>
      <c r="C21" s="32">
        <f>C22+191</f>
        <v>281643</v>
      </c>
      <c r="D21" s="32">
        <f>D22+213</f>
        <v>596192</v>
      </c>
      <c r="E21" s="32">
        <f>E22+70</f>
        <v>144610</v>
      </c>
      <c r="F21" s="29">
        <f t="shared" si="17"/>
        <v>1022445</v>
      </c>
      <c r="G21" s="30">
        <f t="shared" si="1"/>
        <v>1022119.125</v>
      </c>
      <c r="H21" s="28">
        <f t="shared" si="2"/>
        <v>1022163.5</v>
      </c>
      <c r="I21" s="32">
        <f>I22+290</f>
        <v>715788</v>
      </c>
      <c r="J21" s="31">
        <f t="shared" si="3"/>
        <v>191</v>
      </c>
      <c r="K21" s="31">
        <f t="shared" si="3"/>
        <v>213</v>
      </c>
      <c r="L21" s="31">
        <f t="shared" si="3"/>
        <v>70</v>
      </c>
      <c r="M21" s="31">
        <f t="shared" si="4"/>
        <v>290</v>
      </c>
      <c r="N21" s="32">
        <f t="shared" si="5"/>
        <v>1383.8709677419354</v>
      </c>
      <c r="O21" s="27">
        <f t="shared" si="6"/>
        <v>70</v>
      </c>
      <c r="P21" s="32">
        <f t="shared" si="7"/>
        <v>1313.8709677419354</v>
      </c>
      <c r="Q21" s="32">
        <f t="shared" si="8"/>
        <v>44.375</v>
      </c>
      <c r="R21" s="28">
        <f t="shared" si="9"/>
        <v>8387.0967741935492</v>
      </c>
      <c r="S21" s="31">
        <f t="shared" si="10"/>
        <v>474</v>
      </c>
      <c r="T21" s="28">
        <f t="shared" si="11"/>
        <v>7913.0967741935492</v>
      </c>
      <c r="U21" s="28">
        <f t="shared" si="12"/>
        <v>29061.290322580644</v>
      </c>
      <c r="V21" s="28">
        <f t="shared" si="12"/>
        <v>1618</v>
      </c>
      <c r="W21" s="28">
        <f t="shared" si="13"/>
        <v>27443.290322580644</v>
      </c>
      <c r="X21" s="28">
        <f t="shared" si="14"/>
        <v>176129.03225806449</v>
      </c>
      <c r="Y21" s="28">
        <f t="shared" si="14"/>
        <v>10935.166666666668</v>
      </c>
      <c r="Z21" s="28">
        <f t="shared" si="15"/>
        <v>165193.86559139783</v>
      </c>
      <c r="AA21" s="34">
        <f t="shared" si="16"/>
        <v>0.85301481352534902</v>
      </c>
      <c r="AB21" s="1"/>
    </row>
    <row r="22" spans="2:28" ht="18" customHeight="1" x14ac:dyDescent="0.25">
      <c r="B22" s="27">
        <v>20</v>
      </c>
      <c r="C22" s="32">
        <f>C23+193</f>
        <v>281452</v>
      </c>
      <c r="D22" s="32">
        <f>D23+214</f>
        <v>595979</v>
      </c>
      <c r="E22" s="32">
        <f>E23+62</f>
        <v>144540</v>
      </c>
      <c r="F22" s="29">
        <f t="shared" si="17"/>
        <v>1021971</v>
      </c>
      <c r="G22" s="30">
        <f t="shared" si="1"/>
        <v>1021648.5625</v>
      </c>
      <c r="H22" s="28">
        <f t="shared" si="2"/>
        <v>1021693.1458333334</v>
      </c>
      <c r="I22" s="32">
        <f t="shared" ref="I22:I26" si="20">I23+304</f>
        <v>715498</v>
      </c>
      <c r="J22" s="31">
        <f t="shared" si="3"/>
        <v>193</v>
      </c>
      <c r="K22" s="31">
        <f t="shared" si="3"/>
        <v>214</v>
      </c>
      <c r="L22" s="31">
        <f t="shared" si="3"/>
        <v>62</v>
      </c>
      <c r="M22" s="31">
        <f t="shared" si="4"/>
        <v>304</v>
      </c>
      <c r="N22" s="32">
        <f t="shared" si="5"/>
        <v>1383.8709677419354</v>
      </c>
      <c r="O22" s="27">
        <f t="shared" si="6"/>
        <v>62</v>
      </c>
      <c r="P22" s="32">
        <f t="shared" si="7"/>
        <v>1321.8709677419354</v>
      </c>
      <c r="Q22" s="32">
        <f t="shared" si="8"/>
        <v>44.583333333372138</v>
      </c>
      <c r="R22" s="28">
        <f t="shared" si="9"/>
        <v>8387.0967741935492</v>
      </c>
      <c r="S22" s="31">
        <f t="shared" si="10"/>
        <v>469</v>
      </c>
      <c r="T22" s="28">
        <f t="shared" si="11"/>
        <v>7918.0967741935492</v>
      </c>
      <c r="U22" s="28">
        <f t="shared" si="12"/>
        <v>27677.419354838708</v>
      </c>
      <c r="V22" s="28">
        <f t="shared" si="12"/>
        <v>1548</v>
      </c>
      <c r="W22" s="28">
        <f t="shared" si="13"/>
        <v>26129.419354838708</v>
      </c>
      <c r="X22" s="28">
        <f t="shared" si="14"/>
        <v>167741.93548387094</v>
      </c>
      <c r="Y22" s="28">
        <f t="shared" si="14"/>
        <v>10461.166666666668</v>
      </c>
      <c r="Z22" s="28">
        <f t="shared" si="15"/>
        <v>157280.76881720428</v>
      </c>
      <c r="AA22" s="34">
        <f t="shared" si="16"/>
        <v>0.83913786374270993</v>
      </c>
      <c r="AB22" s="1"/>
    </row>
    <row r="23" spans="2:28" ht="18" customHeight="1" x14ac:dyDescent="0.25">
      <c r="B23" s="27">
        <v>19</v>
      </c>
      <c r="C23" s="32">
        <f>C24+197</f>
        <v>281259</v>
      </c>
      <c r="D23" s="32">
        <f>D24+211</f>
        <v>595765</v>
      </c>
      <c r="E23" s="32">
        <f>E24+71</f>
        <v>144478</v>
      </c>
      <c r="F23" s="3">
        <f>C23+D23+E23</f>
        <v>1021502</v>
      </c>
      <c r="G23" s="30">
        <f t="shared" si="1"/>
        <v>1021172.6875</v>
      </c>
      <c r="H23" s="28">
        <f t="shared" si="2"/>
        <v>1021216.6458333334</v>
      </c>
      <c r="I23" s="32">
        <f>I24+302</f>
        <v>715194</v>
      </c>
      <c r="J23" s="31">
        <f t="shared" si="3"/>
        <v>197</v>
      </c>
      <c r="K23" s="31">
        <f t="shared" si="3"/>
        <v>211</v>
      </c>
      <c r="L23" s="31">
        <f t="shared" si="3"/>
        <v>71</v>
      </c>
      <c r="M23" s="31">
        <f t="shared" si="4"/>
        <v>302</v>
      </c>
      <c r="N23" s="32">
        <f t="shared" si="5"/>
        <v>1383.8709677419354</v>
      </c>
      <c r="O23" s="27">
        <f t="shared" si="6"/>
        <v>71</v>
      </c>
      <c r="P23" s="32">
        <f t="shared" si="7"/>
        <v>1312.8709677419354</v>
      </c>
      <c r="Q23" s="32">
        <f t="shared" si="8"/>
        <v>43.958333333372138</v>
      </c>
      <c r="R23" s="28">
        <f t="shared" si="9"/>
        <v>8387.0967741935492</v>
      </c>
      <c r="S23" s="31">
        <f t="shared" si="10"/>
        <v>479</v>
      </c>
      <c r="T23" s="28">
        <f t="shared" si="11"/>
        <v>7908.0967741935492</v>
      </c>
      <c r="U23" s="28">
        <f t="shared" si="12"/>
        <v>26293.548387096773</v>
      </c>
      <c r="V23" s="28">
        <f t="shared" si="12"/>
        <v>1486</v>
      </c>
      <c r="W23" s="28">
        <f t="shared" si="13"/>
        <v>24807.548387096773</v>
      </c>
      <c r="X23" s="28">
        <f t="shared" si="14"/>
        <v>159354.83870967739</v>
      </c>
      <c r="Y23" s="28">
        <f t="shared" si="14"/>
        <v>9992.1666666666679</v>
      </c>
      <c r="Z23" s="28">
        <f t="shared" si="15"/>
        <v>149362.67204301074</v>
      </c>
      <c r="AA23" s="34">
        <f t="shared" si="16"/>
        <v>0.84590828268596097</v>
      </c>
      <c r="AB23" s="1"/>
    </row>
    <row r="24" spans="2:28" ht="18" customHeight="1" x14ac:dyDescent="0.25">
      <c r="B24" s="27">
        <v>18</v>
      </c>
      <c r="C24" s="32">
        <f>C25+190</f>
        <v>281062</v>
      </c>
      <c r="D24" s="32">
        <f>D25+210</f>
        <v>595554</v>
      </c>
      <c r="E24" s="32">
        <f>E25+67</f>
        <v>144407</v>
      </c>
      <c r="F24" s="29">
        <f t="shared" si="17"/>
        <v>1021023</v>
      </c>
      <c r="G24" s="30">
        <f t="shared" si="1"/>
        <v>1020701.9375</v>
      </c>
      <c r="H24" s="28">
        <f t="shared" si="2"/>
        <v>1020745.6875</v>
      </c>
      <c r="I24" s="32">
        <f>I25+307</f>
        <v>714892</v>
      </c>
      <c r="J24" s="31">
        <f t="shared" si="3"/>
        <v>190</v>
      </c>
      <c r="K24" s="31">
        <f t="shared" si="3"/>
        <v>210</v>
      </c>
      <c r="L24" s="31">
        <f t="shared" si="3"/>
        <v>67</v>
      </c>
      <c r="M24" s="31">
        <f t="shared" si="4"/>
        <v>307</v>
      </c>
      <c r="N24" s="32">
        <f t="shared" si="5"/>
        <v>1383.8709677419354</v>
      </c>
      <c r="O24" s="27">
        <f t="shared" si="6"/>
        <v>67</v>
      </c>
      <c r="P24" s="32">
        <f t="shared" si="7"/>
        <v>1316.8709677419354</v>
      </c>
      <c r="Q24" s="32">
        <f t="shared" si="8"/>
        <v>43.75</v>
      </c>
      <c r="R24" s="28">
        <f t="shared" si="9"/>
        <v>8387.0967741935492</v>
      </c>
      <c r="S24" s="31">
        <f t="shared" si="10"/>
        <v>467</v>
      </c>
      <c r="T24" s="28">
        <f t="shared" si="11"/>
        <v>7920.0967741935492</v>
      </c>
      <c r="U24" s="28">
        <f t="shared" si="12"/>
        <v>24909.677419354837</v>
      </c>
      <c r="V24" s="28">
        <f t="shared" si="12"/>
        <v>1415</v>
      </c>
      <c r="W24" s="28">
        <f t="shared" si="13"/>
        <v>23494.677419354837</v>
      </c>
      <c r="X24" s="28">
        <f t="shared" si="14"/>
        <v>150967.74193548385</v>
      </c>
      <c r="Y24" s="28">
        <f t="shared" si="14"/>
        <v>9513.1666666666679</v>
      </c>
      <c r="Z24" s="28">
        <f t="shared" si="15"/>
        <v>141454.57526881719</v>
      </c>
      <c r="AA24" s="34">
        <f t="shared" si="16"/>
        <v>0.83561161500194081</v>
      </c>
      <c r="AB24" s="1"/>
    </row>
    <row r="25" spans="2:28" ht="18" customHeight="1" x14ac:dyDescent="0.25">
      <c r="B25" s="27">
        <v>17</v>
      </c>
      <c r="C25" s="32">
        <f t="shared" ref="C25" si="21">C26+194</f>
        <v>280872</v>
      </c>
      <c r="D25" s="32">
        <f t="shared" ref="D25" si="22">D26+212</f>
        <v>595344</v>
      </c>
      <c r="E25" s="32">
        <f t="shared" ref="E25" si="23">E26+69</f>
        <v>144340</v>
      </c>
      <c r="F25" s="29">
        <f t="shared" si="17"/>
        <v>1020556</v>
      </c>
      <c r="G25" s="30">
        <f t="shared" si="1"/>
        <v>1020229.4375</v>
      </c>
      <c r="H25" s="28">
        <f t="shared" si="2"/>
        <v>1020273.6041666666</v>
      </c>
      <c r="I25" s="32">
        <f>I26+301</f>
        <v>714585</v>
      </c>
      <c r="J25" s="31">
        <f t="shared" si="3"/>
        <v>194</v>
      </c>
      <c r="K25" s="31">
        <f t="shared" si="3"/>
        <v>212</v>
      </c>
      <c r="L25" s="31">
        <f t="shared" si="3"/>
        <v>69</v>
      </c>
      <c r="M25" s="28">
        <f t="shared" si="4"/>
        <v>301</v>
      </c>
      <c r="N25" s="32">
        <f t="shared" si="5"/>
        <v>1383.8709677419354</v>
      </c>
      <c r="O25" s="27">
        <f t="shared" si="6"/>
        <v>69</v>
      </c>
      <c r="P25" s="32">
        <f t="shared" si="7"/>
        <v>1314.8709677419354</v>
      </c>
      <c r="Q25" s="32">
        <f t="shared" si="8"/>
        <v>44.166666666627862</v>
      </c>
      <c r="R25" s="28">
        <f t="shared" si="9"/>
        <v>8387.0967741935492</v>
      </c>
      <c r="S25" s="31">
        <f t="shared" si="10"/>
        <v>475</v>
      </c>
      <c r="T25" s="28">
        <f t="shared" si="11"/>
        <v>7912.0967741935492</v>
      </c>
      <c r="U25" s="28">
        <f t="shared" si="12"/>
        <v>23525.806451612902</v>
      </c>
      <c r="V25" s="31">
        <f t="shared" si="12"/>
        <v>1348</v>
      </c>
      <c r="W25" s="28">
        <f t="shared" si="13"/>
        <v>22177.806451612902</v>
      </c>
      <c r="X25" s="28">
        <f t="shared" si="14"/>
        <v>142580.6451612903</v>
      </c>
      <c r="Y25" s="28">
        <f t="shared" si="14"/>
        <v>9046.1666666666679</v>
      </c>
      <c r="Z25" s="28">
        <f t="shared" si="15"/>
        <v>133534.47849462365</v>
      </c>
      <c r="AA25" s="34">
        <f t="shared" si="16"/>
        <v>0.84468507840095874</v>
      </c>
      <c r="AB25" s="1"/>
    </row>
    <row r="26" spans="2:28" ht="18" customHeight="1" x14ac:dyDescent="0.25">
      <c r="B26" s="27">
        <v>16</v>
      </c>
      <c r="C26" s="32">
        <f>C27+198</f>
        <v>280678</v>
      </c>
      <c r="D26" s="32">
        <f>D27+215</f>
        <v>595132</v>
      </c>
      <c r="E26" s="32">
        <f>E27+71</f>
        <v>144271</v>
      </c>
      <c r="F26" s="29">
        <f t="shared" si="17"/>
        <v>1020081</v>
      </c>
      <c r="G26" s="30">
        <f t="shared" si="1"/>
        <v>1019748.25</v>
      </c>
      <c r="H26" s="28">
        <f t="shared" si="2"/>
        <v>1019793.0416666666</v>
      </c>
      <c r="I26" s="32">
        <f t="shared" si="20"/>
        <v>714284</v>
      </c>
      <c r="J26" s="31">
        <f t="shared" si="3"/>
        <v>198</v>
      </c>
      <c r="K26" s="31">
        <f t="shared" si="3"/>
        <v>215</v>
      </c>
      <c r="L26" s="31">
        <f t="shared" si="3"/>
        <v>71</v>
      </c>
      <c r="M26" s="28">
        <f t="shared" si="4"/>
        <v>304</v>
      </c>
      <c r="N26" s="32">
        <f t="shared" si="5"/>
        <v>1383.8709677419354</v>
      </c>
      <c r="O26" s="27">
        <f t="shared" si="6"/>
        <v>71</v>
      </c>
      <c r="P26" s="32">
        <f t="shared" si="7"/>
        <v>1312.8709677419354</v>
      </c>
      <c r="Q26" s="32">
        <f t="shared" si="8"/>
        <v>44.791666666627862</v>
      </c>
      <c r="R26" s="28">
        <f t="shared" si="9"/>
        <v>8387.0967741935492</v>
      </c>
      <c r="S26" s="31">
        <f>J26+K26+L26</f>
        <v>484</v>
      </c>
      <c r="T26" s="28">
        <f t="shared" si="11"/>
        <v>7903.0967741935492</v>
      </c>
      <c r="U26" s="28">
        <f t="shared" si="12"/>
        <v>22141.935483870966</v>
      </c>
      <c r="V26" s="31">
        <f t="shared" si="12"/>
        <v>1279</v>
      </c>
      <c r="W26" s="28">
        <f t="shared" si="13"/>
        <v>20862.935483870966</v>
      </c>
      <c r="X26" s="28">
        <f t="shared" si="14"/>
        <v>134193.54838709676</v>
      </c>
      <c r="Y26" s="28">
        <f t="shared" si="14"/>
        <v>8571.1666666666679</v>
      </c>
      <c r="Z26" s="28">
        <f t="shared" si="15"/>
        <v>125622.38172043009</v>
      </c>
      <c r="AA26" s="34">
        <f t="shared" si="16"/>
        <v>0.84681668402971377</v>
      </c>
      <c r="AB26" s="1"/>
    </row>
    <row r="27" spans="2:28" ht="18" customHeight="1" x14ac:dyDescent="0.25">
      <c r="B27" s="27">
        <v>15</v>
      </c>
      <c r="C27" s="32">
        <f>C28+201</f>
        <v>280480</v>
      </c>
      <c r="D27" s="32">
        <f>D28+218</f>
        <v>594917</v>
      </c>
      <c r="E27" s="32">
        <f>E28+73</f>
        <v>144200</v>
      </c>
      <c r="F27" s="29">
        <f t="shared" si="17"/>
        <v>1019597</v>
      </c>
      <c r="G27" s="30">
        <f t="shared" si="1"/>
        <v>1019258.75</v>
      </c>
      <c r="H27" s="28">
        <f t="shared" si="2"/>
        <v>1019304.1666666666</v>
      </c>
      <c r="I27" s="32">
        <f>I28+314</f>
        <v>713980</v>
      </c>
      <c r="J27" s="31">
        <f t="shared" si="3"/>
        <v>201</v>
      </c>
      <c r="K27" s="31">
        <f t="shared" si="3"/>
        <v>218</v>
      </c>
      <c r="L27" s="31">
        <f t="shared" si="3"/>
        <v>73</v>
      </c>
      <c r="M27" s="28">
        <f t="shared" si="4"/>
        <v>314</v>
      </c>
      <c r="N27" s="32">
        <f t="shared" si="5"/>
        <v>1383.8709677419354</v>
      </c>
      <c r="O27" s="27">
        <f t="shared" si="6"/>
        <v>73</v>
      </c>
      <c r="P27" s="32">
        <f t="shared" si="7"/>
        <v>1310.8709677419354</v>
      </c>
      <c r="Q27" s="32">
        <f t="shared" si="8"/>
        <v>45.416666666627862</v>
      </c>
      <c r="R27" s="28">
        <f t="shared" si="9"/>
        <v>8387.0967741935492</v>
      </c>
      <c r="S27" s="31">
        <f t="shared" si="10"/>
        <v>492</v>
      </c>
      <c r="T27" s="28">
        <f t="shared" si="11"/>
        <v>7895.0967741935492</v>
      </c>
      <c r="U27" s="28">
        <f t="shared" si="12"/>
        <v>20758.06451612903</v>
      </c>
      <c r="V27" s="31">
        <f t="shared" si="12"/>
        <v>1208</v>
      </c>
      <c r="W27" s="28">
        <f t="shared" si="13"/>
        <v>19550.06451612903</v>
      </c>
      <c r="X27" s="28">
        <f t="shared" si="14"/>
        <v>125806.4516129032</v>
      </c>
      <c r="Y27" s="28">
        <f t="shared" si="14"/>
        <v>8087.166666666667</v>
      </c>
      <c r="Z27" s="28">
        <f t="shared" si="15"/>
        <v>117719.28494623653</v>
      </c>
      <c r="AA27" s="34">
        <f t="shared" si="16"/>
        <v>0.84295527309472851</v>
      </c>
      <c r="AB27" s="1"/>
    </row>
    <row r="28" spans="2:28" ht="18" customHeight="1" x14ac:dyDescent="0.25">
      <c r="B28" s="27">
        <v>14</v>
      </c>
      <c r="C28" s="32">
        <f>C29+213</f>
        <v>280279</v>
      </c>
      <c r="D28" s="32">
        <f>D29+327</f>
        <v>594699</v>
      </c>
      <c r="E28" s="32">
        <f>E29+92</f>
        <v>144127</v>
      </c>
      <c r="F28" s="29">
        <f t="shared" si="17"/>
        <v>1019105</v>
      </c>
      <c r="G28" s="30">
        <f t="shared" si="1"/>
        <v>1018670.5</v>
      </c>
      <c r="H28" s="28">
        <f t="shared" si="2"/>
        <v>1018738.625</v>
      </c>
      <c r="I28" s="32">
        <f>I29+385</f>
        <v>713666</v>
      </c>
      <c r="J28" s="31">
        <f t="shared" ref="J28:L42" si="24">C28-C29</f>
        <v>213</v>
      </c>
      <c r="K28" s="31">
        <f t="shared" si="24"/>
        <v>327</v>
      </c>
      <c r="L28" s="31">
        <f t="shared" si="24"/>
        <v>92</v>
      </c>
      <c r="M28" s="28">
        <f t="shared" si="4"/>
        <v>385</v>
      </c>
      <c r="N28" s="32">
        <f t="shared" si="5"/>
        <v>1383.8709677419354</v>
      </c>
      <c r="O28" s="27">
        <f t="shared" si="6"/>
        <v>92</v>
      </c>
      <c r="P28" s="32">
        <f t="shared" si="7"/>
        <v>1291.8709677419354</v>
      </c>
      <c r="Q28" s="32">
        <f t="shared" si="8"/>
        <v>68.125</v>
      </c>
      <c r="R28" s="28">
        <f t="shared" si="9"/>
        <v>8387.0967741935492</v>
      </c>
      <c r="S28" s="31">
        <f t="shared" si="10"/>
        <v>632</v>
      </c>
      <c r="T28" s="28">
        <f t="shared" si="11"/>
        <v>7755.0967741935492</v>
      </c>
      <c r="U28" s="28">
        <f t="shared" ref="U28:V42" si="25">U29+N28</f>
        <v>19374.193548387095</v>
      </c>
      <c r="V28" s="31">
        <f t="shared" si="25"/>
        <v>1135</v>
      </c>
      <c r="W28" s="28">
        <f t="shared" si="13"/>
        <v>18239.193548387095</v>
      </c>
      <c r="X28" s="28">
        <f t="shared" ref="X28:Y42" si="26">X29+R28</f>
        <v>117419.35483870965</v>
      </c>
      <c r="Y28" s="28">
        <f t="shared" si="26"/>
        <v>7595.166666666667</v>
      </c>
      <c r="Z28" s="28">
        <f t="shared" si="15"/>
        <v>109824.18817204298</v>
      </c>
      <c r="AA28" s="34">
        <f t="shared" si="16"/>
        <v>0.85401584565344035</v>
      </c>
      <c r="AB28" s="1"/>
    </row>
    <row r="29" spans="2:28" ht="18" customHeight="1" x14ac:dyDescent="0.25">
      <c r="B29" s="27">
        <v>13</v>
      </c>
      <c r="C29" s="32">
        <v>280066</v>
      </c>
      <c r="D29" s="32">
        <v>594372</v>
      </c>
      <c r="E29" s="32">
        <v>144035</v>
      </c>
      <c r="F29" s="29">
        <f t="shared" si="17"/>
        <v>1018473</v>
      </c>
      <c r="G29" s="30">
        <f t="shared" si="1"/>
        <v>1018027.5</v>
      </c>
      <c r="H29" s="28">
        <f t="shared" si="2"/>
        <v>1018099.375</v>
      </c>
      <c r="I29" s="32">
        <v>713281</v>
      </c>
      <c r="J29" s="31">
        <f t="shared" si="24"/>
        <v>209</v>
      </c>
      <c r="K29" s="31">
        <f t="shared" si="24"/>
        <v>345</v>
      </c>
      <c r="L29" s="31">
        <f t="shared" si="24"/>
        <v>94</v>
      </c>
      <c r="M29" s="31">
        <f t="shared" si="4"/>
        <v>381</v>
      </c>
      <c r="N29" s="32">
        <f t="shared" si="5"/>
        <v>1383.8709677419354</v>
      </c>
      <c r="O29" s="27">
        <f t="shared" si="6"/>
        <v>94</v>
      </c>
      <c r="P29" s="32">
        <f t="shared" si="7"/>
        <v>1289.8709677419354</v>
      </c>
      <c r="Q29" s="32">
        <f t="shared" si="8"/>
        <v>71.875</v>
      </c>
      <c r="R29" s="28">
        <f t="shared" si="9"/>
        <v>8387.0967741935492</v>
      </c>
      <c r="S29" s="31">
        <f t="shared" si="10"/>
        <v>648</v>
      </c>
      <c r="T29" s="28">
        <f t="shared" si="11"/>
        <v>7739.0967741935492</v>
      </c>
      <c r="U29" s="28">
        <f t="shared" si="25"/>
        <v>17990.322580645159</v>
      </c>
      <c r="V29" s="31">
        <f t="shared" si="25"/>
        <v>1043</v>
      </c>
      <c r="W29" s="28">
        <f t="shared" si="13"/>
        <v>16947.322580645159</v>
      </c>
      <c r="X29" s="28">
        <f t="shared" si="26"/>
        <v>109032.25806451611</v>
      </c>
      <c r="Y29" s="28">
        <f t="shared" si="26"/>
        <v>6963.166666666667</v>
      </c>
      <c r="Z29" s="28">
        <f t="shared" si="15"/>
        <v>102069.09139784944</v>
      </c>
      <c r="AA29" s="34">
        <f t="shared" si="16"/>
        <v>0.86203679162705049</v>
      </c>
      <c r="AB29" s="1"/>
    </row>
    <row r="30" spans="2:28" ht="18" customHeight="1" x14ac:dyDescent="0.25">
      <c r="B30" s="27">
        <v>12</v>
      </c>
      <c r="C30" s="32">
        <f>C31+207</f>
        <v>279857</v>
      </c>
      <c r="D30" s="32">
        <f>D31+333</f>
        <v>594027</v>
      </c>
      <c r="E30" s="32">
        <f t="shared" ref="E30:E32" si="27">E31+91</f>
        <v>143941</v>
      </c>
      <c r="F30" s="29">
        <f t="shared" si="17"/>
        <v>1017825</v>
      </c>
      <c r="G30" s="30">
        <f t="shared" si="1"/>
        <v>1017391.1875</v>
      </c>
      <c r="H30" s="28">
        <f t="shared" si="2"/>
        <v>1017460.5625</v>
      </c>
      <c r="I30" s="32">
        <f>I31+397</f>
        <v>712900</v>
      </c>
      <c r="J30" s="31">
        <f t="shared" si="24"/>
        <v>207</v>
      </c>
      <c r="K30" s="31">
        <f t="shared" si="24"/>
        <v>333</v>
      </c>
      <c r="L30" s="31">
        <f t="shared" si="24"/>
        <v>91</v>
      </c>
      <c r="M30" s="31">
        <f t="shared" si="4"/>
        <v>397</v>
      </c>
      <c r="N30" s="32">
        <f t="shared" si="5"/>
        <v>1383.8709677419354</v>
      </c>
      <c r="O30" s="27">
        <f t="shared" si="6"/>
        <v>91</v>
      </c>
      <c r="P30" s="32">
        <f t="shared" si="7"/>
        <v>1292.8709677419354</v>
      </c>
      <c r="Q30" s="32">
        <f t="shared" si="8"/>
        <v>69.375</v>
      </c>
      <c r="R30" s="28">
        <f t="shared" si="9"/>
        <v>8387.0967741935492</v>
      </c>
      <c r="S30" s="31">
        <f t="shared" si="10"/>
        <v>631</v>
      </c>
      <c r="T30" s="28">
        <f t="shared" si="11"/>
        <v>7756.0967741935492</v>
      </c>
      <c r="U30" s="28">
        <f t="shared" si="25"/>
        <v>16606.451612903224</v>
      </c>
      <c r="V30" s="31">
        <f t="shared" si="25"/>
        <v>949</v>
      </c>
      <c r="W30" s="28">
        <f t="shared" si="13"/>
        <v>15657.451612903224</v>
      </c>
      <c r="X30" s="28">
        <f t="shared" si="26"/>
        <v>100645.16129032256</v>
      </c>
      <c r="Y30" s="28">
        <f t="shared" si="26"/>
        <v>6315.166666666667</v>
      </c>
      <c r="Z30" s="28">
        <f t="shared" si="15"/>
        <v>94329.99462365589</v>
      </c>
      <c r="AA30" s="34">
        <f t="shared" si="16"/>
        <v>0.8464119945274351</v>
      </c>
      <c r="AB30" s="1"/>
    </row>
    <row r="31" spans="2:28" ht="18" customHeight="1" x14ac:dyDescent="0.25">
      <c r="B31" s="27">
        <v>11</v>
      </c>
      <c r="C31" s="32">
        <f t="shared" ref="C31" si="28">C32+203</f>
        <v>279650</v>
      </c>
      <c r="D31" s="32">
        <f>D32+323</f>
        <v>593694</v>
      </c>
      <c r="E31" s="32">
        <f>E32+95</f>
        <v>143850</v>
      </c>
      <c r="F31" s="29">
        <f>C31+D31+E31</f>
        <v>1017194</v>
      </c>
      <c r="G31" s="30">
        <f t="shared" si="1"/>
        <v>1016767.0625</v>
      </c>
      <c r="H31" s="28">
        <f t="shared" si="2"/>
        <v>1016834.3541666666</v>
      </c>
      <c r="I31" s="32">
        <f>I32+392</f>
        <v>712503</v>
      </c>
      <c r="J31" s="31">
        <f t="shared" si="24"/>
        <v>203</v>
      </c>
      <c r="K31" s="31">
        <f t="shared" si="24"/>
        <v>323</v>
      </c>
      <c r="L31" s="31">
        <f t="shared" si="24"/>
        <v>95</v>
      </c>
      <c r="M31" s="31">
        <f t="shared" si="4"/>
        <v>392</v>
      </c>
      <c r="N31" s="32">
        <f>N32</f>
        <v>1383.8709677419354</v>
      </c>
      <c r="O31" s="27">
        <f t="shared" si="6"/>
        <v>95</v>
      </c>
      <c r="P31" s="32">
        <f t="shared" si="7"/>
        <v>1288.8709677419354</v>
      </c>
      <c r="Q31" s="32">
        <f t="shared" si="8"/>
        <v>67.291666666627862</v>
      </c>
      <c r="R31" s="28">
        <f t="shared" si="9"/>
        <v>8387.0967741935492</v>
      </c>
      <c r="S31" s="31">
        <f t="shared" si="10"/>
        <v>621</v>
      </c>
      <c r="T31" s="28">
        <f t="shared" si="11"/>
        <v>7766.0967741935492</v>
      </c>
      <c r="U31" s="28">
        <f t="shared" si="25"/>
        <v>15222.58064516129</v>
      </c>
      <c r="V31" s="31">
        <f t="shared" si="25"/>
        <v>858</v>
      </c>
      <c r="W31" s="28">
        <f t="shared" si="13"/>
        <v>14364.58064516129</v>
      </c>
      <c r="X31" s="28">
        <f t="shared" si="26"/>
        <v>92258.064516129016</v>
      </c>
      <c r="Y31" s="28">
        <f t="shared" si="26"/>
        <v>5684.166666666667</v>
      </c>
      <c r="Z31" s="28">
        <f t="shared" si="15"/>
        <v>86573.897849462344</v>
      </c>
      <c r="AA31" s="34">
        <f t="shared" si="16"/>
        <v>0.84561830750551115</v>
      </c>
      <c r="AB31" s="1"/>
    </row>
    <row r="32" spans="2:28" ht="18" customHeight="1" x14ac:dyDescent="0.25">
      <c r="B32" s="27">
        <v>10</v>
      </c>
      <c r="C32" s="32">
        <f>C33+205</f>
        <v>279447</v>
      </c>
      <c r="D32" s="32">
        <f>D33+310</f>
        <v>593371</v>
      </c>
      <c r="E32" s="32">
        <f t="shared" si="27"/>
        <v>143755</v>
      </c>
      <c r="F32" s="29">
        <f>C32+D32+E32</f>
        <v>1016573</v>
      </c>
      <c r="G32" s="30">
        <f t="shared" si="1"/>
        <v>1016156.375</v>
      </c>
      <c r="H32" s="28">
        <f t="shared" si="2"/>
        <v>1016220.9583333334</v>
      </c>
      <c r="I32" s="32">
        <f>I33+377</f>
        <v>712111</v>
      </c>
      <c r="J32" s="31">
        <f t="shared" si="24"/>
        <v>205</v>
      </c>
      <c r="K32" s="31">
        <f t="shared" si="24"/>
        <v>310</v>
      </c>
      <c r="L32" s="31">
        <f t="shared" si="24"/>
        <v>91</v>
      </c>
      <c r="M32" s="31">
        <f t="shared" si="4"/>
        <v>377</v>
      </c>
      <c r="N32" s="32">
        <f t="shared" si="5"/>
        <v>1383.8709677419354</v>
      </c>
      <c r="O32" s="27">
        <f t="shared" si="6"/>
        <v>91</v>
      </c>
      <c r="P32" s="32">
        <f t="shared" si="7"/>
        <v>1292.8709677419354</v>
      </c>
      <c r="Q32" s="32">
        <f t="shared" si="8"/>
        <v>64.583333333372138</v>
      </c>
      <c r="R32" s="28">
        <f t="shared" si="9"/>
        <v>8387.0967741935492</v>
      </c>
      <c r="S32" s="31">
        <f t="shared" si="10"/>
        <v>606</v>
      </c>
      <c r="T32" s="28">
        <f t="shared" si="11"/>
        <v>7781.0967741935492</v>
      </c>
      <c r="U32" s="28">
        <f t="shared" si="25"/>
        <v>13838.709677419354</v>
      </c>
      <c r="V32" s="31">
        <f t="shared" si="25"/>
        <v>763</v>
      </c>
      <c r="W32" s="28">
        <f t="shared" si="13"/>
        <v>13075.709677419354</v>
      </c>
      <c r="X32" s="28">
        <f t="shared" si="26"/>
        <v>83870.96774193547</v>
      </c>
      <c r="Y32" s="28">
        <f t="shared" si="26"/>
        <v>5063.166666666667</v>
      </c>
      <c r="Z32" s="28">
        <f t="shared" si="15"/>
        <v>78807.801075268799</v>
      </c>
      <c r="AA32" s="34">
        <f t="shared" si="16"/>
        <v>0.84909850100423845</v>
      </c>
      <c r="AB32" s="1"/>
    </row>
    <row r="33" spans="2:28" ht="18" customHeight="1" x14ac:dyDescent="0.25">
      <c r="B33" s="27">
        <v>9</v>
      </c>
      <c r="C33" s="32">
        <f>C34+201</f>
        <v>279242</v>
      </c>
      <c r="D33" s="32">
        <f>D34+298</f>
        <v>593061</v>
      </c>
      <c r="E33" s="32">
        <f>E34+90</f>
        <v>143664</v>
      </c>
      <c r="F33" s="29">
        <f t="shared" si="17"/>
        <v>1015967</v>
      </c>
      <c r="G33" s="30">
        <f t="shared" si="1"/>
        <v>1015562.0625</v>
      </c>
      <c r="H33" s="28">
        <f t="shared" si="2"/>
        <v>1015624.1458333334</v>
      </c>
      <c r="I33" s="32">
        <f>I34+396</f>
        <v>711734</v>
      </c>
      <c r="J33" s="31">
        <f t="shared" si="24"/>
        <v>201</v>
      </c>
      <c r="K33" s="31">
        <f t="shared" si="24"/>
        <v>298</v>
      </c>
      <c r="L33" s="31">
        <f t="shared" si="24"/>
        <v>90</v>
      </c>
      <c r="M33" s="31">
        <f t="shared" si="4"/>
        <v>396</v>
      </c>
      <c r="N33" s="32">
        <f t="shared" si="5"/>
        <v>1383.8709677419354</v>
      </c>
      <c r="O33" s="27">
        <f t="shared" si="6"/>
        <v>90</v>
      </c>
      <c r="P33" s="32">
        <f t="shared" si="7"/>
        <v>1293.8709677419354</v>
      </c>
      <c r="Q33" s="32">
        <f t="shared" si="8"/>
        <v>62.083333333372138</v>
      </c>
      <c r="R33" s="28">
        <f t="shared" si="9"/>
        <v>8387.0967741935492</v>
      </c>
      <c r="S33" s="31">
        <f t="shared" si="10"/>
        <v>589</v>
      </c>
      <c r="T33" s="28">
        <f t="shared" si="11"/>
        <v>7798.0967741935492</v>
      </c>
      <c r="U33" s="28">
        <f t="shared" si="25"/>
        <v>12454.838709677419</v>
      </c>
      <c r="V33" s="31">
        <f t="shared" si="25"/>
        <v>672</v>
      </c>
      <c r="W33" s="28">
        <f t="shared" si="13"/>
        <v>11782.838709677419</v>
      </c>
      <c r="X33" s="28">
        <f t="shared" si="26"/>
        <v>75483.870967741925</v>
      </c>
      <c r="Y33" s="28">
        <f t="shared" si="26"/>
        <v>4457.166666666667</v>
      </c>
      <c r="Z33" s="28">
        <f t="shared" si="15"/>
        <v>71026.704301075253</v>
      </c>
      <c r="AA33" s="34">
        <f t="shared" si="16"/>
        <v>0.82987631358128744</v>
      </c>
      <c r="AB33" s="1"/>
    </row>
    <row r="34" spans="2:28" ht="18" customHeight="1" x14ac:dyDescent="0.25">
      <c r="B34" s="27">
        <v>8</v>
      </c>
      <c r="C34" s="32">
        <f>C35+197</f>
        <v>279041</v>
      </c>
      <c r="D34" s="32">
        <f>D35+290</f>
        <v>592763</v>
      </c>
      <c r="E34" s="32">
        <f>E35+87</f>
        <v>143574</v>
      </c>
      <c r="F34" s="29">
        <f t="shared" si="17"/>
        <v>1015378</v>
      </c>
      <c r="G34" s="30">
        <f t="shared" si="1"/>
        <v>1014983.375</v>
      </c>
      <c r="H34" s="28">
        <f t="shared" si="2"/>
        <v>1015043.7916666666</v>
      </c>
      <c r="I34" s="32">
        <f>I35+383</f>
        <v>711338</v>
      </c>
      <c r="J34" s="31">
        <f t="shared" si="24"/>
        <v>197</v>
      </c>
      <c r="K34" s="31">
        <f t="shared" si="24"/>
        <v>290</v>
      </c>
      <c r="L34" s="31">
        <f t="shared" si="24"/>
        <v>87</v>
      </c>
      <c r="M34" s="31">
        <f t="shared" si="4"/>
        <v>383</v>
      </c>
      <c r="N34" s="32">
        <f t="shared" si="5"/>
        <v>1383.8709677419354</v>
      </c>
      <c r="O34" s="27">
        <f t="shared" si="6"/>
        <v>87</v>
      </c>
      <c r="P34" s="32">
        <f t="shared" si="7"/>
        <v>1296.8709677419354</v>
      </c>
      <c r="Q34" s="32">
        <f t="shared" si="8"/>
        <v>60.416666666627862</v>
      </c>
      <c r="R34" s="28">
        <f t="shared" si="9"/>
        <v>8387.0967741935492</v>
      </c>
      <c r="S34" s="31">
        <f t="shared" si="10"/>
        <v>574</v>
      </c>
      <c r="T34" s="28">
        <f t="shared" si="11"/>
        <v>7813.0967741935492</v>
      </c>
      <c r="U34" s="28">
        <f t="shared" si="25"/>
        <v>11070.967741935483</v>
      </c>
      <c r="V34" s="31">
        <f t="shared" si="25"/>
        <v>582</v>
      </c>
      <c r="W34" s="28">
        <f t="shared" si="13"/>
        <v>10488.967741935483</v>
      </c>
      <c r="X34" s="28">
        <f t="shared" si="26"/>
        <v>67096.774193548379</v>
      </c>
      <c r="Y34" s="28">
        <f t="shared" si="26"/>
        <v>3868.166666666667</v>
      </c>
      <c r="Z34" s="28">
        <f t="shared" si="15"/>
        <v>63228.607526881715</v>
      </c>
      <c r="AA34" s="34">
        <f t="shared" si="16"/>
        <v>0.83182727690855129</v>
      </c>
      <c r="AB34" s="1"/>
    </row>
    <row r="35" spans="2:28" ht="18" customHeight="1" x14ac:dyDescent="0.25">
      <c r="B35" s="27">
        <v>7</v>
      </c>
      <c r="C35" s="32">
        <v>278844</v>
      </c>
      <c r="D35" s="32">
        <v>592473</v>
      </c>
      <c r="E35" s="32">
        <v>143487</v>
      </c>
      <c r="F35" s="3">
        <f>C35+D35+E35</f>
        <v>1014804</v>
      </c>
      <c r="G35" s="30">
        <f t="shared" si="1"/>
        <v>1014434.8125</v>
      </c>
      <c r="H35" s="28">
        <f t="shared" si="2"/>
        <v>1014491.0625</v>
      </c>
      <c r="I35" s="32">
        <v>710955</v>
      </c>
      <c r="J35" s="31">
        <f t="shared" si="24"/>
        <v>181</v>
      </c>
      <c r="K35" s="31">
        <f t="shared" si="24"/>
        <v>270</v>
      </c>
      <c r="L35" s="31">
        <f t="shared" si="24"/>
        <v>86</v>
      </c>
      <c r="M35" s="31">
        <f t="shared" si="4"/>
        <v>375</v>
      </c>
      <c r="N35" s="32">
        <f t="shared" si="5"/>
        <v>1383.8709677419354</v>
      </c>
      <c r="O35" s="27">
        <f t="shared" si="6"/>
        <v>86</v>
      </c>
      <c r="P35" s="32">
        <f t="shared" si="7"/>
        <v>1297.8709677419354</v>
      </c>
      <c r="Q35" s="32">
        <f t="shared" si="8"/>
        <v>56.25</v>
      </c>
      <c r="R35" s="28">
        <f t="shared" si="9"/>
        <v>8387.0967741935492</v>
      </c>
      <c r="S35" s="31">
        <f t="shared" si="10"/>
        <v>537</v>
      </c>
      <c r="T35" s="28">
        <f t="shared" si="11"/>
        <v>7850.0967741935492</v>
      </c>
      <c r="U35" s="28">
        <f t="shared" si="25"/>
        <v>9687.0967741935474</v>
      </c>
      <c r="V35" s="31">
        <f t="shared" si="25"/>
        <v>495</v>
      </c>
      <c r="W35" s="28">
        <f t="shared" si="13"/>
        <v>9192.0967741935474</v>
      </c>
      <c r="X35" s="28">
        <f t="shared" si="26"/>
        <v>58709.677419354834</v>
      </c>
      <c r="Y35" s="28">
        <f t="shared" si="26"/>
        <v>3294.166666666667</v>
      </c>
      <c r="Z35" s="28">
        <f t="shared" si="15"/>
        <v>55415.510752688169</v>
      </c>
      <c r="AA35" s="34">
        <f t="shared" si="16"/>
        <v>0.81987694964696589</v>
      </c>
      <c r="AB35" s="1"/>
    </row>
    <row r="36" spans="2:28" ht="18" customHeight="1" x14ac:dyDescent="0.25">
      <c r="B36" s="27">
        <v>6</v>
      </c>
      <c r="C36" s="32">
        <f>C37+175</f>
        <v>278663</v>
      </c>
      <c r="D36" s="32">
        <f>D37+252</f>
        <v>592203</v>
      </c>
      <c r="E36" s="32">
        <f>E37+84</f>
        <v>143401</v>
      </c>
      <c r="F36" s="29">
        <f t="shared" si="17"/>
        <v>1014267</v>
      </c>
      <c r="G36" s="30">
        <f t="shared" si="1"/>
        <v>1013915.6875</v>
      </c>
      <c r="H36" s="28">
        <f t="shared" si="2"/>
        <v>1013968.1875</v>
      </c>
      <c r="I36" s="32">
        <f>I37+390</f>
        <v>710580</v>
      </c>
      <c r="J36" s="31">
        <f t="shared" si="24"/>
        <v>175</v>
      </c>
      <c r="K36" s="31">
        <f t="shared" si="24"/>
        <v>252</v>
      </c>
      <c r="L36" s="31">
        <f t="shared" si="24"/>
        <v>84</v>
      </c>
      <c r="M36" s="31">
        <f t="shared" si="4"/>
        <v>390</v>
      </c>
      <c r="N36" s="32">
        <f t="shared" si="5"/>
        <v>1383.8709677419354</v>
      </c>
      <c r="O36" s="27">
        <f t="shared" si="6"/>
        <v>84</v>
      </c>
      <c r="P36" s="32">
        <f t="shared" si="7"/>
        <v>1299.8709677419354</v>
      </c>
      <c r="Q36" s="32">
        <f t="shared" si="8"/>
        <v>52.5</v>
      </c>
      <c r="R36" s="28">
        <f t="shared" si="9"/>
        <v>8387.0967741935492</v>
      </c>
      <c r="S36" s="31">
        <f t="shared" si="10"/>
        <v>511</v>
      </c>
      <c r="T36" s="28">
        <f t="shared" si="11"/>
        <v>7876.0967741935492</v>
      </c>
      <c r="U36" s="28">
        <f t="shared" si="25"/>
        <v>8303.2258064516118</v>
      </c>
      <c r="V36" s="31">
        <f t="shared" si="25"/>
        <v>409</v>
      </c>
      <c r="W36" s="28">
        <f t="shared" si="13"/>
        <v>7894.2258064516118</v>
      </c>
      <c r="X36" s="28">
        <f t="shared" si="26"/>
        <v>50322.580645161288</v>
      </c>
      <c r="Y36" s="28">
        <f t="shared" si="26"/>
        <v>2757.166666666667</v>
      </c>
      <c r="Z36" s="28">
        <f t="shared" si="15"/>
        <v>47565.413978494624</v>
      </c>
      <c r="AA36" s="34">
        <f t="shared" si="16"/>
        <v>0.79493150228517395</v>
      </c>
      <c r="AB36" s="1"/>
    </row>
    <row r="37" spans="2:28" ht="18" customHeight="1" x14ac:dyDescent="0.25">
      <c r="B37" s="27">
        <v>5</v>
      </c>
      <c r="C37" s="32">
        <f t="shared" ref="C37" si="29">C38+159</f>
        <v>278488</v>
      </c>
      <c r="D37" s="32">
        <f t="shared" ref="D37" si="30">D38+239</f>
        <v>591951</v>
      </c>
      <c r="E37" s="32">
        <f>E38+74</f>
        <v>143317</v>
      </c>
      <c r="F37" s="29">
        <f t="shared" si="17"/>
        <v>1013756</v>
      </c>
      <c r="G37" s="30">
        <f t="shared" si="1"/>
        <v>1013431.5</v>
      </c>
      <c r="H37" s="28">
        <f t="shared" si="2"/>
        <v>1013481.2916666666</v>
      </c>
      <c r="I37" s="32">
        <f>I38+369</f>
        <v>710190</v>
      </c>
      <c r="J37" s="31">
        <f t="shared" si="24"/>
        <v>159</v>
      </c>
      <c r="K37" s="31">
        <f t="shared" si="24"/>
        <v>239</v>
      </c>
      <c r="L37" s="31">
        <f t="shared" si="24"/>
        <v>74</v>
      </c>
      <c r="M37" s="31">
        <f t="shared" si="4"/>
        <v>369</v>
      </c>
      <c r="N37" s="32">
        <f t="shared" si="5"/>
        <v>1383.8709677419354</v>
      </c>
      <c r="O37" s="27">
        <f t="shared" si="6"/>
        <v>74</v>
      </c>
      <c r="P37" s="32">
        <f t="shared" si="7"/>
        <v>1309.8709677419354</v>
      </c>
      <c r="Q37" s="32">
        <f t="shared" si="8"/>
        <v>49.791666666627862</v>
      </c>
      <c r="R37" s="28">
        <f t="shared" si="9"/>
        <v>8387.0967741935492</v>
      </c>
      <c r="S37" s="31">
        <f t="shared" si="10"/>
        <v>472</v>
      </c>
      <c r="T37" s="28">
        <f t="shared" si="11"/>
        <v>7915.0967741935492</v>
      </c>
      <c r="U37" s="28">
        <f t="shared" si="25"/>
        <v>6919.3548387096771</v>
      </c>
      <c r="V37" s="31">
        <f t="shared" si="25"/>
        <v>325</v>
      </c>
      <c r="W37" s="28">
        <f t="shared" si="13"/>
        <v>6594.3548387096771</v>
      </c>
      <c r="X37" s="28">
        <f t="shared" si="26"/>
        <v>41935.483870967742</v>
      </c>
      <c r="Y37" s="28">
        <f t="shared" si="26"/>
        <v>2246.166666666667</v>
      </c>
      <c r="Z37" s="28">
        <f t="shared" si="15"/>
        <v>39689.317204301078</v>
      </c>
      <c r="AA37" s="34">
        <f t="shared" si="16"/>
        <v>0.78782189156088911</v>
      </c>
      <c r="AB37" s="1"/>
    </row>
    <row r="38" spans="2:28" ht="18" customHeight="1" x14ac:dyDescent="0.25">
      <c r="B38" s="27">
        <v>4</v>
      </c>
      <c r="C38" s="32">
        <f>C39+153</f>
        <v>278329</v>
      </c>
      <c r="D38" s="32">
        <f>D39+240</f>
        <v>591712</v>
      </c>
      <c r="E38" s="32">
        <f>E39+73</f>
        <v>143243</v>
      </c>
      <c r="F38" s="29">
        <f t="shared" si="17"/>
        <v>1013284</v>
      </c>
      <c r="G38" s="30">
        <f t="shared" si="1"/>
        <v>1012963.625</v>
      </c>
      <c r="H38" s="28">
        <f t="shared" si="2"/>
        <v>1013013.625</v>
      </c>
      <c r="I38" s="32">
        <f>I39+372</f>
        <v>709821</v>
      </c>
      <c r="J38" s="31">
        <f t="shared" si="24"/>
        <v>153</v>
      </c>
      <c r="K38" s="31">
        <f t="shared" si="24"/>
        <v>240</v>
      </c>
      <c r="L38" s="31">
        <f t="shared" si="24"/>
        <v>73</v>
      </c>
      <c r="M38" s="31">
        <f t="shared" si="4"/>
        <v>372</v>
      </c>
      <c r="N38" s="32">
        <f t="shared" si="5"/>
        <v>1383.8709677419354</v>
      </c>
      <c r="O38" s="27">
        <f t="shared" si="6"/>
        <v>73</v>
      </c>
      <c r="P38" s="32">
        <f t="shared" si="7"/>
        <v>1310.8709677419354</v>
      </c>
      <c r="Q38" s="32">
        <f t="shared" si="8"/>
        <v>50</v>
      </c>
      <c r="R38" s="28">
        <f t="shared" si="9"/>
        <v>8387.0967741935492</v>
      </c>
      <c r="S38" s="31">
        <f t="shared" si="10"/>
        <v>466</v>
      </c>
      <c r="T38" s="28">
        <f t="shared" si="11"/>
        <v>7921.0967741935492</v>
      </c>
      <c r="U38" s="28">
        <f t="shared" si="25"/>
        <v>5535.4838709677415</v>
      </c>
      <c r="V38" s="31">
        <f t="shared" si="25"/>
        <v>251</v>
      </c>
      <c r="W38" s="28">
        <f t="shared" si="13"/>
        <v>5284.4838709677415</v>
      </c>
      <c r="X38" s="28">
        <f t="shared" si="26"/>
        <v>33548.387096774197</v>
      </c>
      <c r="Y38" s="28">
        <f t="shared" si="26"/>
        <v>1774.1666666666667</v>
      </c>
      <c r="Z38" s="28">
        <f t="shared" si="15"/>
        <v>31774.220430107529</v>
      </c>
      <c r="AA38" s="34">
        <f t="shared" si="16"/>
        <v>0.78152285413560019</v>
      </c>
      <c r="AB38" s="1"/>
    </row>
    <row r="39" spans="2:28" ht="18" customHeight="1" x14ac:dyDescent="0.25">
      <c r="B39" s="27">
        <v>3</v>
      </c>
      <c r="C39" s="32">
        <f>C40+157</f>
        <v>278176</v>
      </c>
      <c r="D39" s="32">
        <f>D40+230</f>
        <v>591472</v>
      </c>
      <c r="E39" s="32">
        <f>E40+67</f>
        <v>143170</v>
      </c>
      <c r="F39" s="29">
        <f t="shared" si="17"/>
        <v>1012818</v>
      </c>
      <c r="G39" s="30">
        <f t="shared" si="1"/>
        <v>1012505.875</v>
      </c>
      <c r="H39" s="28">
        <f t="shared" si="2"/>
        <v>1012553.7916666666</v>
      </c>
      <c r="I39" s="32">
        <f>I40+368</f>
        <v>709449</v>
      </c>
      <c r="J39" s="31">
        <f t="shared" si="24"/>
        <v>157</v>
      </c>
      <c r="K39" s="31">
        <f t="shared" si="24"/>
        <v>230</v>
      </c>
      <c r="L39" s="31">
        <f t="shared" si="24"/>
        <v>67</v>
      </c>
      <c r="M39" s="31">
        <f t="shared" si="4"/>
        <v>368</v>
      </c>
      <c r="N39" s="32">
        <f t="shared" si="5"/>
        <v>1383.8709677419354</v>
      </c>
      <c r="O39" s="27">
        <f t="shared" si="6"/>
        <v>67</v>
      </c>
      <c r="P39" s="32">
        <f t="shared" si="7"/>
        <v>1316.8709677419354</v>
      </c>
      <c r="Q39" s="32">
        <f t="shared" si="8"/>
        <v>47.916666666627862</v>
      </c>
      <c r="R39" s="28">
        <f t="shared" si="9"/>
        <v>8387.0967741935492</v>
      </c>
      <c r="S39" s="31">
        <f t="shared" si="10"/>
        <v>454</v>
      </c>
      <c r="T39" s="28">
        <f t="shared" si="11"/>
        <v>7933.0967741935492</v>
      </c>
      <c r="U39" s="28">
        <f t="shared" si="25"/>
        <v>4151.6129032258059</v>
      </c>
      <c r="V39" s="31">
        <f t="shared" si="25"/>
        <v>178</v>
      </c>
      <c r="W39" s="28">
        <f t="shared" si="13"/>
        <v>3973.6129032258059</v>
      </c>
      <c r="X39" s="28">
        <f t="shared" si="26"/>
        <v>25161.290322580648</v>
      </c>
      <c r="Y39" s="28">
        <f t="shared" si="26"/>
        <v>1308.1666666666667</v>
      </c>
      <c r="Z39" s="28">
        <f t="shared" si="15"/>
        <v>23853.12365591398</v>
      </c>
      <c r="AA39" s="34">
        <f t="shared" si="16"/>
        <v>0.77684623598820013</v>
      </c>
      <c r="AB39" s="1"/>
    </row>
    <row r="40" spans="2:28" ht="18" customHeight="1" x14ac:dyDescent="0.25">
      <c r="B40" s="27">
        <v>2</v>
      </c>
      <c r="C40" s="32">
        <f>C41+142</f>
        <v>278019</v>
      </c>
      <c r="D40" s="32">
        <f>D41+227</f>
        <v>591242</v>
      </c>
      <c r="E40" s="32">
        <f>E41+52</f>
        <v>143103</v>
      </c>
      <c r="F40" s="29">
        <f t="shared" si="17"/>
        <v>1012364</v>
      </c>
      <c r="G40" s="30">
        <f t="shared" si="1"/>
        <v>1012074.5625</v>
      </c>
      <c r="H40" s="28">
        <f t="shared" si="2"/>
        <v>1012121.8541666666</v>
      </c>
      <c r="I40" s="32">
        <f>I41+339</f>
        <v>709081</v>
      </c>
      <c r="J40" s="31">
        <f t="shared" si="24"/>
        <v>142</v>
      </c>
      <c r="K40" s="31">
        <f t="shared" si="24"/>
        <v>227</v>
      </c>
      <c r="L40" s="31">
        <f t="shared" si="24"/>
        <v>52</v>
      </c>
      <c r="M40" s="31">
        <f t="shared" si="4"/>
        <v>339</v>
      </c>
      <c r="N40" s="32">
        <f t="shared" si="5"/>
        <v>1383.8709677419354</v>
      </c>
      <c r="O40" s="27">
        <f t="shared" si="6"/>
        <v>52</v>
      </c>
      <c r="P40" s="32">
        <f t="shared" si="7"/>
        <v>1331.8709677419354</v>
      </c>
      <c r="Q40" s="32">
        <f t="shared" si="8"/>
        <v>47.291666666627862</v>
      </c>
      <c r="R40" s="28">
        <f>R41</f>
        <v>8387.0967741935492</v>
      </c>
      <c r="S40" s="31">
        <f>J40+K40+L40</f>
        <v>421</v>
      </c>
      <c r="T40" s="28">
        <f t="shared" si="11"/>
        <v>7966.0967741935492</v>
      </c>
      <c r="U40" s="28">
        <f t="shared" si="25"/>
        <v>2767.7419354838707</v>
      </c>
      <c r="V40" s="31">
        <f t="shared" si="25"/>
        <v>111</v>
      </c>
      <c r="W40" s="28">
        <f t="shared" si="13"/>
        <v>2656.7419354838707</v>
      </c>
      <c r="X40" s="28">
        <f t="shared" si="26"/>
        <v>16774.193548387098</v>
      </c>
      <c r="Y40" s="28">
        <f t="shared" si="26"/>
        <v>854.16666666666674</v>
      </c>
      <c r="Z40" s="28">
        <f t="shared" si="15"/>
        <v>15920.026881720432</v>
      </c>
      <c r="AA40" s="34">
        <f t="shared" si="16"/>
        <v>0.77887942467327143</v>
      </c>
      <c r="AB40" s="1"/>
    </row>
    <row r="41" spans="2:28" ht="18.75" customHeight="1" thickBot="1" x14ac:dyDescent="0.3">
      <c r="B41" s="27">
        <v>1</v>
      </c>
      <c r="C41" s="32">
        <f>C42+150</f>
        <v>277877</v>
      </c>
      <c r="D41" s="32">
        <f>D42+220</f>
        <v>591015</v>
      </c>
      <c r="E41" s="32">
        <f>E42+59</f>
        <v>143051</v>
      </c>
      <c r="F41" s="29">
        <f t="shared" si="17"/>
        <v>1011943</v>
      </c>
      <c r="G41" s="30">
        <f t="shared" si="1"/>
        <v>1011649.3645833334</v>
      </c>
      <c r="H41" s="28">
        <f t="shared" si="2"/>
        <v>1011695.1979166667</v>
      </c>
      <c r="I41" s="32">
        <f>I42+334</f>
        <v>708742</v>
      </c>
      <c r="J41" s="31">
        <f t="shared" si="24"/>
        <v>150</v>
      </c>
      <c r="K41" s="31">
        <f t="shared" si="24"/>
        <v>220</v>
      </c>
      <c r="L41" s="31">
        <f t="shared" si="24"/>
        <v>59</v>
      </c>
      <c r="M41" s="31">
        <f t="shared" si="4"/>
        <v>334</v>
      </c>
      <c r="N41" s="24">
        <f>O6/31</f>
        <v>1383.8709677419354</v>
      </c>
      <c r="O41" s="27">
        <f t="shared" si="6"/>
        <v>59</v>
      </c>
      <c r="P41" s="32">
        <f t="shared" si="7"/>
        <v>1324.8709677419354</v>
      </c>
      <c r="Q41" s="32">
        <f t="shared" si="8"/>
        <v>45.833333333372138</v>
      </c>
      <c r="R41" s="57">
        <f>S6/31</f>
        <v>8387.0967741935492</v>
      </c>
      <c r="S41" s="28">
        <f>J41+K41+L41+V6</f>
        <v>433.16666666666669</v>
      </c>
      <c r="T41" s="28">
        <f t="shared" si="11"/>
        <v>7953.9301075268822</v>
      </c>
      <c r="U41" s="28">
        <f>N41</f>
        <v>1383.8709677419354</v>
      </c>
      <c r="V41" s="31">
        <f>O41</f>
        <v>59</v>
      </c>
      <c r="W41" s="28">
        <f t="shared" si="13"/>
        <v>1324.8709677419354</v>
      </c>
      <c r="X41" s="28">
        <f>R41</f>
        <v>8387.0967741935492</v>
      </c>
      <c r="Y41" s="28">
        <f>S41</f>
        <v>433.16666666666669</v>
      </c>
      <c r="Z41" s="28">
        <f t="shared" si="15"/>
        <v>7953.9301075268822</v>
      </c>
      <c r="AA41" s="58">
        <f t="shared" si="16"/>
        <v>0.79192117556710806</v>
      </c>
      <c r="AB41" s="1"/>
    </row>
    <row r="42" spans="2:28" ht="54.75" customHeight="1" thickBot="1" x14ac:dyDescent="0.3">
      <c r="B42" s="19" t="s">
        <v>35</v>
      </c>
      <c r="C42" s="27">
        <v>277727</v>
      </c>
      <c r="D42" s="27">
        <v>590795</v>
      </c>
      <c r="E42" s="27">
        <v>142992</v>
      </c>
      <c r="F42" s="29">
        <v>1011514</v>
      </c>
      <c r="G42" s="59">
        <v>1011272.3333333334</v>
      </c>
      <c r="H42" s="3">
        <v>1011310.4583333334</v>
      </c>
      <c r="I42" s="27">
        <v>708408</v>
      </c>
      <c r="J42" s="4"/>
      <c r="K42" s="4"/>
      <c r="L42" s="4"/>
      <c r="M42" s="60">
        <f>SUM(M11:M41)</f>
        <v>9870</v>
      </c>
      <c r="N42" s="4" t="s">
        <v>45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1">
        <f>AVERAGE(AA11:AA41)</f>
        <v>0.83395213796503742</v>
      </c>
    </row>
    <row r="43" spans="2:28" ht="18" customHeight="1" x14ac:dyDescent="0.25">
      <c r="B43" s="2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"/>
      <c r="S43" s="4"/>
      <c r="T43" s="4"/>
      <c r="U43" s="4"/>
      <c r="V43" s="4"/>
      <c r="W43" s="4"/>
      <c r="X43" s="4"/>
      <c r="Y43" s="4"/>
      <c r="Z43" s="4"/>
      <c r="AA43" s="4"/>
    </row>
    <row r="44" spans="2:28" ht="18" customHeight="1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"/>
      <c r="S44" s="4"/>
      <c r="T44" s="4"/>
      <c r="U44" s="4"/>
      <c r="V44" s="4"/>
      <c r="W44" s="4"/>
      <c r="X44" s="4"/>
      <c r="Y44" s="4"/>
      <c r="Z44" s="4"/>
      <c r="AA44" s="4"/>
    </row>
    <row r="45" spans="2:28" ht="18" customHeight="1" x14ac:dyDescent="0.25">
      <c r="B45" s="4"/>
      <c r="C45" s="4"/>
      <c r="D45" s="22"/>
      <c r="E45" s="4"/>
      <c r="F45" s="4"/>
      <c r="G45" s="4"/>
      <c r="H45" s="4" t="s">
        <v>36</v>
      </c>
      <c r="I45" s="4"/>
      <c r="J45" s="4"/>
      <c r="K45" s="4"/>
      <c r="L45" s="4"/>
      <c r="M45" s="4"/>
      <c r="N45" s="4"/>
      <c r="O45" s="4"/>
      <c r="P45" s="4"/>
      <c r="Q45" s="4"/>
      <c r="R45" s="11"/>
      <c r="S45" s="4"/>
      <c r="T45" s="4"/>
      <c r="U45" s="4"/>
      <c r="V45" s="4"/>
      <c r="W45" s="4"/>
      <c r="X45" s="4"/>
      <c r="Y45" s="4"/>
      <c r="Z45" s="4"/>
      <c r="AA45" s="4"/>
    </row>
    <row r="46" spans="2:28" x14ac:dyDescent="0.25">
      <c r="C46" s="21"/>
    </row>
    <row r="52" spans="26:27" ht="18" customHeight="1" x14ac:dyDescent="0.25">
      <c r="Z52" s="4" t="s">
        <v>37</v>
      </c>
    </row>
    <row r="53" spans="26:27" ht="18" customHeight="1" x14ac:dyDescent="0.25">
      <c r="Z53" s="4" t="s">
        <v>38</v>
      </c>
      <c r="AA53" s="4"/>
    </row>
    <row r="54" spans="26:27" ht="18" customHeight="1" x14ac:dyDescent="0.25">
      <c r="Z54" s="4" t="s">
        <v>39</v>
      </c>
      <c r="AA54" s="4"/>
    </row>
    <row r="55" spans="26:27" ht="18" customHeight="1" x14ac:dyDescent="0.25">
      <c r="Z55" s="4" t="s">
        <v>40</v>
      </c>
      <c r="AA55" s="4"/>
    </row>
    <row r="4112" spans="14:18" x14ac:dyDescent="0.25">
      <c r="N4112" s="39"/>
      <c r="R4112" s="39"/>
    </row>
    <row r="4113" spans="14:18" x14ac:dyDescent="0.25">
      <c r="N4113" s="39"/>
      <c r="R4113" s="39"/>
    </row>
    <row r="4114" spans="14:18" x14ac:dyDescent="0.25">
      <c r="N4114" s="39"/>
      <c r="R4114" s="39"/>
    </row>
    <row r="4115" spans="14:18" x14ac:dyDescent="0.25">
      <c r="N4115" s="39"/>
      <c r="R4115" s="39"/>
    </row>
    <row r="4116" spans="14:18" x14ac:dyDescent="0.25">
      <c r="N4116" s="39"/>
      <c r="R4116" s="39"/>
    </row>
    <row r="4117" spans="14:18" x14ac:dyDescent="0.25">
      <c r="N4117" s="39"/>
      <c r="R4117" s="39"/>
    </row>
    <row r="4118" spans="14:18" x14ac:dyDescent="0.25">
      <c r="N4118" s="39"/>
      <c r="R4118" s="39"/>
    </row>
    <row r="4119" spans="14:18" x14ac:dyDescent="0.25">
      <c r="N4119" s="39"/>
      <c r="R4119" s="39"/>
    </row>
    <row r="4120" spans="14:18" x14ac:dyDescent="0.25">
      <c r="N4120" s="39"/>
      <c r="R4120" s="39"/>
    </row>
    <row r="4121" spans="14:18" x14ac:dyDescent="0.25">
      <c r="N4121" s="39"/>
      <c r="R4121" s="39"/>
    </row>
    <row r="4122" spans="14:18" x14ac:dyDescent="0.25">
      <c r="N4122" s="39"/>
      <c r="R4122" s="39"/>
    </row>
    <row r="4123" spans="14:18" x14ac:dyDescent="0.25">
      <c r="N4123" s="39"/>
      <c r="R4123" s="39"/>
    </row>
    <row r="4124" spans="14:18" x14ac:dyDescent="0.25">
      <c r="N4124" s="39"/>
      <c r="R4124" s="39"/>
    </row>
    <row r="4125" spans="14:18" x14ac:dyDescent="0.25">
      <c r="N4125" s="39"/>
      <c r="R4125" s="39"/>
    </row>
    <row r="4126" spans="14:18" x14ac:dyDescent="0.25">
      <c r="N4126" s="39"/>
      <c r="R4126" s="39"/>
    </row>
    <row r="4127" spans="14:18" x14ac:dyDescent="0.25">
      <c r="N4127" s="39"/>
      <c r="R4127" s="39"/>
    </row>
    <row r="4128" spans="14:18" x14ac:dyDescent="0.25">
      <c r="N4128" s="39"/>
      <c r="R4128" s="39"/>
    </row>
    <row r="4129" spans="14:18" x14ac:dyDescent="0.25">
      <c r="N4129" s="39"/>
      <c r="R4129" s="39"/>
    </row>
    <row r="4130" spans="14:18" x14ac:dyDescent="0.25">
      <c r="N4130" s="39"/>
      <c r="R4130" s="39"/>
    </row>
    <row r="4131" spans="14:18" x14ac:dyDescent="0.25">
      <c r="N4131" s="39"/>
      <c r="R4131" s="39"/>
    </row>
    <row r="4132" spans="14:18" x14ac:dyDescent="0.25">
      <c r="N4132" s="39"/>
      <c r="R4132" s="39"/>
    </row>
    <row r="4133" spans="14:18" x14ac:dyDescent="0.25">
      <c r="N4133" s="39"/>
      <c r="R4133" s="39"/>
    </row>
    <row r="4134" spans="14:18" x14ac:dyDescent="0.25">
      <c r="N4134" s="39"/>
      <c r="R4134" s="39"/>
    </row>
    <row r="4135" spans="14:18" x14ac:dyDescent="0.25">
      <c r="N4135" s="39"/>
      <c r="R4135" s="39"/>
    </row>
    <row r="4136" spans="14:18" x14ac:dyDescent="0.25">
      <c r="N4136" s="39"/>
      <c r="R4136" s="39"/>
    </row>
    <row r="4137" spans="14:18" x14ac:dyDescent="0.25">
      <c r="N4137" s="39"/>
      <c r="R4137" s="39"/>
    </row>
    <row r="4138" spans="14:18" x14ac:dyDescent="0.25">
      <c r="N4138" s="39"/>
      <c r="R4138" s="39"/>
    </row>
    <row r="4139" spans="14:18" x14ac:dyDescent="0.25">
      <c r="N4139" s="39"/>
      <c r="R4139" s="39"/>
    </row>
    <row r="4140" spans="14:18" x14ac:dyDescent="0.25">
      <c r="N4140" s="39"/>
      <c r="R4140" s="39"/>
    </row>
    <row r="4141" spans="14:18" x14ac:dyDescent="0.25">
      <c r="N4141" s="39"/>
      <c r="R4141" s="39"/>
    </row>
  </sheetData>
  <mergeCells count="10">
    <mergeCell ref="AB8:AB9"/>
    <mergeCell ref="B8:B9"/>
    <mergeCell ref="N8:P8"/>
    <mergeCell ref="R8:T8"/>
    <mergeCell ref="U8:W8"/>
    <mergeCell ref="X8:AA8"/>
    <mergeCell ref="C5:E5"/>
    <mergeCell ref="J8:M8"/>
    <mergeCell ref="C8:I8"/>
    <mergeCell ref="Q8:Q9"/>
  </mergeCells>
  <printOptions horizontalCentered="1"/>
  <pageMargins left="0.25" right="0.25" top="0.75" bottom="0.75" header="0.3" footer="0.3"/>
  <pageSetup paperSize="9" scale="4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B4141"/>
  <sheetViews>
    <sheetView zoomScale="40" zoomScaleNormal="40" zoomScaleSheetLayoutView="95" workbookViewId="0">
      <pane ySplit="1" topLeftCell="A7" activePane="bottomLeft" state="frozen"/>
      <selection pane="bottomLeft" activeCell="Y12" sqref="Y12"/>
    </sheetView>
  </sheetViews>
  <sheetFormatPr baseColWidth="10" defaultColWidth="11.42578125" defaultRowHeight="15" x14ac:dyDescent="0.25"/>
  <cols>
    <col min="1" max="2" width="11.42578125" style="36" customWidth="1"/>
    <col min="3" max="3" width="12.28515625" style="36" bestFit="1" customWidth="1"/>
    <col min="4" max="4" width="12.140625" style="36" customWidth="1"/>
    <col min="5" max="5" width="16.28515625" style="36" customWidth="1"/>
    <col min="6" max="7" width="13" style="36" customWidth="1"/>
    <col min="8" max="8" width="12" style="36" customWidth="1"/>
    <col min="9" max="9" width="12.28515625" style="36" bestFit="1" customWidth="1"/>
    <col min="11" max="11" width="14" style="36" customWidth="1"/>
    <col min="16" max="16" width="13.42578125" style="36" bestFit="1" customWidth="1"/>
    <col min="17" max="17" width="13.140625" style="36" customWidth="1"/>
    <col min="18" max="18" width="11.42578125" style="7" customWidth="1"/>
    <col min="19" max="19" width="13.28515625" style="36" customWidth="1"/>
    <col min="20" max="20" width="14.7109375" style="36" bestFit="1" customWidth="1"/>
    <col min="21" max="21" width="11.7109375" style="36" bestFit="1" customWidth="1"/>
    <col min="22" max="22" width="13.28515625" style="36" bestFit="1" customWidth="1"/>
    <col min="23" max="23" width="12.5703125" style="36" bestFit="1" customWidth="1"/>
    <col min="24" max="24" width="11.5703125" style="36" bestFit="1" customWidth="1"/>
    <col min="25" max="25" width="14" style="36" bestFit="1" customWidth="1"/>
    <col min="26" max="26" width="13.42578125" style="36" bestFit="1" customWidth="1"/>
    <col min="27" max="27" width="15.140625" style="36" customWidth="1"/>
    <col min="28" max="28" width="16.140625" style="36" customWidth="1"/>
  </cols>
  <sheetData>
    <row r="2" spans="2:28" ht="15.75" customHeight="1" x14ac:dyDescent="0.25">
      <c r="G2" s="12" t="s">
        <v>0</v>
      </c>
    </row>
    <row r="3" spans="2:28" ht="15.75" customHeight="1" x14ac:dyDescent="0.25">
      <c r="G3" s="12" t="s">
        <v>1</v>
      </c>
    </row>
    <row r="4" spans="2:28" ht="15.75" customHeight="1" x14ac:dyDescent="0.3">
      <c r="G4" s="13" t="s">
        <v>2</v>
      </c>
      <c r="N4" s="14" t="s">
        <v>3</v>
      </c>
    </row>
    <row r="5" spans="2:28" ht="18.75" customHeight="1" x14ac:dyDescent="0.3">
      <c r="C5" s="48" t="s">
        <v>41</v>
      </c>
      <c r="D5" s="44"/>
      <c r="E5" s="44"/>
      <c r="T5" s="26"/>
      <c r="U5" s="26" t="s">
        <v>5</v>
      </c>
      <c r="V5" s="26" t="s">
        <v>6</v>
      </c>
      <c r="W5" s="23"/>
    </row>
    <row r="6" spans="2:28" ht="15.75" customHeight="1" x14ac:dyDescent="0.25">
      <c r="C6" t="s">
        <v>42</v>
      </c>
      <c r="N6" s="6" t="s">
        <v>8</v>
      </c>
      <c r="O6" s="15">
        <f>S6*16.5%</f>
        <v>41250</v>
      </c>
      <c r="P6" s="16" t="s">
        <v>9</v>
      </c>
      <c r="Q6" s="5">
        <f>(S6*8)/100</f>
        <v>20000</v>
      </c>
      <c r="R6" s="8" t="s">
        <v>10</v>
      </c>
      <c r="S6" s="5">
        <v>250000</v>
      </c>
      <c r="T6" s="26" t="s">
        <v>11</v>
      </c>
      <c r="U6" s="26">
        <v>15</v>
      </c>
      <c r="V6" s="25">
        <f>U6/30</f>
        <v>0.5</v>
      </c>
    </row>
    <row r="7" spans="2:28" ht="15.75" customHeight="1" x14ac:dyDescent="0.25">
      <c r="N7" s="6"/>
      <c r="O7" s="15"/>
      <c r="P7" s="16"/>
      <c r="Q7" s="5"/>
      <c r="R7" s="8"/>
      <c r="S7" s="5"/>
      <c r="T7" s="26"/>
      <c r="U7" s="26"/>
      <c r="V7" s="25"/>
    </row>
    <row r="8" spans="2:28" ht="46.5" customHeight="1" x14ac:dyDescent="0.25">
      <c r="B8" s="47" t="s">
        <v>12</v>
      </c>
      <c r="C8" s="40" t="s">
        <v>13</v>
      </c>
      <c r="D8" s="41"/>
      <c r="E8" s="41"/>
      <c r="F8" s="41"/>
      <c r="G8" s="41"/>
      <c r="H8" s="41"/>
      <c r="I8" s="42"/>
      <c r="J8" s="40" t="s">
        <v>14</v>
      </c>
      <c r="K8" s="41"/>
      <c r="L8" s="41"/>
      <c r="M8" s="42"/>
      <c r="N8" s="40" t="s">
        <v>15</v>
      </c>
      <c r="O8" s="41"/>
      <c r="P8" s="42"/>
      <c r="Q8" s="45" t="s">
        <v>16</v>
      </c>
      <c r="R8" s="40" t="s">
        <v>17</v>
      </c>
      <c r="S8" s="41"/>
      <c r="T8" s="42"/>
      <c r="U8" s="40" t="s">
        <v>18</v>
      </c>
      <c r="V8" s="41"/>
      <c r="W8" s="42"/>
      <c r="X8" s="40" t="s">
        <v>19</v>
      </c>
      <c r="Y8" s="41"/>
      <c r="Z8" s="41"/>
      <c r="AA8" s="42"/>
      <c r="AB8" s="45" t="s">
        <v>20</v>
      </c>
    </row>
    <row r="9" spans="2:28" ht="30" customHeight="1" x14ac:dyDescent="0.25">
      <c r="B9" s="46"/>
      <c r="C9" s="38" t="s">
        <v>21</v>
      </c>
      <c r="D9" s="38" t="s">
        <v>22</v>
      </c>
      <c r="E9" s="38" t="s">
        <v>23</v>
      </c>
      <c r="F9" s="38" t="s">
        <v>24</v>
      </c>
      <c r="G9" s="38" t="s">
        <v>25</v>
      </c>
      <c r="H9" s="38" t="s">
        <v>26</v>
      </c>
      <c r="I9" s="38" t="s">
        <v>27</v>
      </c>
      <c r="J9" s="38" t="s">
        <v>21</v>
      </c>
      <c r="K9" s="38" t="s">
        <v>22</v>
      </c>
      <c r="L9" s="38" t="s">
        <v>23</v>
      </c>
      <c r="M9" s="38" t="s">
        <v>27</v>
      </c>
      <c r="N9" s="38" t="s">
        <v>28</v>
      </c>
      <c r="O9" s="38" t="s">
        <v>29</v>
      </c>
      <c r="P9" s="38" t="s">
        <v>30</v>
      </c>
      <c r="Q9" s="46"/>
      <c r="R9" s="9" t="s">
        <v>31</v>
      </c>
      <c r="S9" s="38" t="s">
        <v>32</v>
      </c>
      <c r="T9" s="38" t="s">
        <v>30</v>
      </c>
      <c r="U9" s="38" t="s">
        <v>28</v>
      </c>
      <c r="V9" s="38" t="s">
        <v>29</v>
      </c>
      <c r="W9" s="38" t="s">
        <v>30</v>
      </c>
      <c r="X9" s="38" t="s">
        <v>31</v>
      </c>
      <c r="Y9" s="38" t="s">
        <v>32</v>
      </c>
      <c r="Z9" s="17" t="s">
        <v>33</v>
      </c>
      <c r="AA9" s="38" t="s">
        <v>34</v>
      </c>
      <c r="AB9" s="46"/>
    </row>
    <row r="10" spans="2:28" x14ac:dyDescent="0.25">
      <c r="B10" s="18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0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customHeight="1" x14ac:dyDescent="0.25">
      <c r="B11" s="27"/>
      <c r="C11" s="27"/>
      <c r="D11" s="27"/>
      <c r="E11" s="27"/>
      <c r="F11" s="29"/>
      <c r="G11" s="30"/>
      <c r="H11" s="28"/>
      <c r="I11" s="28"/>
      <c r="J11" s="31"/>
      <c r="K11" s="31"/>
      <c r="L11" s="31"/>
      <c r="M11" s="31"/>
      <c r="N11" s="32"/>
      <c r="O11" s="33"/>
      <c r="P11" s="32"/>
      <c r="Q11" s="32"/>
      <c r="R11" s="37"/>
      <c r="S11" s="31"/>
      <c r="T11" s="28"/>
      <c r="U11" s="28"/>
      <c r="V11" s="28"/>
      <c r="W11" s="28"/>
      <c r="X11" s="28"/>
      <c r="Y11" s="28"/>
      <c r="Z11" s="28"/>
      <c r="AA11" s="34"/>
      <c r="AB11" s="35"/>
    </row>
    <row r="12" spans="2:28" ht="18" customHeight="1" x14ac:dyDescent="0.25">
      <c r="B12" s="27">
        <v>30</v>
      </c>
      <c r="C12" s="32">
        <f>C13+214</f>
        <v>283379</v>
      </c>
      <c r="D12" s="32">
        <f>D13+114</f>
        <v>598023</v>
      </c>
      <c r="E12" s="32">
        <f>E13+10</f>
        <v>145074</v>
      </c>
      <c r="F12" s="29">
        <f t="shared" ref="F12" si="0">C12+D12+E12</f>
        <v>1026476</v>
      </c>
      <c r="G12" s="30">
        <f t="shared" ref="G12:G41" si="1">(C13+D13+E13)+((S12/24)*7.5)</f>
        <v>1026243.625</v>
      </c>
      <c r="H12" s="28">
        <f t="shared" ref="H12:H41" si="2">G12+((K12/12)*2.5)</f>
        <v>1026267.375</v>
      </c>
      <c r="I12" s="32">
        <f>I13+212</f>
        <v>718278</v>
      </c>
      <c r="J12" s="31">
        <f t="shared" ref="J12:L27" si="3">C12-C13</f>
        <v>214</v>
      </c>
      <c r="K12" s="31">
        <f t="shared" si="3"/>
        <v>114</v>
      </c>
      <c r="L12" s="31">
        <f t="shared" si="3"/>
        <v>10</v>
      </c>
      <c r="M12" s="31">
        <f t="shared" ref="M12:M41" si="4">I12-I13</f>
        <v>212</v>
      </c>
      <c r="N12" s="32">
        <f t="shared" ref="N12:N41" si="5">N13</f>
        <v>1330.6451612903227</v>
      </c>
      <c r="O12" s="33">
        <f t="shared" ref="O12:O41" si="6">L12</f>
        <v>10</v>
      </c>
      <c r="P12" s="32">
        <f t="shared" ref="P12:P41" si="7">N12-O12</f>
        <v>1320.6451612903227</v>
      </c>
      <c r="Q12" s="32">
        <f t="shared" ref="Q12:Q41" si="8">H12-G12</f>
        <v>23.75</v>
      </c>
      <c r="R12" s="28">
        <f t="shared" ref="R12:R40" si="9">R13</f>
        <v>8064.5161290322585</v>
      </c>
      <c r="S12" s="31">
        <f t="shared" ref="S12:S39" si="10">J12+K12+L12</f>
        <v>338</v>
      </c>
      <c r="T12" s="28">
        <f t="shared" ref="T12:T41" si="11">R12-S12</f>
        <v>7726.5161290322585</v>
      </c>
      <c r="U12" s="28">
        <f t="shared" ref="U12:V27" si="12">U13+N12</f>
        <v>39919.354838709689</v>
      </c>
      <c r="V12" s="28">
        <f t="shared" si="12"/>
        <v>2082</v>
      </c>
      <c r="W12" s="28">
        <f t="shared" ref="W12:W41" si="13">U12-V12</f>
        <v>37837.354838709689</v>
      </c>
      <c r="X12" s="28">
        <f t="shared" ref="X12:Y27" si="14">X13+R12</f>
        <v>241935.48387096793</v>
      </c>
      <c r="Y12" s="28">
        <f t="shared" si="14"/>
        <v>14962.5</v>
      </c>
      <c r="Z12" s="28">
        <f t="shared" ref="Z12:Z41" si="15">X12-Y12</f>
        <v>226972.98387096793</v>
      </c>
      <c r="AA12" s="34">
        <f t="shared" ref="AA12:AA41" si="16">COS(ATAN(M12/S12))</f>
        <v>0.84715238348320165</v>
      </c>
      <c r="AB12" s="35"/>
    </row>
    <row r="13" spans="2:28" ht="18" customHeight="1" x14ac:dyDescent="0.25">
      <c r="B13" s="27">
        <v>29</v>
      </c>
      <c r="C13" s="32">
        <f>C14+210</f>
        <v>283165</v>
      </c>
      <c r="D13" s="32">
        <f>D14+190</f>
        <v>597909</v>
      </c>
      <c r="E13" s="32">
        <f>E14+8</f>
        <v>145064</v>
      </c>
      <c r="F13" s="29">
        <f>C13+D13+E13</f>
        <v>1026138</v>
      </c>
      <c r="G13" s="30">
        <f t="shared" si="1"/>
        <v>1025857.5</v>
      </c>
      <c r="H13" s="28">
        <f t="shared" si="2"/>
        <v>1025897.0833333334</v>
      </c>
      <c r="I13" s="32">
        <f>I14+209</f>
        <v>718066</v>
      </c>
      <c r="J13" s="31">
        <f t="shared" si="3"/>
        <v>210</v>
      </c>
      <c r="K13" s="31">
        <f t="shared" si="3"/>
        <v>190</v>
      </c>
      <c r="L13" s="31">
        <f t="shared" si="3"/>
        <v>8</v>
      </c>
      <c r="M13" s="31">
        <f t="shared" si="4"/>
        <v>209</v>
      </c>
      <c r="N13" s="32">
        <f t="shared" si="5"/>
        <v>1330.6451612903227</v>
      </c>
      <c r="O13" s="33">
        <f t="shared" si="6"/>
        <v>8</v>
      </c>
      <c r="P13" s="32">
        <f t="shared" si="7"/>
        <v>1322.6451612903227</v>
      </c>
      <c r="Q13" s="32">
        <f t="shared" si="8"/>
        <v>39.583333333372138</v>
      </c>
      <c r="R13" s="28">
        <f t="shared" si="9"/>
        <v>8064.5161290322585</v>
      </c>
      <c r="S13" s="31">
        <f t="shared" si="10"/>
        <v>408</v>
      </c>
      <c r="T13" s="28">
        <f t="shared" si="11"/>
        <v>7656.5161290322585</v>
      </c>
      <c r="U13" s="28">
        <f t="shared" si="12"/>
        <v>38588.709677419363</v>
      </c>
      <c r="V13" s="28">
        <f t="shared" si="12"/>
        <v>2072</v>
      </c>
      <c r="W13" s="28">
        <f t="shared" si="13"/>
        <v>36516.709677419363</v>
      </c>
      <c r="X13" s="28">
        <f t="shared" si="14"/>
        <v>233870.96774193566</v>
      </c>
      <c r="Y13" s="28">
        <f t="shared" si="14"/>
        <v>14624.5</v>
      </c>
      <c r="Z13" s="28">
        <f t="shared" si="15"/>
        <v>219246.46774193566</v>
      </c>
      <c r="AA13" s="34">
        <f t="shared" si="16"/>
        <v>0.89002177576251562</v>
      </c>
      <c r="AB13" s="35"/>
    </row>
    <row r="14" spans="2:28" ht="18" customHeight="1" x14ac:dyDescent="0.25">
      <c r="B14" s="27">
        <v>28</v>
      </c>
      <c r="C14" s="32">
        <v>282955</v>
      </c>
      <c r="D14" s="32">
        <v>597719</v>
      </c>
      <c r="E14" s="32">
        <f>144997+59</f>
        <v>145056</v>
      </c>
      <c r="F14" s="29">
        <f t="shared" ref="F14:F41" si="17">C14+D14+E14</f>
        <v>1025730</v>
      </c>
      <c r="G14" s="30">
        <f t="shared" si="1"/>
        <v>1025404.8125</v>
      </c>
      <c r="H14" s="28">
        <f t="shared" si="2"/>
        <v>1025451.0625</v>
      </c>
      <c r="I14" s="32">
        <v>717857</v>
      </c>
      <c r="J14" s="31">
        <f t="shared" si="3"/>
        <v>186</v>
      </c>
      <c r="K14" s="31">
        <f t="shared" si="3"/>
        <v>222</v>
      </c>
      <c r="L14" s="31">
        <f t="shared" si="3"/>
        <v>65</v>
      </c>
      <c r="M14" s="31">
        <f t="shared" si="4"/>
        <v>294</v>
      </c>
      <c r="N14" s="32">
        <f t="shared" si="5"/>
        <v>1330.6451612903227</v>
      </c>
      <c r="O14" s="33">
        <f t="shared" si="6"/>
        <v>65</v>
      </c>
      <c r="P14" s="32">
        <f t="shared" si="7"/>
        <v>1265.6451612903227</v>
      </c>
      <c r="Q14" s="32">
        <f t="shared" si="8"/>
        <v>46.25</v>
      </c>
      <c r="R14" s="28">
        <f t="shared" si="9"/>
        <v>8064.5161290322585</v>
      </c>
      <c r="S14" s="31">
        <f t="shared" si="10"/>
        <v>473</v>
      </c>
      <c r="T14" s="28">
        <f t="shared" si="11"/>
        <v>7591.5161290322585</v>
      </c>
      <c r="U14" s="28">
        <f t="shared" si="12"/>
        <v>37258.064516129038</v>
      </c>
      <c r="V14" s="28">
        <f t="shared" si="12"/>
        <v>2064</v>
      </c>
      <c r="W14" s="28">
        <f t="shared" si="13"/>
        <v>35194.064516129038</v>
      </c>
      <c r="X14" s="28">
        <f t="shared" si="14"/>
        <v>225806.45161290339</v>
      </c>
      <c r="Y14" s="28">
        <f t="shared" si="14"/>
        <v>14216.5</v>
      </c>
      <c r="Z14" s="28">
        <f t="shared" si="15"/>
        <v>211589.95161290339</v>
      </c>
      <c r="AA14" s="34">
        <f t="shared" si="16"/>
        <v>0.8493070833823968</v>
      </c>
      <c r="AB14" s="35"/>
    </row>
    <row r="15" spans="2:28" ht="18" customHeight="1" x14ac:dyDescent="0.25">
      <c r="B15" s="27">
        <v>27</v>
      </c>
      <c r="C15" s="32">
        <f>C16+184</f>
        <v>282769</v>
      </c>
      <c r="D15" s="32">
        <f t="shared" ref="D15" si="18">D16+220</f>
        <v>597497</v>
      </c>
      <c r="E15" s="32">
        <f>E16+69</f>
        <v>144991</v>
      </c>
      <c r="F15" s="29">
        <f t="shared" si="17"/>
        <v>1025257</v>
      </c>
      <c r="G15" s="30">
        <f t="shared" si="1"/>
        <v>1024931.8125</v>
      </c>
      <c r="H15" s="28">
        <f t="shared" si="2"/>
        <v>1024977.6458333334</v>
      </c>
      <c r="I15" s="32">
        <f>I16+296</f>
        <v>717563</v>
      </c>
      <c r="J15" s="31">
        <f t="shared" si="3"/>
        <v>184</v>
      </c>
      <c r="K15" s="31">
        <f t="shared" si="3"/>
        <v>220</v>
      </c>
      <c r="L15" s="31">
        <f t="shared" si="3"/>
        <v>69</v>
      </c>
      <c r="M15" s="31">
        <f t="shared" si="4"/>
        <v>296</v>
      </c>
      <c r="N15" s="32">
        <f t="shared" si="5"/>
        <v>1330.6451612903227</v>
      </c>
      <c r="O15" s="33">
        <f t="shared" si="6"/>
        <v>69</v>
      </c>
      <c r="P15" s="32">
        <f t="shared" si="7"/>
        <v>1261.6451612903227</v>
      </c>
      <c r="Q15" s="32">
        <f t="shared" si="8"/>
        <v>45.833333333372138</v>
      </c>
      <c r="R15" s="28">
        <f t="shared" si="9"/>
        <v>8064.5161290322585</v>
      </c>
      <c r="S15" s="31">
        <f t="shared" si="10"/>
        <v>473</v>
      </c>
      <c r="T15" s="28">
        <f t="shared" si="11"/>
        <v>7591.5161290322585</v>
      </c>
      <c r="U15" s="28">
        <f t="shared" si="12"/>
        <v>35927.419354838712</v>
      </c>
      <c r="V15" s="28">
        <f t="shared" si="12"/>
        <v>1999</v>
      </c>
      <c r="W15" s="28">
        <f t="shared" si="13"/>
        <v>33928.419354838712</v>
      </c>
      <c r="X15" s="28">
        <f t="shared" si="14"/>
        <v>217741.93548387112</v>
      </c>
      <c r="Y15" s="28">
        <f t="shared" si="14"/>
        <v>13743.5</v>
      </c>
      <c r="Z15" s="28">
        <f t="shared" si="15"/>
        <v>203998.43548387112</v>
      </c>
      <c r="AA15" s="34">
        <f t="shared" si="16"/>
        <v>0.84769611527329025</v>
      </c>
      <c r="AB15" s="35"/>
    </row>
    <row r="16" spans="2:28" ht="18" customHeight="1" x14ac:dyDescent="0.25">
      <c r="B16" s="49">
        <v>26</v>
      </c>
      <c r="C16" s="32">
        <f>C17+191</f>
        <v>282585</v>
      </c>
      <c r="D16" s="32">
        <f>D17+228</f>
        <v>597277</v>
      </c>
      <c r="E16" s="32">
        <f>E17+64</f>
        <v>144922</v>
      </c>
      <c r="F16" s="50">
        <f t="shared" si="17"/>
        <v>1024784</v>
      </c>
      <c r="G16" s="51">
        <f t="shared" si="1"/>
        <v>1024451.9375</v>
      </c>
      <c r="H16" s="52">
        <f t="shared" si="2"/>
        <v>1024499.4375</v>
      </c>
      <c r="I16" s="32">
        <f>I17+290</f>
        <v>717267</v>
      </c>
      <c r="J16" s="53">
        <f t="shared" si="3"/>
        <v>191</v>
      </c>
      <c r="K16" s="53">
        <f t="shared" si="3"/>
        <v>228</v>
      </c>
      <c r="L16" s="53">
        <f t="shared" si="3"/>
        <v>64</v>
      </c>
      <c r="M16" s="53">
        <f t="shared" si="4"/>
        <v>290</v>
      </c>
      <c r="N16" s="54">
        <f>N17</f>
        <v>1330.6451612903227</v>
      </c>
      <c r="O16" s="55">
        <f t="shared" si="6"/>
        <v>64</v>
      </c>
      <c r="P16" s="54">
        <f t="shared" si="7"/>
        <v>1266.6451612903227</v>
      </c>
      <c r="Q16" s="54">
        <f t="shared" si="8"/>
        <v>47.5</v>
      </c>
      <c r="R16" s="52">
        <f>R17</f>
        <v>8064.5161290322585</v>
      </c>
      <c r="S16" s="53">
        <f t="shared" si="10"/>
        <v>483</v>
      </c>
      <c r="T16" s="52">
        <f t="shared" si="11"/>
        <v>7581.5161290322585</v>
      </c>
      <c r="U16" s="52">
        <f t="shared" si="12"/>
        <v>34596.774193548386</v>
      </c>
      <c r="V16" s="52">
        <f t="shared" si="12"/>
        <v>1930</v>
      </c>
      <c r="W16" s="52">
        <f t="shared" si="13"/>
        <v>32666.774193548386</v>
      </c>
      <c r="X16" s="52">
        <f t="shared" si="14"/>
        <v>209677.41935483884</v>
      </c>
      <c r="Y16" s="52">
        <f t="shared" si="14"/>
        <v>13270.5</v>
      </c>
      <c r="Z16" s="52">
        <f t="shared" si="15"/>
        <v>196406.91935483884</v>
      </c>
      <c r="AA16" s="56">
        <f t="shared" si="16"/>
        <v>0.85733626627631687</v>
      </c>
      <c r="AB16" s="35"/>
    </row>
    <row r="17" spans="2:28" ht="18" customHeight="1" x14ac:dyDescent="0.25">
      <c r="B17" s="27">
        <v>25</v>
      </c>
      <c r="C17" s="32">
        <f>C18+189</f>
        <v>282394</v>
      </c>
      <c r="D17" s="32">
        <f>D18+222</f>
        <v>597049</v>
      </c>
      <c r="E17" s="32">
        <f t="shared" ref="E17" si="19">E18+52</f>
        <v>144858</v>
      </c>
      <c r="F17" s="29">
        <f t="shared" si="17"/>
        <v>1024301</v>
      </c>
      <c r="G17" s="30">
        <f t="shared" si="1"/>
        <v>1023982.6875</v>
      </c>
      <c r="H17" s="28">
        <f t="shared" si="2"/>
        <v>1024028.9375</v>
      </c>
      <c r="I17" s="32">
        <f>I18+295</f>
        <v>716977</v>
      </c>
      <c r="J17" s="31">
        <f t="shared" si="3"/>
        <v>189</v>
      </c>
      <c r="K17" s="31">
        <f t="shared" si="3"/>
        <v>222</v>
      </c>
      <c r="L17" s="31">
        <f t="shared" si="3"/>
        <v>52</v>
      </c>
      <c r="M17" s="31">
        <f t="shared" si="4"/>
        <v>295</v>
      </c>
      <c r="N17" s="32">
        <f t="shared" si="5"/>
        <v>1330.6451612903227</v>
      </c>
      <c r="O17" s="33">
        <f t="shared" si="6"/>
        <v>52</v>
      </c>
      <c r="P17" s="32">
        <f t="shared" si="7"/>
        <v>1278.6451612903227</v>
      </c>
      <c r="Q17" s="32">
        <f t="shared" si="8"/>
        <v>46.25</v>
      </c>
      <c r="R17" s="28">
        <f t="shared" si="9"/>
        <v>8064.5161290322585</v>
      </c>
      <c r="S17" s="31">
        <f t="shared" si="10"/>
        <v>463</v>
      </c>
      <c r="T17" s="28">
        <f t="shared" si="11"/>
        <v>7601.5161290322585</v>
      </c>
      <c r="U17" s="28">
        <f t="shared" si="12"/>
        <v>33266.129032258061</v>
      </c>
      <c r="V17" s="28">
        <f t="shared" si="12"/>
        <v>1866</v>
      </c>
      <c r="W17" s="28">
        <f t="shared" si="13"/>
        <v>31400.129032258061</v>
      </c>
      <c r="X17" s="28">
        <f t="shared" si="14"/>
        <v>201612.90322580657</v>
      </c>
      <c r="Y17" s="28">
        <f t="shared" si="14"/>
        <v>12787.5</v>
      </c>
      <c r="Z17" s="28">
        <f t="shared" si="15"/>
        <v>188825.40322580657</v>
      </c>
      <c r="AA17" s="34">
        <f t="shared" si="16"/>
        <v>0.8433613418065472</v>
      </c>
      <c r="AB17" s="35"/>
    </row>
    <row r="18" spans="2:28" ht="18" customHeight="1" x14ac:dyDescent="0.25">
      <c r="B18" s="27">
        <v>24</v>
      </c>
      <c r="C18" s="32">
        <f>C19+185</f>
        <v>282205</v>
      </c>
      <c r="D18" s="32">
        <f>D19+219</f>
        <v>596827</v>
      </c>
      <c r="E18" s="32">
        <f>E19+59</f>
        <v>144806</v>
      </c>
      <c r="F18" s="29">
        <f t="shared" si="17"/>
        <v>1023838</v>
      </c>
      <c r="G18" s="30">
        <f t="shared" si="1"/>
        <v>1023519.6875</v>
      </c>
      <c r="H18" s="28">
        <f t="shared" si="2"/>
        <v>1023565.3125</v>
      </c>
      <c r="I18" s="32">
        <f>I19+291</f>
        <v>716682</v>
      </c>
      <c r="J18" s="31">
        <f t="shared" si="3"/>
        <v>185</v>
      </c>
      <c r="K18" s="31">
        <f t="shared" si="3"/>
        <v>219</v>
      </c>
      <c r="L18" s="31">
        <f t="shared" si="3"/>
        <v>59</v>
      </c>
      <c r="M18" s="31">
        <f t="shared" si="4"/>
        <v>291</v>
      </c>
      <c r="N18" s="32">
        <f t="shared" si="5"/>
        <v>1330.6451612903227</v>
      </c>
      <c r="O18" s="33">
        <f t="shared" si="6"/>
        <v>59</v>
      </c>
      <c r="P18" s="32">
        <f t="shared" si="7"/>
        <v>1271.6451612903227</v>
      </c>
      <c r="Q18" s="32">
        <f t="shared" si="8"/>
        <v>45.625</v>
      </c>
      <c r="R18" s="28">
        <f t="shared" si="9"/>
        <v>8064.5161290322585</v>
      </c>
      <c r="S18" s="31">
        <f t="shared" si="10"/>
        <v>463</v>
      </c>
      <c r="T18" s="28">
        <f t="shared" si="11"/>
        <v>7601.5161290322585</v>
      </c>
      <c r="U18" s="28">
        <f t="shared" si="12"/>
        <v>31935.483870967735</v>
      </c>
      <c r="V18" s="28">
        <f t="shared" si="12"/>
        <v>1814</v>
      </c>
      <c r="W18" s="28">
        <f t="shared" si="13"/>
        <v>30121.483870967735</v>
      </c>
      <c r="X18" s="28">
        <f t="shared" si="14"/>
        <v>193548.3870967743</v>
      </c>
      <c r="Y18" s="28">
        <f t="shared" si="14"/>
        <v>12324.5</v>
      </c>
      <c r="Z18" s="28">
        <f t="shared" si="15"/>
        <v>181223.8870967743</v>
      </c>
      <c r="AA18" s="34">
        <f t="shared" si="16"/>
        <v>0.84666008850501107</v>
      </c>
      <c r="AB18" s="35"/>
    </row>
    <row r="19" spans="2:28" ht="18" customHeight="1" x14ac:dyDescent="0.25">
      <c r="B19" s="27">
        <v>23</v>
      </c>
      <c r="C19" s="32">
        <f>C20+187</f>
        <v>282020</v>
      </c>
      <c r="D19" s="32">
        <f>D20+210</f>
        <v>596608</v>
      </c>
      <c r="E19" s="32">
        <f>E20+62</f>
        <v>144747</v>
      </c>
      <c r="F19" s="29">
        <f t="shared" si="17"/>
        <v>1023375</v>
      </c>
      <c r="G19" s="30">
        <f t="shared" si="1"/>
        <v>1023059.4375</v>
      </c>
      <c r="H19" s="28">
        <f t="shared" si="2"/>
        <v>1023103.1875</v>
      </c>
      <c r="I19" s="32">
        <f>I20+293</f>
        <v>716391</v>
      </c>
      <c r="J19" s="31">
        <f t="shared" si="3"/>
        <v>187</v>
      </c>
      <c r="K19" s="31">
        <f t="shared" si="3"/>
        <v>210</v>
      </c>
      <c r="L19" s="31">
        <f t="shared" si="3"/>
        <v>62</v>
      </c>
      <c r="M19" s="31">
        <f t="shared" si="4"/>
        <v>293</v>
      </c>
      <c r="N19" s="32">
        <f t="shared" si="5"/>
        <v>1330.6451612903227</v>
      </c>
      <c r="O19" s="27">
        <f t="shared" si="6"/>
        <v>62</v>
      </c>
      <c r="P19" s="32">
        <f t="shared" si="7"/>
        <v>1268.6451612903227</v>
      </c>
      <c r="Q19" s="32">
        <f t="shared" si="8"/>
        <v>43.75</v>
      </c>
      <c r="R19" s="28">
        <f t="shared" si="9"/>
        <v>8064.5161290322585</v>
      </c>
      <c r="S19" s="31">
        <f t="shared" si="10"/>
        <v>459</v>
      </c>
      <c r="T19" s="28">
        <f t="shared" si="11"/>
        <v>7605.5161290322585</v>
      </c>
      <c r="U19" s="28">
        <f t="shared" si="12"/>
        <v>30604.838709677413</v>
      </c>
      <c r="V19" s="28">
        <f t="shared" si="12"/>
        <v>1755</v>
      </c>
      <c r="W19" s="28">
        <f t="shared" si="13"/>
        <v>28849.838709677413</v>
      </c>
      <c r="X19" s="28">
        <f t="shared" si="14"/>
        <v>185483.87096774203</v>
      </c>
      <c r="Y19" s="28">
        <f t="shared" si="14"/>
        <v>11861.5</v>
      </c>
      <c r="Z19" s="28">
        <f t="shared" si="15"/>
        <v>173622.37096774203</v>
      </c>
      <c r="AA19" s="34">
        <f t="shared" si="16"/>
        <v>0.84290448901857318</v>
      </c>
      <c r="AB19" s="1"/>
    </row>
    <row r="20" spans="2:28" ht="18" customHeight="1" x14ac:dyDescent="0.25">
      <c r="B20" s="27">
        <v>22</v>
      </c>
      <c r="C20" s="32">
        <v>281833</v>
      </c>
      <c r="D20" s="32">
        <v>596398</v>
      </c>
      <c r="E20" s="32">
        <v>144685</v>
      </c>
      <c r="F20" s="29">
        <f t="shared" si="17"/>
        <v>1022916</v>
      </c>
      <c r="G20" s="30">
        <f t="shared" si="1"/>
        <v>1022592.1875</v>
      </c>
      <c r="H20" s="28">
        <f t="shared" si="2"/>
        <v>1022635.1041666666</v>
      </c>
      <c r="I20" s="32">
        <v>716098</v>
      </c>
      <c r="J20" s="31">
        <f t="shared" si="3"/>
        <v>190</v>
      </c>
      <c r="K20" s="31">
        <f t="shared" si="3"/>
        <v>206</v>
      </c>
      <c r="L20" s="31">
        <f t="shared" si="3"/>
        <v>75</v>
      </c>
      <c r="M20" s="31">
        <f t="shared" si="4"/>
        <v>310</v>
      </c>
      <c r="N20" s="32">
        <f t="shared" si="5"/>
        <v>1330.6451612903227</v>
      </c>
      <c r="O20" s="27">
        <f t="shared" si="6"/>
        <v>75</v>
      </c>
      <c r="P20" s="32">
        <f t="shared" si="7"/>
        <v>1255.6451612903227</v>
      </c>
      <c r="Q20" s="32">
        <f t="shared" si="8"/>
        <v>42.916666666627862</v>
      </c>
      <c r="R20" s="28">
        <f t="shared" si="9"/>
        <v>8064.5161290322585</v>
      </c>
      <c r="S20" s="31">
        <f t="shared" si="10"/>
        <v>471</v>
      </c>
      <c r="T20" s="28">
        <f t="shared" si="11"/>
        <v>7593.5161290322585</v>
      </c>
      <c r="U20" s="28">
        <f t="shared" si="12"/>
        <v>29274.193548387091</v>
      </c>
      <c r="V20" s="28">
        <f t="shared" si="12"/>
        <v>1693</v>
      </c>
      <c r="W20" s="28">
        <f t="shared" si="13"/>
        <v>27581.193548387091</v>
      </c>
      <c r="X20" s="28">
        <f t="shared" si="14"/>
        <v>177419.35483870975</v>
      </c>
      <c r="Y20" s="28">
        <f t="shared" si="14"/>
        <v>11402.5</v>
      </c>
      <c r="Z20" s="28">
        <f t="shared" si="15"/>
        <v>166016.85483870975</v>
      </c>
      <c r="AA20" s="34">
        <f t="shared" si="16"/>
        <v>0.83530992029719064</v>
      </c>
      <c r="AB20" s="1"/>
    </row>
    <row r="21" spans="2:28" ht="18" customHeight="1" x14ac:dyDescent="0.25">
      <c r="B21" s="27">
        <v>21</v>
      </c>
      <c r="C21" s="32">
        <f>C22+191</f>
        <v>281643</v>
      </c>
      <c r="D21" s="32">
        <f>D22+213</f>
        <v>596192</v>
      </c>
      <c r="E21" s="32">
        <f>E22+70</f>
        <v>144610</v>
      </c>
      <c r="F21" s="29">
        <f t="shared" si="17"/>
        <v>1022445</v>
      </c>
      <c r="G21" s="30">
        <f t="shared" si="1"/>
        <v>1022119.125</v>
      </c>
      <c r="H21" s="28">
        <f t="shared" si="2"/>
        <v>1022163.5</v>
      </c>
      <c r="I21" s="32">
        <f>I22+290</f>
        <v>715788</v>
      </c>
      <c r="J21" s="31">
        <f t="shared" si="3"/>
        <v>191</v>
      </c>
      <c r="K21" s="31">
        <f t="shared" si="3"/>
        <v>213</v>
      </c>
      <c r="L21" s="31">
        <f t="shared" si="3"/>
        <v>70</v>
      </c>
      <c r="M21" s="31">
        <f t="shared" si="4"/>
        <v>290</v>
      </c>
      <c r="N21" s="32">
        <f t="shared" si="5"/>
        <v>1330.6451612903227</v>
      </c>
      <c r="O21" s="27">
        <f t="shared" si="6"/>
        <v>70</v>
      </c>
      <c r="P21" s="32">
        <f t="shared" si="7"/>
        <v>1260.6451612903227</v>
      </c>
      <c r="Q21" s="32">
        <f t="shared" si="8"/>
        <v>44.375</v>
      </c>
      <c r="R21" s="28">
        <f t="shared" si="9"/>
        <v>8064.5161290322585</v>
      </c>
      <c r="S21" s="31">
        <f t="shared" si="10"/>
        <v>474</v>
      </c>
      <c r="T21" s="28">
        <f t="shared" si="11"/>
        <v>7590.5161290322585</v>
      </c>
      <c r="U21" s="28">
        <f t="shared" si="12"/>
        <v>27943.548387096769</v>
      </c>
      <c r="V21" s="28">
        <f t="shared" si="12"/>
        <v>1618</v>
      </c>
      <c r="W21" s="28">
        <f t="shared" si="13"/>
        <v>26325.548387096769</v>
      </c>
      <c r="X21" s="28">
        <f t="shared" si="14"/>
        <v>169354.83870967748</v>
      </c>
      <c r="Y21" s="28">
        <f t="shared" si="14"/>
        <v>10931.5</v>
      </c>
      <c r="Z21" s="28">
        <f t="shared" si="15"/>
        <v>158423.33870967748</v>
      </c>
      <c r="AA21" s="34">
        <f t="shared" si="16"/>
        <v>0.85301481352534902</v>
      </c>
      <c r="AB21" s="1"/>
    </row>
    <row r="22" spans="2:28" ht="18" customHeight="1" x14ac:dyDescent="0.25">
      <c r="B22" s="27">
        <v>20</v>
      </c>
      <c r="C22" s="32">
        <f>C23+193</f>
        <v>281452</v>
      </c>
      <c r="D22" s="32">
        <f>D23+214</f>
        <v>595979</v>
      </c>
      <c r="E22" s="32">
        <f>E23+62</f>
        <v>144540</v>
      </c>
      <c r="F22" s="29">
        <f t="shared" si="17"/>
        <v>1021971</v>
      </c>
      <c r="G22" s="30">
        <f t="shared" si="1"/>
        <v>1021648.5625</v>
      </c>
      <c r="H22" s="28">
        <f t="shared" si="2"/>
        <v>1021693.1458333334</v>
      </c>
      <c r="I22" s="32">
        <f t="shared" ref="I22:I26" si="20">I23+304</f>
        <v>715498</v>
      </c>
      <c r="J22" s="31">
        <f t="shared" si="3"/>
        <v>193</v>
      </c>
      <c r="K22" s="31">
        <f t="shared" si="3"/>
        <v>214</v>
      </c>
      <c r="L22" s="31">
        <f t="shared" si="3"/>
        <v>62</v>
      </c>
      <c r="M22" s="31">
        <f t="shared" si="4"/>
        <v>304</v>
      </c>
      <c r="N22" s="32">
        <f t="shared" si="5"/>
        <v>1330.6451612903227</v>
      </c>
      <c r="O22" s="27">
        <f t="shared" si="6"/>
        <v>62</v>
      </c>
      <c r="P22" s="32">
        <f t="shared" si="7"/>
        <v>1268.6451612903227</v>
      </c>
      <c r="Q22" s="32">
        <f t="shared" si="8"/>
        <v>44.583333333372138</v>
      </c>
      <c r="R22" s="28">
        <f t="shared" si="9"/>
        <v>8064.5161290322585</v>
      </c>
      <c r="S22" s="31">
        <f t="shared" si="10"/>
        <v>469</v>
      </c>
      <c r="T22" s="28">
        <f t="shared" si="11"/>
        <v>7595.5161290322585</v>
      </c>
      <c r="U22" s="28">
        <f t="shared" si="12"/>
        <v>26612.903225806447</v>
      </c>
      <c r="V22" s="28">
        <f t="shared" si="12"/>
        <v>1548</v>
      </c>
      <c r="W22" s="28">
        <f t="shared" si="13"/>
        <v>25064.903225806447</v>
      </c>
      <c r="X22" s="28">
        <f t="shared" si="14"/>
        <v>161290.32258064521</v>
      </c>
      <c r="Y22" s="28">
        <f t="shared" si="14"/>
        <v>10457.5</v>
      </c>
      <c r="Z22" s="28">
        <f t="shared" si="15"/>
        <v>150832.82258064521</v>
      </c>
      <c r="AA22" s="34">
        <f t="shared" si="16"/>
        <v>0.83913786374270993</v>
      </c>
      <c r="AB22" s="1"/>
    </row>
    <row r="23" spans="2:28" ht="18" customHeight="1" x14ac:dyDescent="0.25">
      <c r="B23" s="27">
        <v>19</v>
      </c>
      <c r="C23" s="32">
        <f>C24+197</f>
        <v>281259</v>
      </c>
      <c r="D23" s="32">
        <f>D24+211</f>
        <v>595765</v>
      </c>
      <c r="E23" s="32">
        <f>E24+71</f>
        <v>144478</v>
      </c>
      <c r="F23" s="3">
        <f>C23+D23+E23</f>
        <v>1021502</v>
      </c>
      <c r="G23" s="30">
        <f t="shared" si="1"/>
        <v>1021172.6875</v>
      </c>
      <c r="H23" s="28">
        <f t="shared" si="2"/>
        <v>1021216.6458333334</v>
      </c>
      <c r="I23" s="32">
        <f>I24+302</f>
        <v>715194</v>
      </c>
      <c r="J23" s="31">
        <f t="shared" si="3"/>
        <v>197</v>
      </c>
      <c r="K23" s="31">
        <f t="shared" si="3"/>
        <v>211</v>
      </c>
      <c r="L23" s="31">
        <f t="shared" si="3"/>
        <v>71</v>
      </c>
      <c r="M23" s="31">
        <f t="shared" si="4"/>
        <v>302</v>
      </c>
      <c r="N23" s="32">
        <f t="shared" si="5"/>
        <v>1330.6451612903227</v>
      </c>
      <c r="O23" s="27">
        <f t="shared" si="6"/>
        <v>71</v>
      </c>
      <c r="P23" s="32">
        <f t="shared" si="7"/>
        <v>1259.6451612903227</v>
      </c>
      <c r="Q23" s="32">
        <f t="shared" si="8"/>
        <v>43.958333333372138</v>
      </c>
      <c r="R23" s="28">
        <f t="shared" si="9"/>
        <v>8064.5161290322585</v>
      </c>
      <c r="S23" s="31">
        <f t="shared" si="10"/>
        <v>479</v>
      </c>
      <c r="T23" s="28">
        <f t="shared" si="11"/>
        <v>7585.5161290322585</v>
      </c>
      <c r="U23" s="28">
        <f t="shared" si="12"/>
        <v>25282.258064516125</v>
      </c>
      <c r="V23" s="28">
        <f t="shared" si="12"/>
        <v>1486</v>
      </c>
      <c r="W23" s="28">
        <f t="shared" si="13"/>
        <v>23796.258064516125</v>
      </c>
      <c r="X23" s="28">
        <f t="shared" si="14"/>
        <v>153225.80645161294</v>
      </c>
      <c r="Y23" s="28">
        <f t="shared" si="14"/>
        <v>9988.5</v>
      </c>
      <c r="Z23" s="28">
        <f t="shared" si="15"/>
        <v>143237.30645161294</v>
      </c>
      <c r="AA23" s="34">
        <f t="shared" si="16"/>
        <v>0.84590828268596097</v>
      </c>
      <c r="AB23" s="1"/>
    </row>
    <row r="24" spans="2:28" ht="18" customHeight="1" x14ac:dyDescent="0.25">
      <c r="B24" s="27">
        <v>18</v>
      </c>
      <c r="C24" s="32">
        <f>C25+190</f>
        <v>281062</v>
      </c>
      <c r="D24" s="32">
        <f>D25+210</f>
        <v>595554</v>
      </c>
      <c r="E24" s="32">
        <f>E25+67</f>
        <v>144407</v>
      </c>
      <c r="F24" s="29">
        <f t="shared" si="17"/>
        <v>1021023</v>
      </c>
      <c r="G24" s="30">
        <f t="shared" si="1"/>
        <v>1020701.9375</v>
      </c>
      <c r="H24" s="28">
        <f t="shared" si="2"/>
        <v>1020745.6875</v>
      </c>
      <c r="I24" s="32">
        <f>I25+307</f>
        <v>714892</v>
      </c>
      <c r="J24" s="31">
        <f t="shared" si="3"/>
        <v>190</v>
      </c>
      <c r="K24" s="31">
        <f t="shared" si="3"/>
        <v>210</v>
      </c>
      <c r="L24" s="31">
        <f t="shared" si="3"/>
        <v>67</v>
      </c>
      <c r="M24" s="31">
        <f t="shared" si="4"/>
        <v>307</v>
      </c>
      <c r="N24" s="32">
        <f t="shared" si="5"/>
        <v>1330.6451612903227</v>
      </c>
      <c r="O24" s="27">
        <f t="shared" si="6"/>
        <v>67</v>
      </c>
      <c r="P24" s="32">
        <f t="shared" si="7"/>
        <v>1263.6451612903227</v>
      </c>
      <c r="Q24" s="32">
        <f t="shared" si="8"/>
        <v>43.75</v>
      </c>
      <c r="R24" s="28">
        <f t="shared" si="9"/>
        <v>8064.5161290322585</v>
      </c>
      <c r="S24" s="31">
        <f t="shared" si="10"/>
        <v>467</v>
      </c>
      <c r="T24" s="28">
        <f t="shared" si="11"/>
        <v>7597.5161290322585</v>
      </c>
      <c r="U24" s="28">
        <f t="shared" si="12"/>
        <v>23951.612903225803</v>
      </c>
      <c r="V24" s="28">
        <f t="shared" si="12"/>
        <v>1415</v>
      </c>
      <c r="W24" s="28">
        <f t="shared" si="13"/>
        <v>22536.612903225803</v>
      </c>
      <c r="X24" s="28">
        <f t="shared" si="14"/>
        <v>145161.29032258067</v>
      </c>
      <c r="Y24" s="28">
        <f t="shared" si="14"/>
        <v>9509.5</v>
      </c>
      <c r="Z24" s="28">
        <f t="shared" si="15"/>
        <v>135651.79032258067</v>
      </c>
      <c r="AA24" s="34">
        <f t="shared" si="16"/>
        <v>0.83561161500194081</v>
      </c>
      <c r="AB24" s="1"/>
    </row>
    <row r="25" spans="2:28" ht="18" customHeight="1" x14ac:dyDescent="0.25">
      <c r="B25" s="27">
        <v>17</v>
      </c>
      <c r="C25" s="32">
        <f t="shared" ref="C25" si="21">C26+194</f>
        <v>280872</v>
      </c>
      <c r="D25" s="32">
        <f t="shared" ref="D25" si="22">D26+212</f>
        <v>595344</v>
      </c>
      <c r="E25" s="32">
        <f t="shared" ref="E25" si="23">E26+69</f>
        <v>144340</v>
      </c>
      <c r="F25" s="29">
        <f t="shared" si="17"/>
        <v>1020556</v>
      </c>
      <c r="G25" s="30">
        <f t="shared" si="1"/>
        <v>1020229.4375</v>
      </c>
      <c r="H25" s="28">
        <f t="shared" si="2"/>
        <v>1020273.6041666666</v>
      </c>
      <c r="I25" s="32">
        <f>I26+301</f>
        <v>714585</v>
      </c>
      <c r="J25" s="31">
        <f t="shared" si="3"/>
        <v>194</v>
      </c>
      <c r="K25" s="31">
        <f t="shared" si="3"/>
        <v>212</v>
      </c>
      <c r="L25" s="31">
        <f t="shared" si="3"/>
        <v>69</v>
      </c>
      <c r="M25" s="28">
        <f t="shared" si="4"/>
        <v>301</v>
      </c>
      <c r="N25" s="32">
        <f t="shared" si="5"/>
        <v>1330.6451612903227</v>
      </c>
      <c r="O25" s="27">
        <f t="shared" si="6"/>
        <v>69</v>
      </c>
      <c r="P25" s="32">
        <f t="shared" si="7"/>
        <v>1261.6451612903227</v>
      </c>
      <c r="Q25" s="32">
        <f t="shared" si="8"/>
        <v>44.166666666627862</v>
      </c>
      <c r="R25" s="28">
        <f t="shared" si="9"/>
        <v>8064.5161290322585</v>
      </c>
      <c r="S25" s="31">
        <f t="shared" si="10"/>
        <v>475</v>
      </c>
      <c r="T25" s="28">
        <f t="shared" si="11"/>
        <v>7589.5161290322585</v>
      </c>
      <c r="U25" s="28">
        <f t="shared" si="12"/>
        <v>22620.967741935481</v>
      </c>
      <c r="V25" s="31">
        <f t="shared" si="12"/>
        <v>1348</v>
      </c>
      <c r="W25" s="28">
        <f t="shared" si="13"/>
        <v>21272.967741935481</v>
      </c>
      <c r="X25" s="28">
        <f t="shared" si="14"/>
        <v>137096.77419354839</v>
      </c>
      <c r="Y25" s="28">
        <f t="shared" si="14"/>
        <v>9042.5</v>
      </c>
      <c r="Z25" s="28">
        <f t="shared" si="15"/>
        <v>128054.27419354839</v>
      </c>
      <c r="AA25" s="34">
        <f t="shared" si="16"/>
        <v>0.84468507840095874</v>
      </c>
      <c r="AB25" s="1"/>
    </row>
    <row r="26" spans="2:28" ht="18" customHeight="1" x14ac:dyDescent="0.25">
      <c r="B26" s="27">
        <v>16</v>
      </c>
      <c r="C26" s="32">
        <f>C27+198</f>
        <v>280678</v>
      </c>
      <c r="D26" s="32">
        <f>D27+215</f>
        <v>595132</v>
      </c>
      <c r="E26" s="32">
        <f>E27+71</f>
        <v>144271</v>
      </c>
      <c r="F26" s="29">
        <f t="shared" si="17"/>
        <v>1020081</v>
      </c>
      <c r="G26" s="30">
        <f t="shared" si="1"/>
        <v>1019748.25</v>
      </c>
      <c r="H26" s="28">
        <f t="shared" si="2"/>
        <v>1019793.0416666666</v>
      </c>
      <c r="I26" s="32">
        <f t="shared" si="20"/>
        <v>714284</v>
      </c>
      <c r="J26" s="31">
        <f t="shared" si="3"/>
        <v>198</v>
      </c>
      <c r="K26" s="31">
        <f t="shared" si="3"/>
        <v>215</v>
      </c>
      <c r="L26" s="31">
        <f t="shared" si="3"/>
        <v>71</v>
      </c>
      <c r="M26" s="28">
        <f t="shared" si="4"/>
        <v>304</v>
      </c>
      <c r="N26" s="32">
        <f t="shared" si="5"/>
        <v>1330.6451612903227</v>
      </c>
      <c r="O26" s="27">
        <f t="shared" si="6"/>
        <v>71</v>
      </c>
      <c r="P26" s="32">
        <f t="shared" si="7"/>
        <v>1259.6451612903227</v>
      </c>
      <c r="Q26" s="32">
        <f t="shared" si="8"/>
        <v>44.791666666627862</v>
      </c>
      <c r="R26" s="28">
        <f t="shared" si="9"/>
        <v>8064.5161290322585</v>
      </c>
      <c r="S26" s="31">
        <f>J26+K26+L26</f>
        <v>484</v>
      </c>
      <c r="T26" s="28">
        <f t="shared" si="11"/>
        <v>7580.5161290322585</v>
      </c>
      <c r="U26" s="28">
        <f t="shared" si="12"/>
        <v>21290.322580645159</v>
      </c>
      <c r="V26" s="31">
        <f t="shared" si="12"/>
        <v>1279</v>
      </c>
      <c r="W26" s="28">
        <f t="shared" si="13"/>
        <v>20011.322580645159</v>
      </c>
      <c r="X26" s="28">
        <f t="shared" si="14"/>
        <v>129032.25806451614</v>
      </c>
      <c r="Y26" s="28">
        <f t="shared" si="14"/>
        <v>8567.5</v>
      </c>
      <c r="Z26" s="28">
        <f t="shared" si="15"/>
        <v>120464.75806451614</v>
      </c>
      <c r="AA26" s="34">
        <f t="shared" si="16"/>
        <v>0.84681668402971377</v>
      </c>
      <c r="AB26" s="1"/>
    </row>
    <row r="27" spans="2:28" ht="18" customHeight="1" x14ac:dyDescent="0.25">
      <c r="B27" s="27">
        <v>15</v>
      </c>
      <c r="C27" s="32">
        <f>C28+201</f>
        <v>280480</v>
      </c>
      <c r="D27" s="32">
        <f>D28+218</f>
        <v>594917</v>
      </c>
      <c r="E27" s="32">
        <f>E28+73</f>
        <v>144200</v>
      </c>
      <c r="F27" s="29">
        <f t="shared" si="17"/>
        <v>1019597</v>
      </c>
      <c r="G27" s="30">
        <f t="shared" si="1"/>
        <v>1019258.75</v>
      </c>
      <c r="H27" s="28">
        <f t="shared" si="2"/>
        <v>1019304.1666666666</v>
      </c>
      <c r="I27" s="32">
        <f>I28+314</f>
        <v>713980</v>
      </c>
      <c r="J27" s="31">
        <f t="shared" si="3"/>
        <v>201</v>
      </c>
      <c r="K27" s="31">
        <f t="shared" si="3"/>
        <v>218</v>
      </c>
      <c r="L27" s="31">
        <f t="shared" si="3"/>
        <v>73</v>
      </c>
      <c r="M27" s="28">
        <f t="shared" si="4"/>
        <v>314</v>
      </c>
      <c r="N27" s="32">
        <f t="shared" si="5"/>
        <v>1330.6451612903227</v>
      </c>
      <c r="O27" s="27">
        <f t="shared" si="6"/>
        <v>73</v>
      </c>
      <c r="P27" s="32">
        <f t="shared" si="7"/>
        <v>1257.6451612903227</v>
      </c>
      <c r="Q27" s="32">
        <f t="shared" si="8"/>
        <v>45.416666666627862</v>
      </c>
      <c r="R27" s="28">
        <f t="shared" si="9"/>
        <v>8064.5161290322585</v>
      </c>
      <c r="S27" s="31">
        <f t="shared" si="10"/>
        <v>492</v>
      </c>
      <c r="T27" s="28">
        <f t="shared" si="11"/>
        <v>7572.5161290322585</v>
      </c>
      <c r="U27" s="28">
        <f t="shared" si="12"/>
        <v>19959.677419354837</v>
      </c>
      <c r="V27" s="31">
        <f t="shared" si="12"/>
        <v>1208</v>
      </c>
      <c r="W27" s="28">
        <f t="shared" si="13"/>
        <v>18751.677419354837</v>
      </c>
      <c r="X27" s="28">
        <f t="shared" si="14"/>
        <v>120967.74193548388</v>
      </c>
      <c r="Y27" s="28">
        <f t="shared" si="14"/>
        <v>8083.5</v>
      </c>
      <c r="Z27" s="28">
        <f t="shared" si="15"/>
        <v>112884.24193548388</v>
      </c>
      <c r="AA27" s="34">
        <f t="shared" si="16"/>
        <v>0.84295527309472851</v>
      </c>
      <c r="AB27" s="1"/>
    </row>
    <row r="28" spans="2:28" ht="18" customHeight="1" x14ac:dyDescent="0.25">
      <c r="B28" s="27">
        <v>14</v>
      </c>
      <c r="C28" s="32">
        <f>C29+213</f>
        <v>280279</v>
      </c>
      <c r="D28" s="32">
        <f>D29+327</f>
        <v>594699</v>
      </c>
      <c r="E28" s="32">
        <f>E29+92</f>
        <v>144127</v>
      </c>
      <c r="F28" s="29">
        <f t="shared" si="17"/>
        <v>1019105</v>
      </c>
      <c r="G28" s="30">
        <f t="shared" si="1"/>
        <v>1018670.5</v>
      </c>
      <c r="H28" s="28">
        <f t="shared" si="2"/>
        <v>1018738.625</v>
      </c>
      <c r="I28" s="32">
        <f>I29+385</f>
        <v>713666</v>
      </c>
      <c r="J28" s="31">
        <f t="shared" ref="J28:L42" si="24">C28-C29</f>
        <v>213</v>
      </c>
      <c r="K28" s="31">
        <f t="shared" si="24"/>
        <v>327</v>
      </c>
      <c r="L28" s="31">
        <f t="shared" si="24"/>
        <v>92</v>
      </c>
      <c r="M28" s="28">
        <f t="shared" si="4"/>
        <v>385</v>
      </c>
      <c r="N28" s="32">
        <f t="shared" si="5"/>
        <v>1330.6451612903227</v>
      </c>
      <c r="O28" s="27">
        <f t="shared" si="6"/>
        <v>92</v>
      </c>
      <c r="P28" s="32">
        <f t="shared" si="7"/>
        <v>1238.6451612903227</v>
      </c>
      <c r="Q28" s="32">
        <f t="shared" si="8"/>
        <v>68.125</v>
      </c>
      <c r="R28" s="28">
        <f t="shared" si="9"/>
        <v>8064.5161290322585</v>
      </c>
      <c r="S28" s="31">
        <f t="shared" si="10"/>
        <v>632</v>
      </c>
      <c r="T28" s="28">
        <f t="shared" si="11"/>
        <v>7432.5161290322585</v>
      </c>
      <c r="U28" s="28">
        <f t="shared" ref="U28:V42" si="25">U29+N28</f>
        <v>18629.032258064515</v>
      </c>
      <c r="V28" s="31">
        <f t="shared" si="25"/>
        <v>1135</v>
      </c>
      <c r="W28" s="28">
        <f t="shared" si="13"/>
        <v>17494.032258064515</v>
      </c>
      <c r="X28" s="28">
        <f t="shared" ref="X28:Y42" si="26">X29+R28</f>
        <v>112903.22580645162</v>
      </c>
      <c r="Y28" s="28">
        <f t="shared" si="26"/>
        <v>7591.5</v>
      </c>
      <c r="Z28" s="28">
        <f t="shared" si="15"/>
        <v>105311.72580645162</v>
      </c>
      <c r="AA28" s="34">
        <f t="shared" si="16"/>
        <v>0.85401584565344035</v>
      </c>
      <c r="AB28" s="1"/>
    </row>
    <row r="29" spans="2:28" ht="18" customHeight="1" x14ac:dyDescent="0.25">
      <c r="B29" s="27">
        <v>13</v>
      </c>
      <c r="C29" s="32">
        <v>280066</v>
      </c>
      <c r="D29" s="32">
        <v>594372</v>
      </c>
      <c r="E29" s="32">
        <v>144035</v>
      </c>
      <c r="F29" s="29">
        <f t="shared" si="17"/>
        <v>1018473</v>
      </c>
      <c r="G29" s="30">
        <f t="shared" si="1"/>
        <v>1018027.5</v>
      </c>
      <c r="H29" s="28">
        <f t="shared" si="2"/>
        <v>1018099.375</v>
      </c>
      <c r="I29" s="32">
        <v>713281</v>
      </c>
      <c r="J29" s="31">
        <f t="shared" si="24"/>
        <v>209</v>
      </c>
      <c r="K29" s="31">
        <f t="shared" si="24"/>
        <v>345</v>
      </c>
      <c r="L29" s="31">
        <f t="shared" si="24"/>
        <v>94</v>
      </c>
      <c r="M29" s="31">
        <f t="shared" si="4"/>
        <v>381</v>
      </c>
      <c r="N29" s="32">
        <f t="shared" si="5"/>
        <v>1330.6451612903227</v>
      </c>
      <c r="O29" s="27">
        <f t="shared" si="6"/>
        <v>94</v>
      </c>
      <c r="P29" s="32">
        <f t="shared" si="7"/>
        <v>1236.6451612903227</v>
      </c>
      <c r="Q29" s="32">
        <f t="shared" si="8"/>
        <v>71.875</v>
      </c>
      <c r="R29" s="28">
        <f t="shared" si="9"/>
        <v>8064.5161290322585</v>
      </c>
      <c r="S29" s="31">
        <f t="shared" si="10"/>
        <v>648</v>
      </c>
      <c r="T29" s="28">
        <f t="shared" si="11"/>
        <v>7416.5161290322585</v>
      </c>
      <c r="U29" s="28">
        <f t="shared" si="25"/>
        <v>17298.387096774193</v>
      </c>
      <c r="V29" s="31">
        <f t="shared" si="25"/>
        <v>1043</v>
      </c>
      <c r="W29" s="28">
        <f t="shared" si="13"/>
        <v>16255.387096774193</v>
      </c>
      <c r="X29" s="28">
        <f t="shared" si="26"/>
        <v>104838.70967741936</v>
      </c>
      <c r="Y29" s="28">
        <f t="shared" si="26"/>
        <v>6959.5</v>
      </c>
      <c r="Z29" s="28">
        <f t="shared" si="15"/>
        <v>97879.209677419363</v>
      </c>
      <c r="AA29" s="34">
        <f t="shared" si="16"/>
        <v>0.86203679162705049</v>
      </c>
      <c r="AB29" s="1"/>
    </row>
    <row r="30" spans="2:28" ht="18" customHeight="1" x14ac:dyDescent="0.25">
      <c r="B30" s="27">
        <v>12</v>
      </c>
      <c r="C30" s="32">
        <f>C31+207</f>
        <v>279857</v>
      </c>
      <c r="D30" s="32">
        <f>D31+333</f>
        <v>594027</v>
      </c>
      <c r="E30" s="32">
        <f t="shared" ref="E30:E32" si="27">E31+91</f>
        <v>143941</v>
      </c>
      <c r="F30" s="29">
        <f t="shared" si="17"/>
        <v>1017825</v>
      </c>
      <c r="G30" s="30">
        <f t="shared" si="1"/>
        <v>1017391.1875</v>
      </c>
      <c r="H30" s="28">
        <f t="shared" si="2"/>
        <v>1017460.5625</v>
      </c>
      <c r="I30" s="32">
        <f>I31+397</f>
        <v>712900</v>
      </c>
      <c r="J30" s="31">
        <f t="shared" si="24"/>
        <v>207</v>
      </c>
      <c r="K30" s="31">
        <f t="shared" si="24"/>
        <v>333</v>
      </c>
      <c r="L30" s="31">
        <f t="shared" si="24"/>
        <v>91</v>
      </c>
      <c r="M30" s="31">
        <f t="shared" si="4"/>
        <v>397</v>
      </c>
      <c r="N30" s="32">
        <f t="shared" si="5"/>
        <v>1330.6451612903227</v>
      </c>
      <c r="O30" s="27">
        <f t="shared" si="6"/>
        <v>91</v>
      </c>
      <c r="P30" s="32">
        <f t="shared" si="7"/>
        <v>1239.6451612903227</v>
      </c>
      <c r="Q30" s="32">
        <f t="shared" si="8"/>
        <v>69.375</v>
      </c>
      <c r="R30" s="28">
        <f t="shared" si="9"/>
        <v>8064.5161290322585</v>
      </c>
      <c r="S30" s="31">
        <f t="shared" si="10"/>
        <v>631</v>
      </c>
      <c r="T30" s="28">
        <f t="shared" si="11"/>
        <v>7433.5161290322585</v>
      </c>
      <c r="U30" s="28">
        <f t="shared" si="25"/>
        <v>15967.741935483869</v>
      </c>
      <c r="V30" s="31">
        <f t="shared" si="25"/>
        <v>949</v>
      </c>
      <c r="W30" s="28">
        <f t="shared" si="13"/>
        <v>15018.741935483869</v>
      </c>
      <c r="X30" s="28">
        <f t="shared" si="26"/>
        <v>96774.193548387106</v>
      </c>
      <c r="Y30" s="28">
        <f t="shared" si="26"/>
        <v>6311.5</v>
      </c>
      <c r="Z30" s="28">
        <f t="shared" si="15"/>
        <v>90462.693548387106</v>
      </c>
      <c r="AA30" s="34">
        <f t="shared" si="16"/>
        <v>0.8464119945274351</v>
      </c>
      <c r="AB30" s="1"/>
    </row>
    <row r="31" spans="2:28" ht="18" customHeight="1" x14ac:dyDescent="0.25">
      <c r="B31" s="27">
        <v>11</v>
      </c>
      <c r="C31" s="32">
        <f t="shared" ref="C31" si="28">C32+203</f>
        <v>279650</v>
      </c>
      <c r="D31" s="32">
        <f>D32+323</f>
        <v>593694</v>
      </c>
      <c r="E31" s="32">
        <f>E32+95</f>
        <v>143850</v>
      </c>
      <c r="F31" s="29">
        <f>C31+D31+E31</f>
        <v>1017194</v>
      </c>
      <c r="G31" s="30">
        <f t="shared" si="1"/>
        <v>1016767.0625</v>
      </c>
      <c r="H31" s="28">
        <f t="shared" si="2"/>
        <v>1016834.3541666666</v>
      </c>
      <c r="I31" s="32">
        <f>I32+392</f>
        <v>712503</v>
      </c>
      <c r="J31" s="31">
        <f t="shared" si="24"/>
        <v>203</v>
      </c>
      <c r="K31" s="31">
        <f t="shared" si="24"/>
        <v>323</v>
      </c>
      <c r="L31" s="31">
        <f t="shared" si="24"/>
        <v>95</v>
      </c>
      <c r="M31" s="31">
        <f t="shared" si="4"/>
        <v>392</v>
      </c>
      <c r="N31" s="32">
        <f>N32</f>
        <v>1330.6451612903227</v>
      </c>
      <c r="O31" s="27">
        <f t="shared" si="6"/>
        <v>95</v>
      </c>
      <c r="P31" s="32">
        <f t="shared" si="7"/>
        <v>1235.6451612903227</v>
      </c>
      <c r="Q31" s="32">
        <f t="shared" si="8"/>
        <v>67.291666666627862</v>
      </c>
      <c r="R31" s="28">
        <f t="shared" si="9"/>
        <v>8064.5161290322585</v>
      </c>
      <c r="S31" s="31">
        <f t="shared" si="10"/>
        <v>621</v>
      </c>
      <c r="T31" s="28">
        <f t="shared" si="11"/>
        <v>7443.5161290322585</v>
      </c>
      <c r="U31" s="28">
        <f t="shared" si="25"/>
        <v>14637.096774193547</v>
      </c>
      <c r="V31" s="31">
        <f t="shared" si="25"/>
        <v>858</v>
      </c>
      <c r="W31" s="28">
        <f t="shared" si="13"/>
        <v>13779.096774193547</v>
      </c>
      <c r="X31" s="28">
        <f t="shared" si="26"/>
        <v>88709.677419354848</v>
      </c>
      <c r="Y31" s="28">
        <f t="shared" si="26"/>
        <v>5680.5</v>
      </c>
      <c r="Z31" s="28">
        <f t="shared" si="15"/>
        <v>83029.177419354848</v>
      </c>
      <c r="AA31" s="34">
        <f t="shared" si="16"/>
        <v>0.84561830750551115</v>
      </c>
      <c r="AB31" s="1"/>
    </row>
    <row r="32" spans="2:28" ht="18" customHeight="1" x14ac:dyDescent="0.25">
      <c r="B32" s="27">
        <v>10</v>
      </c>
      <c r="C32" s="32">
        <f>C33+205</f>
        <v>279447</v>
      </c>
      <c r="D32" s="32">
        <f>D33+310</f>
        <v>593371</v>
      </c>
      <c r="E32" s="32">
        <f t="shared" si="27"/>
        <v>143755</v>
      </c>
      <c r="F32" s="29">
        <f>C32+D32+E32</f>
        <v>1016573</v>
      </c>
      <c r="G32" s="30">
        <f t="shared" si="1"/>
        <v>1016156.375</v>
      </c>
      <c r="H32" s="28">
        <f t="shared" si="2"/>
        <v>1016220.9583333334</v>
      </c>
      <c r="I32" s="32">
        <f>I33+377</f>
        <v>712111</v>
      </c>
      <c r="J32" s="31">
        <f t="shared" si="24"/>
        <v>205</v>
      </c>
      <c r="K32" s="31">
        <f t="shared" si="24"/>
        <v>310</v>
      </c>
      <c r="L32" s="31">
        <f t="shared" si="24"/>
        <v>91</v>
      </c>
      <c r="M32" s="31">
        <f t="shared" si="4"/>
        <v>377</v>
      </c>
      <c r="N32" s="32">
        <f t="shared" si="5"/>
        <v>1330.6451612903227</v>
      </c>
      <c r="O32" s="27">
        <f t="shared" si="6"/>
        <v>91</v>
      </c>
      <c r="P32" s="32">
        <f t="shared" si="7"/>
        <v>1239.6451612903227</v>
      </c>
      <c r="Q32" s="32">
        <f t="shared" si="8"/>
        <v>64.583333333372138</v>
      </c>
      <c r="R32" s="28">
        <f t="shared" si="9"/>
        <v>8064.5161290322585</v>
      </c>
      <c r="S32" s="31">
        <f t="shared" si="10"/>
        <v>606</v>
      </c>
      <c r="T32" s="28">
        <f t="shared" si="11"/>
        <v>7458.5161290322585</v>
      </c>
      <c r="U32" s="28">
        <f t="shared" si="25"/>
        <v>13306.451612903225</v>
      </c>
      <c r="V32" s="31">
        <f t="shared" si="25"/>
        <v>763</v>
      </c>
      <c r="W32" s="28">
        <f t="shared" si="13"/>
        <v>12543.451612903225</v>
      </c>
      <c r="X32" s="28">
        <f t="shared" si="26"/>
        <v>80645.161290322591</v>
      </c>
      <c r="Y32" s="28">
        <f t="shared" si="26"/>
        <v>5059.5</v>
      </c>
      <c r="Z32" s="28">
        <f t="shared" si="15"/>
        <v>75585.661290322591</v>
      </c>
      <c r="AA32" s="34">
        <f t="shared" si="16"/>
        <v>0.84909850100423845</v>
      </c>
      <c r="AB32" s="1"/>
    </row>
    <row r="33" spans="2:28" ht="18" customHeight="1" x14ac:dyDescent="0.25">
      <c r="B33" s="27">
        <v>9</v>
      </c>
      <c r="C33" s="32">
        <f>C34+201</f>
        <v>279242</v>
      </c>
      <c r="D33" s="32">
        <f>D34+298</f>
        <v>593061</v>
      </c>
      <c r="E33" s="32">
        <f>E34+90</f>
        <v>143664</v>
      </c>
      <c r="F33" s="29">
        <f t="shared" si="17"/>
        <v>1015967</v>
      </c>
      <c r="G33" s="30">
        <f t="shared" si="1"/>
        <v>1015562.0625</v>
      </c>
      <c r="H33" s="28">
        <f t="shared" si="2"/>
        <v>1015624.1458333334</v>
      </c>
      <c r="I33" s="32">
        <f>I34+396</f>
        <v>711734</v>
      </c>
      <c r="J33" s="31">
        <f t="shared" si="24"/>
        <v>201</v>
      </c>
      <c r="K33" s="31">
        <f t="shared" si="24"/>
        <v>298</v>
      </c>
      <c r="L33" s="31">
        <f t="shared" si="24"/>
        <v>90</v>
      </c>
      <c r="M33" s="31">
        <f t="shared" si="4"/>
        <v>396</v>
      </c>
      <c r="N33" s="32">
        <f t="shared" si="5"/>
        <v>1330.6451612903227</v>
      </c>
      <c r="O33" s="27">
        <f t="shared" si="6"/>
        <v>90</v>
      </c>
      <c r="P33" s="32">
        <f t="shared" si="7"/>
        <v>1240.6451612903227</v>
      </c>
      <c r="Q33" s="32">
        <f t="shared" si="8"/>
        <v>62.083333333372138</v>
      </c>
      <c r="R33" s="28">
        <f t="shared" si="9"/>
        <v>8064.5161290322585</v>
      </c>
      <c r="S33" s="31">
        <f t="shared" si="10"/>
        <v>589</v>
      </c>
      <c r="T33" s="28">
        <f t="shared" si="11"/>
        <v>7475.5161290322585</v>
      </c>
      <c r="U33" s="28">
        <f t="shared" si="25"/>
        <v>11975.806451612903</v>
      </c>
      <c r="V33" s="31">
        <f t="shared" si="25"/>
        <v>672</v>
      </c>
      <c r="W33" s="28">
        <f t="shared" si="13"/>
        <v>11303.806451612903</v>
      </c>
      <c r="X33" s="28">
        <f t="shared" si="26"/>
        <v>72580.645161290333</v>
      </c>
      <c r="Y33" s="28">
        <f t="shared" si="26"/>
        <v>4453.5</v>
      </c>
      <c r="Z33" s="28">
        <f t="shared" si="15"/>
        <v>68127.145161290333</v>
      </c>
      <c r="AA33" s="34">
        <f t="shared" si="16"/>
        <v>0.82987631358128744</v>
      </c>
      <c r="AB33" s="1"/>
    </row>
    <row r="34" spans="2:28" ht="18" customHeight="1" x14ac:dyDescent="0.25">
      <c r="B34" s="27">
        <v>8</v>
      </c>
      <c r="C34" s="32">
        <f>C35+197</f>
        <v>279041</v>
      </c>
      <c r="D34" s="32">
        <f>D35+290</f>
        <v>592763</v>
      </c>
      <c r="E34" s="32">
        <f>E35+87</f>
        <v>143574</v>
      </c>
      <c r="F34" s="29">
        <f t="shared" si="17"/>
        <v>1015378</v>
      </c>
      <c r="G34" s="30">
        <f t="shared" si="1"/>
        <v>1014983.375</v>
      </c>
      <c r="H34" s="28">
        <f t="shared" si="2"/>
        <v>1015043.7916666666</v>
      </c>
      <c r="I34" s="32">
        <f>I35+383</f>
        <v>711338</v>
      </c>
      <c r="J34" s="31">
        <f t="shared" si="24"/>
        <v>197</v>
      </c>
      <c r="K34" s="31">
        <f t="shared" si="24"/>
        <v>290</v>
      </c>
      <c r="L34" s="31">
        <f t="shared" si="24"/>
        <v>87</v>
      </c>
      <c r="M34" s="31">
        <f t="shared" si="4"/>
        <v>383</v>
      </c>
      <c r="N34" s="32">
        <f t="shared" si="5"/>
        <v>1330.6451612903227</v>
      </c>
      <c r="O34" s="27">
        <f t="shared" si="6"/>
        <v>87</v>
      </c>
      <c r="P34" s="32">
        <f t="shared" si="7"/>
        <v>1243.6451612903227</v>
      </c>
      <c r="Q34" s="32">
        <f t="shared" si="8"/>
        <v>60.416666666627862</v>
      </c>
      <c r="R34" s="28">
        <f t="shared" si="9"/>
        <v>8064.5161290322585</v>
      </c>
      <c r="S34" s="31">
        <f t="shared" si="10"/>
        <v>574</v>
      </c>
      <c r="T34" s="28">
        <f t="shared" si="11"/>
        <v>7490.5161290322585</v>
      </c>
      <c r="U34" s="28">
        <f t="shared" si="25"/>
        <v>10645.161290322581</v>
      </c>
      <c r="V34" s="31">
        <f t="shared" si="25"/>
        <v>582</v>
      </c>
      <c r="W34" s="28">
        <f t="shared" si="13"/>
        <v>10063.161290322581</v>
      </c>
      <c r="X34" s="28">
        <f t="shared" si="26"/>
        <v>64516.129032258068</v>
      </c>
      <c r="Y34" s="28">
        <f t="shared" si="26"/>
        <v>3864.5</v>
      </c>
      <c r="Z34" s="28">
        <f t="shared" si="15"/>
        <v>60651.629032258068</v>
      </c>
      <c r="AA34" s="34">
        <f t="shared" si="16"/>
        <v>0.83182727690855129</v>
      </c>
      <c r="AB34" s="1"/>
    </row>
    <row r="35" spans="2:28" ht="18" customHeight="1" x14ac:dyDescent="0.25">
      <c r="B35" s="27">
        <v>7</v>
      </c>
      <c r="C35" s="32">
        <v>278844</v>
      </c>
      <c r="D35" s="32">
        <v>592473</v>
      </c>
      <c r="E35" s="32">
        <v>143487</v>
      </c>
      <c r="F35" s="3">
        <f>C35+D35+E35</f>
        <v>1014804</v>
      </c>
      <c r="G35" s="30">
        <f t="shared" si="1"/>
        <v>1014434.8125</v>
      </c>
      <c r="H35" s="28">
        <f t="shared" si="2"/>
        <v>1014491.0625</v>
      </c>
      <c r="I35" s="32">
        <v>710955</v>
      </c>
      <c r="J35" s="31">
        <f t="shared" si="24"/>
        <v>181</v>
      </c>
      <c r="K35" s="31">
        <f t="shared" si="24"/>
        <v>270</v>
      </c>
      <c r="L35" s="31">
        <f t="shared" si="24"/>
        <v>86</v>
      </c>
      <c r="M35" s="31">
        <f t="shared" si="4"/>
        <v>375</v>
      </c>
      <c r="N35" s="32">
        <f t="shared" si="5"/>
        <v>1330.6451612903227</v>
      </c>
      <c r="O35" s="27">
        <f t="shared" si="6"/>
        <v>86</v>
      </c>
      <c r="P35" s="32">
        <f t="shared" si="7"/>
        <v>1244.6451612903227</v>
      </c>
      <c r="Q35" s="32">
        <f t="shared" si="8"/>
        <v>56.25</v>
      </c>
      <c r="R35" s="28">
        <f t="shared" si="9"/>
        <v>8064.5161290322585</v>
      </c>
      <c r="S35" s="31">
        <f t="shared" si="10"/>
        <v>537</v>
      </c>
      <c r="T35" s="28">
        <f t="shared" si="11"/>
        <v>7527.5161290322585</v>
      </c>
      <c r="U35" s="28">
        <f t="shared" si="25"/>
        <v>9314.5161290322594</v>
      </c>
      <c r="V35" s="31">
        <f t="shared" si="25"/>
        <v>495</v>
      </c>
      <c r="W35" s="28">
        <f t="shared" si="13"/>
        <v>8819.5161290322594</v>
      </c>
      <c r="X35" s="28">
        <f t="shared" si="26"/>
        <v>56451.61290322581</v>
      </c>
      <c r="Y35" s="28">
        <f t="shared" si="26"/>
        <v>3290.5</v>
      </c>
      <c r="Z35" s="28">
        <f t="shared" si="15"/>
        <v>53161.11290322581</v>
      </c>
      <c r="AA35" s="34">
        <f t="shared" si="16"/>
        <v>0.81987694964696589</v>
      </c>
      <c r="AB35" s="1"/>
    </row>
    <row r="36" spans="2:28" ht="18" customHeight="1" x14ac:dyDescent="0.25">
      <c r="B36" s="27">
        <v>6</v>
      </c>
      <c r="C36" s="32">
        <f>C37+175</f>
        <v>278663</v>
      </c>
      <c r="D36" s="32">
        <f>D37+252</f>
        <v>592203</v>
      </c>
      <c r="E36" s="32">
        <f>E37+84</f>
        <v>143401</v>
      </c>
      <c r="F36" s="29">
        <f t="shared" si="17"/>
        <v>1014267</v>
      </c>
      <c r="G36" s="30">
        <f t="shared" si="1"/>
        <v>1013915.6875</v>
      </c>
      <c r="H36" s="28">
        <f t="shared" si="2"/>
        <v>1013968.1875</v>
      </c>
      <c r="I36" s="32">
        <f>I37+390</f>
        <v>710580</v>
      </c>
      <c r="J36" s="31">
        <f t="shared" si="24"/>
        <v>175</v>
      </c>
      <c r="K36" s="31">
        <f t="shared" si="24"/>
        <v>252</v>
      </c>
      <c r="L36" s="31">
        <f t="shared" si="24"/>
        <v>84</v>
      </c>
      <c r="M36" s="31">
        <f t="shared" si="4"/>
        <v>390</v>
      </c>
      <c r="N36" s="32">
        <f t="shared" si="5"/>
        <v>1330.6451612903227</v>
      </c>
      <c r="O36" s="27">
        <f t="shared" si="6"/>
        <v>84</v>
      </c>
      <c r="P36" s="32">
        <f t="shared" si="7"/>
        <v>1246.6451612903227</v>
      </c>
      <c r="Q36" s="32">
        <f t="shared" si="8"/>
        <v>52.5</v>
      </c>
      <c r="R36" s="28">
        <f t="shared" si="9"/>
        <v>8064.5161290322585</v>
      </c>
      <c r="S36" s="31">
        <f t="shared" si="10"/>
        <v>511</v>
      </c>
      <c r="T36" s="28">
        <f t="shared" si="11"/>
        <v>7553.5161290322585</v>
      </c>
      <c r="U36" s="28">
        <f t="shared" si="25"/>
        <v>7983.8709677419365</v>
      </c>
      <c r="V36" s="31">
        <f t="shared" si="25"/>
        <v>409</v>
      </c>
      <c r="W36" s="28">
        <f t="shared" si="13"/>
        <v>7574.8709677419365</v>
      </c>
      <c r="X36" s="28">
        <f t="shared" si="26"/>
        <v>48387.096774193553</v>
      </c>
      <c r="Y36" s="28">
        <f t="shared" si="26"/>
        <v>2753.5</v>
      </c>
      <c r="Z36" s="28">
        <f t="shared" si="15"/>
        <v>45633.596774193553</v>
      </c>
      <c r="AA36" s="34">
        <f t="shared" si="16"/>
        <v>0.79493150228517395</v>
      </c>
      <c r="AB36" s="1"/>
    </row>
    <row r="37" spans="2:28" ht="18" customHeight="1" x14ac:dyDescent="0.25">
      <c r="B37" s="27">
        <v>5</v>
      </c>
      <c r="C37" s="32">
        <f t="shared" ref="C37" si="29">C38+159</f>
        <v>278488</v>
      </c>
      <c r="D37" s="32">
        <f t="shared" ref="D37" si="30">D38+239</f>
        <v>591951</v>
      </c>
      <c r="E37" s="32">
        <f>E38+74</f>
        <v>143317</v>
      </c>
      <c r="F37" s="29">
        <f t="shared" si="17"/>
        <v>1013756</v>
      </c>
      <c r="G37" s="30">
        <f t="shared" si="1"/>
        <v>1013431.5</v>
      </c>
      <c r="H37" s="28">
        <f t="shared" si="2"/>
        <v>1013481.2916666666</v>
      </c>
      <c r="I37" s="32">
        <f>I38+369</f>
        <v>710190</v>
      </c>
      <c r="J37" s="31">
        <f t="shared" si="24"/>
        <v>159</v>
      </c>
      <c r="K37" s="31">
        <f t="shared" si="24"/>
        <v>239</v>
      </c>
      <c r="L37" s="31">
        <f t="shared" si="24"/>
        <v>74</v>
      </c>
      <c r="M37" s="31">
        <f t="shared" si="4"/>
        <v>369</v>
      </c>
      <c r="N37" s="32">
        <f t="shared" si="5"/>
        <v>1330.6451612903227</v>
      </c>
      <c r="O37" s="27">
        <f t="shared" si="6"/>
        <v>74</v>
      </c>
      <c r="P37" s="32">
        <f t="shared" si="7"/>
        <v>1256.6451612903227</v>
      </c>
      <c r="Q37" s="32">
        <f t="shared" si="8"/>
        <v>49.791666666627862</v>
      </c>
      <c r="R37" s="28">
        <f t="shared" si="9"/>
        <v>8064.5161290322585</v>
      </c>
      <c r="S37" s="31">
        <f t="shared" si="10"/>
        <v>472</v>
      </c>
      <c r="T37" s="28">
        <f t="shared" si="11"/>
        <v>7592.5161290322585</v>
      </c>
      <c r="U37" s="28">
        <f t="shared" si="25"/>
        <v>6653.2258064516136</v>
      </c>
      <c r="V37" s="31">
        <f t="shared" si="25"/>
        <v>325</v>
      </c>
      <c r="W37" s="28">
        <f t="shared" si="13"/>
        <v>6328.2258064516136</v>
      </c>
      <c r="X37" s="28">
        <f t="shared" si="26"/>
        <v>40322.580645161295</v>
      </c>
      <c r="Y37" s="28">
        <f t="shared" si="26"/>
        <v>2242.5</v>
      </c>
      <c r="Z37" s="28">
        <f t="shared" si="15"/>
        <v>38080.080645161295</v>
      </c>
      <c r="AA37" s="34">
        <f t="shared" si="16"/>
        <v>0.78782189156088911</v>
      </c>
      <c r="AB37" s="1"/>
    </row>
    <row r="38" spans="2:28" ht="18" customHeight="1" x14ac:dyDescent="0.25">
      <c r="B38" s="27">
        <v>4</v>
      </c>
      <c r="C38" s="32">
        <f>C39+153</f>
        <v>278329</v>
      </c>
      <c r="D38" s="32">
        <f>D39+240</f>
        <v>591712</v>
      </c>
      <c r="E38" s="32">
        <f>E39+73</f>
        <v>143243</v>
      </c>
      <c r="F38" s="29">
        <f t="shared" si="17"/>
        <v>1013284</v>
      </c>
      <c r="G38" s="30">
        <f t="shared" si="1"/>
        <v>1012963.625</v>
      </c>
      <c r="H38" s="28">
        <f t="shared" si="2"/>
        <v>1013013.625</v>
      </c>
      <c r="I38" s="32">
        <f>I39+372</f>
        <v>709821</v>
      </c>
      <c r="J38" s="31">
        <f t="shared" si="24"/>
        <v>153</v>
      </c>
      <c r="K38" s="31">
        <f t="shared" si="24"/>
        <v>240</v>
      </c>
      <c r="L38" s="31">
        <f t="shared" si="24"/>
        <v>73</v>
      </c>
      <c r="M38" s="31">
        <f t="shared" si="4"/>
        <v>372</v>
      </c>
      <c r="N38" s="32">
        <f t="shared" si="5"/>
        <v>1330.6451612903227</v>
      </c>
      <c r="O38" s="27">
        <f t="shared" si="6"/>
        <v>73</v>
      </c>
      <c r="P38" s="32">
        <f t="shared" si="7"/>
        <v>1257.6451612903227</v>
      </c>
      <c r="Q38" s="32">
        <f t="shared" si="8"/>
        <v>50</v>
      </c>
      <c r="R38" s="28">
        <f t="shared" si="9"/>
        <v>8064.5161290322585</v>
      </c>
      <c r="S38" s="31">
        <f t="shared" si="10"/>
        <v>466</v>
      </c>
      <c r="T38" s="28">
        <f t="shared" si="11"/>
        <v>7598.5161290322585</v>
      </c>
      <c r="U38" s="28">
        <f t="shared" si="25"/>
        <v>5322.5806451612907</v>
      </c>
      <c r="V38" s="31">
        <f t="shared" si="25"/>
        <v>251</v>
      </c>
      <c r="W38" s="28">
        <f t="shared" si="13"/>
        <v>5071.5806451612907</v>
      </c>
      <c r="X38" s="28">
        <f t="shared" si="26"/>
        <v>32258.064516129034</v>
      </c>
      <c r="Y38" s="28">
        <f t="shared" si="26"/>
        <v>1770.5</v>
      </c>
      <c r="Z38" s="28">
        <f t="shared" si="15"/>
        <v>30487.564516129034</v>
      </c>
      <c r="AA38" s="34">
        <f t="shared" si="16"/>
        <v>0.78152285413560019</v>
      </c>
      <c r="AB38" s="1"/>
    </row>
    <row r="39" spans="2:28" ht="18" customHeight="1" x14ac:dyDescent="0.25">
      <c r="B39" s="27">
        <v>3</v>
      </c>
      <c r="C39" s="32">
        <f>C40+157</f>
        <v>278176</v>
      </c>
      <c r="D39" s="32">
        <f>D40+230</f>
        <v>591472</v>
      </c>
      <c r="E39" s="32">
        <f>E40+67</f>
        <v>143170</v>
      </c>
      <c r="F39" s="29">
        <f t="shared" si="17"/>
        <v>1012818</v>
      </c>
      <c r="G39" s="30">
        <f t="shared" si="1"/>
        <v>1012505.875</v>
      </c>
      <c r="H39" s="28">
        <f t="shared" si="2"/>
        <v>1012553.7916666666</v>
      </c>
      <c r="I39" s="32">
        <f>I40+368</f>
        <v>709449</v>
      </c>
      <c r="J39" s="31">
        <f t="shared" si="24"/>
        <v>157</v>
      </c>
      <c r="K39" s="31">
        <f t="shared" si="24"/>
        <v>230</v>
      </c>
      <c r="L39" s="31">
        <f t="shared" si="24"/>
        <v>67</v>
      </c>
      <c r="M39" s="31">
        <f t="shared" si="4"/>
        <v>368</v>
      </c>
      <c r="N39" s="32">
        <f t="shared" si="5"/>
        <v>1330.6451612903227</v>
      </c>
      <c r="O39" s="27">
        <f t="shared" si="6"/>
        <v>67</v>
      </c>
      <c r="P39" s="32">
        <f t="shared" si="7"/>
        <v>1263.6451612903227</v>
      </c>
      <c r="Q39" s="32">
        <f t="shared" si="8"/>
        <v>47.916666666627862</v>
      </c>
      <c r="R39" s="28">
        <f t="shared" si="9"/>
        <v>8064.5161290322585</v>
      </c>
      <c r="S39" s="31">
        <f t="shared" si="10"/>
        <v>454</v>
      </c>
      <c r="T39" s="28">
        <f t="shared" si="11"/>
        <v>7610.5161290322585</v>
      </c>
      <c r="U39" s="28">
        <f t="shared" si="25"/>
        <v>3991.9354838709678</v>
      </c>
      <c r="V39" s="31">
        <f t="shared" si="25"/>
        <v>178</v>
      </c>
      <c r="W39" s="28">
        <f t="shared" si="13"/>
        <v>3813.9354838709678</v>
      </c>
      <c r="X39" s="28">
        <f t="shared" si="26"/>
        <v>24193.548387096776</v>
      </c>
      <c r="Y39" s="28">
        <f t="shared" si="26"/>
        <v>1304.5</v>
      </c>
      <c r="Z39" s="28">
        <f t="shared" si="15"/>
        <v>22889.048387096776</v>
      </c>
      <c r="AA39" s="34">
        <f t="shared" si="16"/>
        <v>0.77684623598820013</v>
      </c>
      <c r="AB39" s="1"/>
    </row>
    <row r="40" spans="2:28" ht="18" customHeight="1" x14ac:dyDescent="0.25">
      <c r="B40" s="27">
        <v>2</v>
      </c>
      <c r="C40" s="32">
        <f>C41+142</f>
        <v>278019</v>
      </c>
      <c r="D40" s="32">
        <f>D41+227</f>
        <v>591242</v>
      </c>
      <c r="E40" s="32">
        <f>E41+52</f>
        <v>143103</v>
      </c>
      <c r="F40" s="29">
        <f t="shared" si="17"/>
        <v>1012364</v>
      </c>
      <c r="G40" s="30">
        <f t="shared" si="1"/>
        <v>1012074.5625</v>
      </c>
      <c r="H40" s="28">
        <f t="shared" si="2"/>
        <v>1012121.8541666666</v>
      </c>
      <c r="I40" s="32">
        <f>I41+339</f>
        <v>709081</v>
      </c>
      <c r="J40" s="31">
        <f t="shared" si="24"/>
        <v>142</v>
      </c>
      <c r="K40" s="31">
        <f t="shared" si="24"/>
        <v>227</v>
      </c>
      <c r="L40" s="31">
        <f t="shared" si="24"/>
        <v>52</v>
      </c>
      <c r="M40" s="31">
        <f t="shared" si="4"/>
        <v>339</v>
      </c>
      <c r="N40" s="32">
        <f t="shared" si="5"/>
        <v>1330.6451612903227</v>
      </c>
      <c r="O40" s="27">
        <f t="shared" si="6"/>
        <v>52</v>
      </c>
      <c r="P40" s="32">
        <f t="shared" si="7"/>
        <v>1278.6451612903227</v>
      </c>
      <c r="Q40" s="32">
        <f t="shared" si="8"/>
        <v>47.291666666627862</v>
      </c>
      <c r="R40" s="28">
        <f>R41</f>
        <v>8064.5161290322585</v>
      </c>
      <c r="S40" s="31">
        <f>J40+K40+L40</f>
        <v>421</v>
      </c>
      <c r="T40" s="28">
        <f t="shared" si="11"/>
        <v>7643.5161290322585</v>
      </c>
      <c r="U40" s="28">
        <f t="shared" si="25"/>
        <v>2661.2903225806454</v>
      </c>
      <c r="V40" s="31">
        <f t="shared" si="25"/>
        <v>111</v>
      </c>
      <c r="W40" s="28">
        <f t="shared" si="13"/>
        <v>2550.2903225806454</v>
      </c>
      <c r="X40" s="28">
        <f t="shared" si="26"/>
        <v>16129.032258064517</v>
      </c>
      <c r="Y40" s="28">
        <f t="shared" si="26"/>
        <v>850.5</v>
      </c>
      <c r="Z40" s="28">
        <f t="shared" si="15"/>
        <v>15278.532258064517</v>
      </c>
      <c r="AA40" s="34">
        <f t="shared" si="16"/>
        <v>0.77887942467327143</v>
      </c>
      <c r="AB40" s="1"/>
    </row>
    <row r="41" spans="2:28" ht="18.75" customHeight="1" thickBot="1" x14ac:dyDescent="0.3">
      <c r="B41" s="27">
        <v>1</v>
      </c>
      <c r="C41" s="32">
        <f>C42+150</f>
        <v>277877</v>
      </c>
      <c r="D41" s="32">
        <f>D42+220</f>
        <v>591015</v>
      </c>
      <c r="E41" s="32">
        <f>E42+59</f>
        <v>143051</v>
      </c>
      <c r="F41" s="29">
        <f t="shared" si="17"/>
        <v>1011943</v>
      </c>
      <c r="G41" s="30">
        <f t="shared" si="1"/>
        <v>1011648.21875</v>
      </c>
      <c r="H41" s="28">
        <f t="shared" si="2"/>
        <v>1011694.0520833334</v>
      </c>
      <c r="I41" s="32">
        <f>I42+334</f>
        <v>708742</v>
      </c>
      <c r="J41" s="31">
        <f t="shared" si="24"/>
        <v>150</v>
      </c>
      <c r="K41" s="31">
        <f t="shared" si="24"/>
        <v>220</v>
      </c>
      <c r="L41" s="31">
        <f t="shared" si="24"/>
        <v>59</v>
      </c>
      <c r="M41" s="31">
        <f t="shared" si="4"/>
        <v>334</v>
      </c>
      <c r="N41" s="24">
        <f>O6/31</f>
        <v>1330.6451612903227</v>
      </c>
      <c r="O41" s="27">
        <f t="shared" si="6"/>
        <v>59</v>
      </c>
      <c r="P41" s="32">
        <f t="shared" si="7"/>
        <v>1271.6451612903227</v>
      </c>
      <c r="Q41" s="32">
        <f t="shared" si="8"/>
        <v>45.833333333372138</v>
      </c>
      <c r="R41" s="57">
        <f>S6/31</f>
        <v>8064.5161290322585</v>
      </c>
      <c r="S41" s="28">
        <f>J41+K41+L41+V6</f>
        <v>429.5</v>
      </c>
      <c r="T41" s="28">
        <f t="shared" si="11"/>
        <v>7635.0161290322585</v>
      </c>
      <c r="U41" s="28">
        <f>N41</f>
        <v>1330.6451612903227</v>
      </c>
      <c r="V41" s="31">
        <f>O41</f>
        <v>59</v>
      </c>
      <c r="W41" s="28">
        <f t="shared" si="13"/>
        <v>1271.6451612903227</v>
      </c>
      <c r="X41" s="28">
        <f>R41</f>
        <v>8064.5161290322585</v>
      </c>
      <c r="Y41" s="28">
        <f>S41</f>
        <v>429.5</v>
      </c>
      <c r="Z41" s="28">
        <f t="shared" si="15"/>
        <v>7635.0161290322585</v>
      </c>
      <c r="AA41" s="58">
        <f t="shared" si="16"/>
        <v>0.789401698217848</v>
      </c>
      <c r="AB41" s="1"/>
    </row>
    <row r="42" spans="2:28" ht="54.75" customHeight="1" thickBot="1" x14ac:dyDescent="0.3">
      <c r="B42" s="19" t="s">
        <v>35</v>
      </c>
      <c r="C42" s="27">
        <v>277727</v>
      </c>
      <c r="D42" s="27">
        <v>590795</v>
      </c>
      <c r="E42" s="27">
        <v>142992</v>
      </c>
      <c r="F42" s="29">
        <v>1011514</v>
      </c>
      <c r="G42" s="59">
        <v>1011272.3333333334</v>
      </c>
      <c r="H42" s="3">
        <v>1011310.4583333334</v>
      </c>
      <c r="I42" s="27">
        <v>708408</v>
      </c>
      <c r="J42" s="4"/>
      <c r="K42" s="4"/>
      <c r="L42" s="4"/>
      <c r="M42" s="60">
        <f>SUM(M11:M41)</f>
        <v>9870</v>
      </c>
      <c r="N42" s="4" t="s">
        <v>45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1">
        <f>AVERAGE(AA11:AA41)</f>
        <v>0.83386815538672876</v>
      </c>
    </row>
    <row r="43" spans="2:28" ht="18" customHeight="1" x14ac:dyDescent="0.25">
      <c r="B43" s="2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"/>
      <c r="S43" s="4"/>
      <c r="T43" s="4"/>
      <c r="U43" s="4"/>
      <c r="V43" s="4"/>
      <c r="W43" s="4"/>
      <c r="X43" s="4"/>
      <c r="Y43" s="4"/>
      <c r="Z43" s="4"/>
      <c r="AA43" s="4"/>
    </row>
    <row r="44" spans="2:28" ht="18" customHeight="1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"/>
      <c r="S44" s="4"/>
      <c r="T44" s="4"/>
      <c r="U44" s="4"/>
      <c r="V44" s="4"/>
      <c r="W44" s="4"/>
      <c r="X44" s="4"/>
      <c r="Y44" s="4"/>
      <c r="Z44" s="4"/>
      <c r="AA44" s="4"/>
    </row>
    <row r="45" spans="2:28" ht="18" customHeight="1" x14ac:dyDescent="0.25">
      <c r="B45" s="4"/>
      <c r="C45" s="4"/>
      <c r="D45" s="22"/>
      <c r="E45" s="4"/>
      <c r="F45" s="4"/>
      <c r="G45" s="4"/>
      <c r="H45" s="4" t="s">
        <v>36</v>
      </c>
      <c r="I45" s="4"/>
      <c r="J45" s="4"/>
      <c r="K45" s="4"/>
      <c r="L45" s="4"/>
      <c r="M45" s="4"/>
      <c r="N45" s="4"/>
      <c r="O45" s="4"/>
      <c r="P45" s="4"/>
      <c r="Q45" s="4"/>
      <c r="R45" s="11"/>
      <c r="S45" s="4"/>
      <c r="T45" s="4"/>
      <c r="U45" s="4"/>
      <c r="V45" s="4"/>
      <c r="W45" s="4"/>
      <c r="X45" s="4"/>
      <c r="Y45" s="4"/>
      <c r="Z45" s="4"/>
      <c r="AA45" s="4"/>
    </row>
    <row r="46" spans="2:28" x14ac:dyDescent="0.25">
      <c r="C46" s="21"/>
    </row>
    <row r="52" spans="26:27" ht="18" customHeight="1" x14ac:dyDescent="0.25">
      <c r="Z52" s="4" t="s">
        <v>37</v>
      </c>
    </row>
    <row r="53" spans="26:27" ht="18" customHeight="1" x14ac:dyDescent="0.25">
      <c r="Z53" s="4" t="s">
        <v>38</v>
      </c>
      <c r="AA53" s="4"/>
    </row>
    <row r="54" spans="26:27" ht="18" customHeight="1" x14ac:dyDescent="0.25">
      <c r="Z54" s="4" t="s">
        <v>39</v>
      </c>
      <c r="AA54" s="4"/>
    </row>
    <row r="55" spans="26:27" ht="18" customHeight="1" x14ac:dyDescent="0.25">
      <c r="Z55" s="4" t="s">
        <v>40</v>
      </c>
      <c r="AA55" s="4"/>
    </row>
    <row r="4112" spans="14:18" x14ac:dyDescent="0.25">
      <c r="N4112" s="39"/>
      <c r="R4112" s="39"/>
    </row>
    <row r="4113" spans="14:18" x14ac:dyDescent="0.25">
      <c r="N4113" s="39"/>
      <c r="R4113" s="39"/>
    </row>
    <row r="4114" spans="14:18" x14ac:dyDescent="0.25">
      <c r="N4114" s="39"/>
      <c r="R4114" s="39"/>
    </row>
    <row r="4115" spans="14:18" x14ac:dyDescent="0.25">
      <c r="N4115" s="39"/>
      <c r="R4115" s="39"/>
    </row>
    <row r="4116" spans="14:18" x14ac:dyDescent="0.25">
      <c r="N4116" s="39"/>
      <c r="R4116" s="39"/>
    </row>
    <row r="4117" spans="14:18" x14ac:dyDescent="0.25">
      <c r="N4117" s="39"/>
      <c r="R4117" s="39"/>
    </row>
    <row r="4118" spans="14:18" x14ac:dyDescent="0.25">
      <c r="N4118" s="39"/>
      <c r="R4118" s="39"/>
    </row>
    <row r="4119" spans="14:18" x14ac:dyDescent="0.25">
      <c r="N4119" s="39"/>
      <c r="R4119" s="39"/>
    </row>
    <row r="4120" spans="14:18" x14ac:dyDescent="0.25">
      <c r="N4120" s="39"/>
      <c r="R4120" s="39"/>
    </row>
    <row r="4121" spans="14:18" x14ac:dyDescent="0.25">
      <c r="N4121" s="39"/>
      <c r="R4121" s="39"/>
    </row>
    <row r="4122" spans="14:18" x14ac:dyDescent="0.25">
      <c r="N4122" s="39"/>
      <c r="R4122" s="39"/>
    </row>
    <row r="4123" spans="14:18" x14ac:dyDescent="0.25">
      <c r="N4123" s="39"/>
      <c r="R4123" s="39"/>
    </row>
    <row r="4124" spans="14:18" x14ac:dyDescent="0.25">
      <c r="N4124" s="39"/>
      <c r="R4124" s="39"/>
    </row>
    <row r="4125" spans="14:18" x14ac:dyDescent="0.25">
      <c r="N4125" s="39"/>
      <c r="R4125" s="39"/>
    </row>
    <row r="4126" spans="14:18" x14ac:dyDescent="0.25">
      <c r="N4126" s="39"/>
      <c r="R4126" s="39"/>
    </row>
    <row r="4127" spans="14:18" x14ac:dyDescent="0.25">
      <c r="N4127" s="39"/>
      <c r="R4127" s="39"/>
    </row>
    <row r="4128" spans="14:18" x14ac:dyDescent="0.25">
      <c r="N4128" s="39"/>
      <c r="R4128" s="39"/>
    </row>
    <row r="4129" spans="14:18" x14ac:dyDescent="0.25">
      <c r="N4129" s="39"/>
      <c r="R4129" s="39"/>
    </row>
    <row r="4130" spans="14:18" x14ac:dyDescent="0.25">
      <c r="N4130" s="39"/>
      <c r="R4130" s="39"/>
    </row>
    <row r="4131" spans="14:18" x14ac:dyDescent="0.25">
      <c r="N4131" s="39"/>
      <c r="R4131" s="39"/>
    </row>
    <row r="4132" spans="14:18" x14ac:dyDescent="0.25">
      <c r="N4132" s="39"/>
      <c r="R4132" s="39"/>
    </row>
    <row r="4133" spans="14:18" x14ac:dyDescent="0.25">
      <c r="N4133" s="39"/>
      <c r="R4133" s="39"/>
    </row>
    <row r="4134" spans="14:18" x14ac:dyDescent="0.25">
      <c r="N4134" s="39"/>
      <c r="R4134" s="39"/>
    </row>
    <row r="4135" spans="14:18" x14ac:dyDescent="0.25">
      <c r="N4135" s="39"/>
      <c r="R4135" s="39"/>
    </row>
    <row r="4136" spans="14:18" x14ac:dyDescent="0.25">
      <c r="N4136" s="39"/>
      <c r="R4136" s="39"/>
    </row>
    <row r="4137" spans="14:18" x14ac:dyDescent="0.25">
      <c r="N4137" s="39"/>
      <c r="R4137" s="39"/>
    </row>
    <row r="4138" spans="14:18" x14ac:dyDescent="0.25">
      <c r="N4138" s="39"/>
      <c r="R4138" s="39"/>
    </row>
    <row r="4139" spans="14:18" x14ac:dyDescent="0.25">
      <c r="N4139" s="39"/>
      <c r="R4139" s="39"/>
    </row>
    <row r="4140" spans="14:18" x14ac:dyDescent="0.25">
      <c r="N4140" s="39"/>
      <c r="R4140" s="39"/>
    </row>
    <row r="4141" spans="14:18" x14ac:dyDescent="0.25">
      <c r="N4141" s="39"/>
      <c r="R4141" s="39"/>
    </row>
  </sheetData>
  <mergeCells count="10">
    <mergeCell ref="AB8:AB9"/>
    <mergeCell ref="B8:B9"/>
    <mergeCell ref="N8:P8"/>
    <mergeCell ref="R8:T8"/>
    <mergeCell ref="U8:W8"/>
    <mergeCell ref="X8:AA8"/>
    <mergeCell ref="C5:E5"/>
    <mergeCell ref="J8:M8"/>
    <mergeCell ref="C8:I8"/>
    <mergeCell ref="Q8:Q9"/>
  </mergeCells>
  <printOptions horizontalCentered="1"/>
  <pageMargins left="0.25" right="0.25" top="0.75" bottom="0.75" header="0.3" footer="0.3"/>
  <pageSetup paperSize="9" scale="4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B55"/>
  <sheetViews>
    <sheetView topLeftCell="A6" workbookViewId="0">
      <selection activeCell="B12" sqref="B12:AA42"/>
    </sheetView>
  </sheetViews>
  <sheetFormatPr baseColWidth="10" defaultColWidth="11.42578125" defaultRowHeight="15" x14ac:dyDescent="0.25"/>
  <cols>
    <col min="1" max="2" width="11.42578125" style="36" customWidth="1"/>
    <col min="3" max="3" width="12.28515625" style="36" bestFit="1" customWidth="1"/>
    <col min="4" max="4" width="12.140625" style="36" customWidth="1"/>
    <col min="5" max="5" width="16.28515625" style="36" customWidth="1"/>
    <col min="6" max="7" width="13" style="36" customWidth="1"/>
    <col min="8" max="8" width="12" style="36" customWidth="1"/>
    <col min="9" max="9" width="12.28515625" style="36" bestFit="1" customWidth="1"/>
    <col min="11" max="11" width="14" style="36" customWidth="1"/>
    <col min="16" max="16" width="13.42578125" style="36" bestFit="1" customWidth="1"/>
    <col min="17" max="17" width="13.140625" style="36" customWidth="1"/>
    <col min="18" max="18" width="11.42578125" style="7" customWidth="1"/>
    <col min="19" max="19" width="13.28515625" style="36" customWidth="1"/>
    <col min="20" max="20" width="14.7109375" style="36" bestFit="1" customWidth="1"/>
    <col min="21" max="21" width="11.7109375" style="36" bestFit="1" customWidth="1"/>
    <col min="22" max="22" width="13.28515625" style="36" bestFit="1" customWidth="1"/>
    <col min="23" max="23" width="12.5703125" style="36" bestFit="1" customWidth="1"/>
    <col min="24" max="24" width="11.5703125" style="36" bestFit="1" customWidth="1"/>
    <col min="25" max="25" width="14" style="36" bestFit="1" customWidth="1"/>
    <col min="26" max="26" width="13.42578125" style="36" bestFit="1" customWidth="1"/>
    <col min="27" max="27" width="15.140625" style="36" customWidth="1"/>
    <col min="28" max="28" width="16.140625" style="36" customWidth="1"/>
  </cols>
  <sheetData>
    <row r="2" spans="2:28" ht="15.75" customHeight="1" x14ac:dyDescent="0.25">
      <c r="G2" s="12" t="s">
        <v>0</v>
      </c>
    </row>
    <row r="3" spans="2:28" ht="15.75" customHeight="1" x14ac:dyDescent="0.25">
      <c r="G3" s="12" t="s">
        <v>1</v>
      </c>
    </row>
    <row r="4" spans="2:28" ht="15.75" customHeight="1" x14ac:dyDescent="0.3">
      <c r="G4" s="13" t="s">
        <v>2</v>
      </c>
      <c r="N4" s="14" t="s">
        <v>3</v>
      </c>
    </row>
    <row r="5" spans="2:28" ht="18.75" customHeight="1" x14ac:dyDescent="0.3">
      <c r="C5" s="48" t="s">
        <v>41</v>
      </c>
      <c r="D5" s="44"/>
      <c r="E5" s="44"/>
      <c r="T5" s="26"/>
      <c r="U5" s="26" t="s">
        <v>5</v>
      </c>
      <c r="V5" s="26" t="s">
        <v>6</v>
      </c>
      <c r="W5" s="23"/>
    </row>
    <row r="6" spans="2:28" ht="15.75" customHeight="1" x14ac:dyDescent="0.25">
      <c r="C6" t="s">
        <v>43</v>
      </c>
      <c r="N6" s="6" t="s">
        <v>8</v>
      </c>
      <c r="O6" s="15">
        <f>S6*16.5%</f>
        <v>5280</v>
      </c>
      <c r="P6" s="16" t="s">
        <v>9</v>
      </c>
      <c r="Q6" s="5">
        <f>(S6*8)/100</f>
        <v>2560</v>
      </c>
      <c r="R6" s="8" t="s">
        <v>10</v>
      </c>
      <c r="S6" s="5">
        <v>32000</v>
      </c>
      <c r="T6" s="26" t="s">
        <v>11</v>
      </c>
      <c r="U6" s="26">
        <v>0</v>
      </c>
      <c r="V6" s="25">
        <f>U6/30</f>
        <v>0</v>
      </c>
    </row>
    <row r="7" spans="2:28" ht="15.75" customHeight="1" x14ac:dyDescent="0.25">
      <c r="N7" s="6"/>
      <c r="O7" s="15"/>
      <c r="P7" s="16"/>
      <c r="Q7" s="5"/>
      <c r="R7" s="8"/>
      <c r="S7" s="5"/>
      <c r="T7" s="26"/>
      <c r="U7" s="26"/>
      <c r="V7" s="25"/>
    </row>
    <row r="8" spans="2:28" ht="46.5" customHeight="1" x14ac:dyDescent="0.25">
      <c r="B8" s="47" t="s">
        <v>12</v>
      </c>
      <c r="C8" s="40" t="s">
        <v>13</v>
      </c>
      <c r="D8" s="41"/>
      <c r="E8" s="41"/>
      <c r="F8" s="41"/>
      <c r="G8" s="41"/>
      <c r="H8" s="41"/>
      <c r="I8" s="42"/>
      <c r="J8" s="40" t="s">
        <v>14</v>
      </c>
      <c r="K8" s="41"/>
      <c r="L8" s="41"/>
      <c r="M8" s="42"/>
      <c r="N8" s="40" t="s">
        <v>15</v>
      </c>
      <c r="O8" s="41"/>
      <c r="P8" s="42"/>
      <c r="Q8" s="45" t="s">
        <v>16</v>
      </c>
      <c r="R8" s="40" t="s">
        <v>17</v>
      </c>
      <c r="S8" s="41"/>
      <c r="T8" s="42"/>
      <c r="U8" s="40" t="s">
        <v>18</v>
      </c>
      <c r="V8" s="41"/>
      <c r="W8" s="42"/>
      <c r="X8" s="40" t="s">
        <v>19</v>
      </c>
      <c r="Y8" s="41"/>
      <c r="Z8" s="41"/>
      <c r="AA8" s="42"/>
      <c r="AB8" s="45" t="s">
        <v>20</v>
      </c>
    </row>
    <row r="9" spans="2:28" ht="30" customHeight="1" x14ac:dyDescent="0.25">
      <c r="B9" s="46"/>
      <c r="C9" s="38" t="s">
        <v>21</v>
      </c>
      <c r="D9" s="38" t="s">
        <v>22</v>
      </c>
      <c r="E9" s="38" t="s">
        <v>23</v>
      </c>
      <c r="F9" s="38" t="s">
        <v>24</v>
      </c>
      <c r="G9" s="38" t="s">
        <v>25</v>
      </c>
      <c r="H9" s="38" t="s">
        <v>26</v>
      </c>
      <c r="I9" s="38" t="s">
        <v>27</v>
      </c>
      <c r="J9" s="38" t="s">
        <v>21</v>
      </c>
      <c r="K9" s="38" t="s">
        <v>22</v>
      </c>
      <c r="L9" s="38" t="s">
        <v>23</v>
      </c>
      <c r="M9" s="38" t="s">
        <v>27</v>
      </c>
      <c r="N9" s="38" t="s">
        <v>28</v>
      </c>
      <c r="O9" s="38" t="s">
        <v>29</v>
      </c>
      <c r="P9" s="38" t="s">
        <v>30</v>
      </c>
      <c r="Q9" s="46"/>
      <c r="R9" s="9" t="s">
        <v>31</v>
      </c>
      <c r="S9" s="38" t="s">
        <v>32</v>
      </c>
      <c r="T9" s="38" t="s">
        <v>30</v>
      </c>
      <c r="U9" s="38" t="s">
        <v>28</v>
      </c>
      <c r="V9" s="38" t="s">
        <v>29</v>
      </c>
      <c r="W9" s="38" t="s">
        <v>30</v>
      </c>
      <c r="X9" s="38" t="s">
        <v>31</v>
      </c>
      <c r="Y9" s="38" t="s">
        <v>32</v>
      </c>
      <c r="Z9" s="17" t="s">
        <v>33</v>
      </c>
      <c r="AA9" s="38" t="s">
        <v>34</v>
      </c>
      <c r="AB9" s="46"/>
    </row>
    <row r="10" spans="2:28" x14ac:dyDescent="0.25">
      <c r="B10" s="18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0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customHeight="1" x14ac:dyDescent="0.25">
      <c r="B11" s="27"/>
      <c r="C11" s="27"/>
      <c r="D11" s="27"/>
      <c r="E11" s="27"/>
      <c r="F11" s="29"/>
      <c r="G11" s="30"/>
      <c r="H11" s="28"/>
      <c r="I11" s="28"/>
      <c r="J11" s="31"/>
      <c r="K11" s="31"/>
      <c r="L11" s="31"/>
      <c r="M11" s="31"/>
      <c r="N11" s="32"/>
      <c r="O11" s="33"/>
      <c r="P11" s="32"/>
      <c r="Q11" s="32"/>
      <c r="R11" s="37"/>
      <c r="S11" s="31"/>
      <c r="T11" s="28"/>
      <c r="U11" s="28"/>
      <c r="V11" s="28"/>
      <c r="W11" s="28"/>
      <c r="X11" s="28"/>
      <c r="Y11" s="28"/>
      <c r="Z11" s="28"/>
      <c r="AA11" s="34"/>
      <c r="AB11" s="35"/>
    </row>
    <row r="12" spans="2:28" ht="18" customHeight="1" x14ac:dyDescent="0.25">
      <c r="B12" s="27">
        <v>30</v>
      </c>
      <c r="C12" s="32">
        <f>C13+214</f>
        <v>283379</v>
      </c>
      <c r="D12" s="32">
        <f>D13+114</f>
        <v>598023</v>
      </c>
      <c r="E12" s="32">
        <f>E13+10</f>
        <v>145074</v>
      </c>
      <c r="F12" s="29">
        <f t="shared" ref="F12" si="0">C12+D12+E12</f>
        <v>1026476</v>
      </c>
      <c r="G12" s="30">
        <f t="shared" ref="G12:G41" si="1">(C13+D13+E13)+((S12/24)*7.5)</f>
        <v>1026243.625</v>
      </c>
      <c r="H12" s="28">
        <f t="shared" ref="H12:H41" si="2">G12+((K12/12)*2.5)</f>
        <v>1026267.375</v>
      </c>
      <c r="I12" s="32">
        <f>I13+212</f>
        <v>718278</v>
      </c>
      <c r="J12" s="31">
        <f t="shared" ref="J12:L27" si="3">C12-C13</f>
        <v>214</v>
      </c>
      <c r="K12" s="31">
        <f t="shared" si="3"/>
        <v>114</v>
      </c>
      <c r="L12" s="31">
        <f t="shared" si="3"/>
        <v>10</v>
      </c>
      <c r="M12" s="31">
        <f t="shared" ref="M12:M41" si="4">I12-I13</f>
        <v>212</v>
      </c>
      <c r="N12" s="32">
        <f t="shared" ref="N12:N41" si="5">N13</f>
        <v>170.32258064516128</v>
      </c>
      <c r="O12" s="33">
        <f t="shared" ref="O12:O41" si="6">L12</f>
        <v>10</v>
      </c>
      <c r="P12" s="32">
        <f t="shared" ref="P12:P41" si="7">N12-O12</f>
        <v>160.32258064516128</v>
      </c>
      <c r="Q12" s="32">
        <f t="shared" ref="Q12:Q41" si="8">H12-G12</f>
        <v>23.75</v>
      </c>
      <c r="R12" s="28">
        <f t="shared" ref="R12:R40" si="9">R13</f>
        <v>1032.258064516129</v>
      </c>
      <c r="S12" s="31">
        <f t="shared" ref="S12:S39" si="10">J12+K12+L12</f>
        <v>338</v>
      </c>
      <c r="T12" s="28">
        <f t="shared" ref="T12:T41" si="11">R12-S12</f>
        <v>694.25806451612902</v>
      </c>
      <c r="U12" s="28">
        <f t="shared" ref="U12:V27" si="12">U13+N12</f>
        <v>5109.6774193548381</v>
      </c>
      <c r="V12" s="28">
        <f t="shared" si="12"/>
        <v>2082</v>
      </c>
      <c r="W12" s="28">
        <f t="shared" ref="W12:W41" si="13">U12-V12</f>
        <v>3027.6774193548381</v>
      </c>
      <c r="X12" s="28">
        <f t="shared" ref="X12:Y27" si="14">X13+R12</f>
        <v>30967.741935483868</v>
      </c>
      <c r="Y12" s="28">
        <f t="shared" si="14"/>
        <v>14962</v>
      </c>
      <c r="Z12" s="28">
        <f t="shared" ref="Z12:Z41" si="15">X12-Y12</f>
        <v>16005.741935483868</v>
      </c>
      <c r="AA12" s="34">
        <f t="shared" ref="AA12:AA41" si="16">COS(ATAN(M12/S12))</f>
        <v>0.84715238348320165</v>
      </c>
      <c r="AB12" s="35"/>
    </row>
    <row r="13" spans="2:28" ht="18" customHeight="1" x14ac:dyDescent="0.25">
      <c r="B13" s="27">
        <v>29</v>
      </c>
      <c r="C13" s="32">
        <f>C14+210</f>
        <v>283165</v>
      </c>
      <c r="D13" s="32">
        <f>D14+190</f>
        <v>597909</v>
      </c>
      <c r="E13" s="32">
        <f>E14+8</f>
        <v>145064</v>
      </c>
      <c r="F13" s="29">
        <f>C13+D13+E13</f>
        <v>1026138</v>
      </c>
      <c r="G13" s="30">
        <f t="shared" si="1"/>
        <v>1025857.5</v>
      </c>
      <c r="H13" s="28">
        <f t="shared" si="2"/>
        <v>1025897.0833333334</v>
      </c>
      <c r="I13" s="32">
        <f>I14+209</f>
        <v>718066</v>
      </c>
      <c r="J13" s="31">
        <f t="shared" si="3"/>
        <v>210</v>
      </c>
      <c r="K13" s="31">
        <f t="shared" si="3"/>
        <v>190</v>
      </c>
      <c r="L13" s="31">
        <f t="shared" si="3"/>
        <v>8</v>
      </c>
      <c r="M13" s="31">
        <f t="shared" si="4"/>
        <v>209</v>
      </c>
      <c r="N13" s="32">
        <f t="shared" si="5"/>
        <v>170.32258064516128</v>
      </c>
      <c r="O13" s="33">
        <f t="shared" si="6"/>
        <v>8</v>
      </c>
      <c r="P13" s="32">
        <f t="shared" si="7"/>
        <v>162.32258064516128</v>
      </c>
      <c r="Q13" s="32">
        <f t="shared" si="8"/>
        <v>39.583333333372138</v>
      </c>
      <c r="R13" s="28">
        <f t="shared" si="9"/>
        <v>1032.258064516129</v>
      </c>
      <c r="S13" s="31">
        <f t="shared" si="10"/>
        <v>408</v>
      </c>
      <c r="T13" s="28">
        <f t="shared" si="11"/>
        <v>624.25806451612902</v>
      </c>
      <c r="U13" s="28">
        <f t="shared" si="12"/>
        <v>4939.3548387096771</v>
      </c>
      <c r="V13" s="28">
        <f t="shared" si="12"/>
        <v>2072</v>
      </c>
      <c r="W13" s="28">
        <f t="shared" si="13"/>
        <v>2867.3548387096771</v>
      </c>
      <c r="X13" s="28">
        <f t="shared" si="14"/>
        <v>29935.483870967739</v>
      </c>
      <c r="Y13" s="28">
        <f t="shared" si="14"/>
        <v>14624</v>
      </c>
      <c r="Z13" s="28">
        <f t="shared" si="15"/>
        <v>15311.483870967739</v>
      </c>
      <c r="AA13" s="34">
        <f t="shared" si="16"/>
        <v>0.89002177576251562</v>
      </c>
      <c r="AB13" s="35"/>
    </row>
    <row r="14" spans="2:28" ht="18" customHeight="1" x14ac:dyDescent="0.25">
      <c r="B14" s="27">
        <v>28</v>
      </c>
      <c r="C14" s="32">
        <v>282955</v>
      </c>
      <c r="D14" s="32">
        <v>597719</v>
      </c>
      <c r="E14" s="32">
        <f>144997+59</f>
        <v>145056</v>
      </c>
      <c r="F14" s="29">
        <f t="shared" ref="F14:F41" si="17">C14+D14+E14</f>
        <v>1025730</v>
      </c>
      <c r="G14" s="30">
        <f t="shared" si="1"/>
        <v>1025404.8125</v>
      </c>
      <c r="H14" s="28">
        <f t="shared" si="2"/>
        <v>1025451.0625</v>
      </c>
      <c r="I14" s="32">
        <v>717857</v>
      </c>
      <c r="J14" s="31">
        <f t="shared" si="3"/>
        <v>186</v>
      </c>
      <c r="K14" s="31">
        <f t="shared" si="3"/>
        <v>222</v>
      </c>
      <c r="L14" s="31">
        <f t="shared" si="3"/>
        <v>65</v>
      </c>
      <c r="M14" s="31">
        <f t="shared" si="4"/>
        <v>294</v>
      </c>
      <c r="N14" s="32">
        <f t="shared" si="5"/>
        <v>170.32258064516128</v>
      </c>
      <c r="O14" s="33">
        <f t="shared" si="6"/>
        <v>65</v>
      </c>
      <c r="P14" s="32">
        <f t="shared" si="7"/>
        <v>105.32258064516128</v>
      </c>
      <c r="Q14" s="32">
        <f t="shared" si="8"/>
        <v>46.25</v>
      </c>
      <c r="R14" s="28">
        <f t="shared" si="9"/>
        <v>1032.258064516129</v>
      </c>
      <c r="S14" s="31">
        <f t="shared" si="10"/>
        <v>473</v>
      </c>
      <c r="T14" s="28">
        <f t="shared" si="11"/>
        <v>559.25806451612902</v>
      </c>
      <c r="U14" s="28">
        <f t="shared" si="12"/>
        <v>4769.0322580645161</v>
      </c>
      <c r="V14" s="28">
        <f t="shared" si="12"/>
        <v>2064</v>
      </c>
      <c r="W14" s="28">
        <f t="shared" si="13"/>
        <v>2705.0322580645161</v>
      </c>
      <c r="X14" s="28">
        <f t="shared" si="14"/>
        <v>28903.22580645161</v>
      </c>
      <c r="Y14" s="28">
        <f t="shared" si="14"/>
        <v>14216</v>
      </c>
      <c r="Z14" s="28">
        <f t="shared" si="15"/>
        <v>14687.22580645161</v>
      </c>
      <c r="AA14" s="34">
        <f t="shared" si="16"/>
        <v>0.8493070833823968</v>
      </c>
      <c r="AB14" s="35"/>
    </row>
    <row r="15" spans="2:28" ht="18" customHeight="1" x14ac:dyDescent="0.25">
      <c r="B15" s="27">
        <v>27</v>
      </c>
      <c r="C15" s="32">
        <f>C16+184</f>
        <v>282769</v>
      </c>
      <c r="D15" s="32">
        <f t="shared" ref="D15" si="18">D16+220</f>
        <v>597497</v>
      </c>
      <c r="E15" s="32">
        <f>E16+69</f>
        <v>144991</v>
      </c>
      <c r="F15" s="29">
        <f t="shared" si="17"/>
        <v>1025257</v>
      </c>
      <c r="G15" s="30">
        <f t="shared" si="1"/>
        <v>1024931.8125</v>
      </c>
      <c r="H15" s="28">
        <f t="shared" si="2"/>
        <v>1024977.6458333334</v>
      </c>
      <c r="I15" s="32">
        <f>I16+296</f>
        <v>717563</v>
      </c>
      <c r="J15" s="31">
        <f t="shared" si="3"/>
        <v>184</v>
      </c>
      <c r="K15" s="31">
        <f t="shared" si="3"/>
        <v>220</v>
      </c>
      <c r="L15" s="31">
        <f t="shared" si="3"/>
        <v>69</v>
      </c>
      <c r="M15" s="31">
        <f t="shared" si="4"/>
        <v>296</v>
      </c>
      <c r="N15" s="32">
        <f t="shared" si="5"/>
        <v>170.32258064516128</v>
      </c>
      <c r="O15" s="33">
        <f t="shared" si="6"/>
        <v>69</v>
      </c>
      <c r="P15" s="32">
        <f t="shared" si="7"/>
        <v>101.32258064516128</v>
      </c>
      <c r="Q15" s="32">
        <f t="shared" si="8"/>
        <v>45.833333333372138</v>
      </c>
      <c r="R15" s="28">
        <f t="shared" si="9"/>
        <v>1032.258064516129</v>
      </c>
      <c r="S15" s="31">
        <f t="shared" si="10"/>
        <v>473</v>
      </c>
      <c r="T15" s="28">
        <f t="shared" si="11"/>
        <v>559.25806451612902</v>
      </c>
      <c r="U15" s="28">
        <f t="shared" si="12"/>
        <v>4598.7096774193551</v>
      </c>
      <c r="V15" s="28">
        <f t="shared" si="12"/>
        <v>1999</v>
      </c>
      <c r="W15" s="28">
        <f t="shared" si="13"/>
        <v>2599.7096774193551</v>
      </c>
      <c r="X15" s="28">
        <f t="shared" si="14"/>
        <v>27870.967741935481</v>
      </c>
      <c r="Y15" s="28">
        <f t="shared" si="14"/>
        <v>13743</v>
      </c>
      <c r="Z15" s="28">
        <f t="shared" si="15"/>
        <v>14127.967741935481</v>
      </c>
      <c r="AA15" s="34">
        <f t="shared" si="16"/>
        <v>0.84769611527329025</v>
      </c>
      <c r="AB15" s="35"/>
    </row>
    <row r="16" spans="2:28" ht="18" customHeight="1" x14ac:dyDescent="0.25">
      <c r="B16" s="49">
        <v>26</v>
      </c>
      <c r="C16" s="32">
        <f>C17+191</f>
        <v>282585</v>
      </c>
      <c r="D16" s="32">
        <f>D17+228</f>
        <v>597277</v>
      </c>
      <c r="E16" s="32">
        <f>E17+64</f>
        <v>144922</v>
      </c>
      <c r="F16" s="50">
        <f t="shared" si="17"/>
        <v>1024784</v>
      </c>
      <c r="G16" s="51">
        <f t="shared" si="1"/>
        <v>1024451.9375</v>
      </c>
      <c r="H16" s="52">
        <f t="shared" si="2"/>
        <v>1024499.4375</v>
      </c>
      <c r="I16" s="32">
        <f>I17+290</f>
        <v>717267</v>
      </c>
      <c r="J16" s="53">
        <f t="shared" si="3"/>
        <v>191</v>
      </c>
      <c r="K16" s="53">
        <f t="shared" si="3"/>
        <v>228</v>
      </c>
      <c r="L16" s="53">
        <f t="shared" si="3"/>
        <v>64</v>
      </c>
      <c r="M16" s="53">
        <f t="shared" si="4"/>
        <v>290</v>
      </c>
      <c r="N16" s="54">
        <f>N17</f>
        <v>170.32258064516128</v>
      </c>
      <c r="O16" s="55">
        <f t="shared" si="6"/>
        <v>64</v>
      </c>
      <c r="P16" s="54">
        <f t="shared" si="7"/>
        <v>106.32258064516128</v>
      </c>
      <c r="Q16" s="54">
        <f t="shared" si="8"/>
        <v>47.5</v>
      </c>
      <c r="R16" s="52">
        <f>R17</f>
        <v>1032.258064516129</v>
      </c>
      <c r="S16" s="53">
        <f t="shared" si="10"/>
        <v>483</v>
      </c>
      <c r="T16" s="52">
        <f t="shared" si="11"/>
        <v>549.25806451612902</v>
      </c>
      <c r="U16" s="52">
        <f t="shared" si="12"/>
        <v>4428.3870967741941</v>
      </c>
      <c r="V16" s="52">
        <f t="shared" si="12"/>
        <v>1930</v>
      </c>
      <c r="W16" s="52">
        <f t="shared" si="13"/>
        <v>2498.3870967741941</v>
      </c>
      <c r="X16" s="52">
        <f t="shared" si="14"/>
        <v>26838.709677419352</v>
      </c>
      <c r="Y16" s="52">
        <f t="shared" si="14"/>
        <v>13270</v>
      </c>
      <c r="Z16" s="52">
        <f t="shared" si="15"/>
        <v>13568.709677419352</v>
      </c>
      <c r="AA16" s="56">
        <f t="shared" si="16"/>
        <v>0.85733626627631687</v>
      </c>
      <c r="AB16" s="35"/>
    </row>
    <row r="17" spans="2:28" ht="18" customHeight="1" x14ac:dyDescent="0.25">
      <c r="B17" s="27">
        <v>25</v>
      </c>
      <c r="C17" s="32">
        <f>C18+189</f>
        <v>282394</v>
      </c>
      <c r="D17" s="32">
        <f>D18+222</f>
        <v>597049</v>
      </c>
      <c r="E17" s="32">
        <f t="shared" ref="E17" si="19">E18+52</f>
        <v>144858</v>
      </c>
      <c r="F17" s="29">
        <f t="shared" si="17"/>
        <v>1024301</v>
      </c>
      <c r="G17" s="30">
        <f t="shared" si="1"/>
        <v>1023982.6875</v>
      </c>
      <c r="H17" s="28">
        <f t="shared" si="2"/>
        <v>1024028.9375</v>
      </c>
      <c r="I17" s="32">
        <f>I18+295</f>
        <v>716977</v>
      </c>
      <c r="J17" s="31">
        <f t="shared" si="3"/>
        <v>189</v>
      </c>
      <c r="K17" s="31">
        <f t="shared" si="3"/>
        <v>222</v>
      </c>
      <c r="L17" s="31">
        <f t="shared" si="3"/>
        <v>52</v>
      </c>
      <c r="M17" s="31">
        <f t="shared" si="4"/>
        <v>295</v>
      </c>
      <c r="N17" s="32">
        <f t="shared" si="5"/>
        <v>170.32258064516128</v>
      </c>
      <c r="O17" s="33">
        <f t="shared" si="6"/>
        <v>52</v>
      </c>
      <c r="P17" s="32">
        <f t="shared" si="7"/>
        <v>118.32258064516128</v>
      </c>
      <c r="Q17" s="32">
        <f t="shared" si="8"/>
        <v>46.25</v>
      </c>
      <c r="R17" s="28">
        <f t="shared" si="9"/>
        <v>1032.258064516129</v>
      </c>
      <c r="S17" s="31">
        <f t="shared" si="10"/>
        <v>463</v>
      </c>
      <c r="T17" s="28">
        <f t="shared" si="11"/>
        <v>569.25806451612902</v>
      </c>
      <c r="U17" s="28">
        <f t="shared" si="12"/>
        <v>4258.0645161290331</v>
      </c>
      <c r="V17" s="28">
        <f t="shared" si="12"/>
        <v>1866</v>
      </c>
      <c r="W17" s="28">
        <f t="shared" si="13"/>
        <v>2392.0645161290331</v>
      </c>
      <c r="X17" s="28">
        <f t="shared" si="14"/>
        <v>25806.451612903224</v>
      </c>
      <c r="Y17" s="28">
        <f t="shared" si="14"/>
        <v>12787</v>
      </c>
      <c r="Z17" s="28">
        <f t="shared" si="15"/>
        <v>13019.451612903224</v>
      </c>
      <c r="AA17" s="34">
        <f t="shared" si="16"/>
        <v>0.8433613418065472</v>
      </c>
      <c r="AB17" s="35"/>
    </row>
    <row r="18" spans="2:28" ht="18" customHeight="1" x14ac:dyDescent="0.25">
      <c r="B18" s="27">
        <v>24</v>
      </c>
      <c r="C18" s="32">
        <f>C19+185</f>
        <v>282205</v>
      </c>
      <c r="D18" s="32">
        <f>D19+219</f>
        <v>596827</v>
      </c>
      <c r="E18" s="32">
        <f>E19+59</f>
        <v>144806</v>
      </c>
      <c r="F18" s="29">
        <f t="shared" si="17"/>
        <v>1023838</v>
      </c>
      <c r="G18" s="30">
        <f t="shared" si="1"/>
        <v>1023519.6875</v>
      </c>
      <c r="H18" s="28">
        <f t="shared" si="2"/>
        <v>1023565.3125</v>
      </c>
      <c r="I18" s="32">
        <f>I19+291</f>
        <v>716682</v>
      </c>
      <c r="J18" s="31">
        <f t="shared" si="3"/>
        <v>185</v>
      </c>
      <c r="K18" s="31">
        <f t="shared" si="3"/>
        <v>219</v>
      </c>
      <c r="L18" s="31">
        <f t="shared" si="3"/>
        <v>59</v>
      </c>
      <c r="M18" s="31">
        <f t="shared" si="4"/>
        <v>291</v>
      </c>
      <c r="N18" s="32">
        <f t="shared" si="5"/>
        <v>170.32258064516128</v>
      </c>
      <c r="O18" s="33">
        <f t="shared" si="6"/>
        <v>59</v>
      </c>
      <c r="P18" s="32">
        <f t="shared" si="7"/>
        <v>111.32258064516128</v>
      </c>
      <c r="Q18" s="32">
        <f t="shared" si="8"/>
        <v>45.625</v>
      </c>
      <c r="R18" s="28">
        <f t="shared" si="9"/>
        <v>1032.258064516129</v>
      </c>
      <c r="S18" s="31">
        <f t="shared" si="10"/>
        <v>463</v>
      </c>
      <c r="T18" s="28">
        <f t="shared" si="11"/>
        <v>569.25806451612902</v>
      </c>
      <c r="U18" s="28">
        <f t="shared" si="12"/>
        <v>4087.7419354838721</v>
      </c>
      <c r="V18" s="28">
        <f t="shared" si="12"/>
        <v>1814</v>
      </c>
      <c r="W18" s="28">
        <f t="shared" si="13"/>
        <v>2273.7419354838721</v>
      </c>
      <c r="X18" s="28">
        <f t="shared" si="14"/>
        <v>24774.193548387095</v>
      </c>
      <c r="Y18" s="28">
        <f t="shared" si="14"/>
        <v>12324</v>
      </c>
      <c r="Z18" s="28">
        <f t="shared" si="15"/>
        <v>12450.193548387095</v>
      </c>
      <c r="AA18" s="34">
        <f t="shared" si="16"/>
        <v>0.84666008850501107</v>
      </c>
      <c r="AB18" s="35"/>
    </row>
    <row r="19" spans="2:28" ht="18" customHeight="1" x14ac:dyDescent="0.25">
      <c r="B19" s="27">
        <v>23</v>
      </c>
      <c r="C19" s="32">
        <f>C20+187</f>
        <v>282020</v>
      </c>
      <c r="D19" s="32">
        <f>D20+210</f>
        <v>596608</v>
      </c>
      <c r="E19" s="32">
        <f>E20+62</f>
        <v>144747</v>
      </c>
      <c r="F19" s="29">
        <f t="shared" si="17"/>
        <v>1023375</v>
      </c>
      <c r="G19" s="30">
        <f t="shared" si="1"/>
        <v>1023059.4375</v>
      </c>
      <c r="H19" s="28">
        <f t="shared" si="2"/>
        <v>1023103.1875</v>
      </c>
      <c r="I19" s="32">
        <f>I20+293</f>
        <v>716391</v>
      </c>
      <c r="J19" s="31">
        <f t="shared" si="3"/>
        <v>187</v>
      </c>
      <c r="K19" s="31">
        <f t="shared" si="3"/>
        <v>210</v>
      </c>
      <c r="L19" s="31">
        <f t="shared" si="3"/>
        <v>62</v>
      </c>
      <c r="M19" s="31">
        <f t="shared" si="4"/>
        <v>293</v>
      </c>
      <c r="N19" s="32">
        <f t="shared" si="5"/>
        <v>170.32258064516128</v>
      </c>
      <c r="O19" s="27">
        <f t="shared" si="6"/>
        <v>62</v>
      </c>
      <c r="P19" s="32">
        <f t="shared" si="7"/>
        <v>108.32258064516128</v>
      </c>
      <c r="Q19" s="32">
        <f t="shared" si="8"/>
        <v>43.75</v>
      </c>
      <c r="R19" s="28">
        <f t="shared" si="9"/>
        <v>1032.258064516129</v>
      </c>
      <c r="S19" s="31">
        <f t="shared" si="10"/>
        <v>459</v>
      </c>
      <c r="T19" s="28">
        <f t="shared" si="11"/>
        <v>573.25806451612902</v>
      </c>
      <c r="U19" s="28">
        <f t="shared" si="12"/>
        <v>3917.4193548387107</v>
      </c>
      <c r="V19" s="28">
        <f t="shared" si="12"/>
        <v>1755</v>
      </c>
      <c r="W19" s="28">
        <f t="shared" si="13"/>
        <v>2162.4193548387107</v>
      </c>
      <c r="X19" s="28">
        <f t="shared" si="14"/>
        <v>23741.935483870966</v>
      </c>
      <c r="Y19" s="28">
        <f t="shared" si="14"/>
        <v>11861</v>
      </c>
      <c r="Z19" s="28">
        <f t="shared" si="15"/>
        <v>11880.935483870966</v>
      </c>
      <c r="AA19" s="34">
        <f t="shared" si="16"/>
        <v>0.84290448901857318</v>
      </c>
      <c r="AB19" s="1"/>
    </row>
    <row r="20" spans="2:28" ht="18" customHeight="1" x14ac:dyDescent="0.25">
      <c r="B20" s="27">
        <v>22</v>
      </c>
      <c r="C20" s="32">
        <v>281833</v>
      </c>
      <c r="D20" s="32">
        <v>596398</v>
      </c>
      <c r="E20" s="32">
        <v>144685</v>
      </c>
      <c r="F20" s="29">
        <f t="shared" si="17"/>
        <v>1022916</v>
      </c>
      <c r="G20" s="30">
        <f t="shared" si="1"/>
        <v>1022592.1875</v>
      </c>
      <c r="H20" s="28">
        <f t="shared" si="2"/>
        <v>1022635.1041666666</v>
      </c>
      <c r="I20" s="32">
        <v>716098</v>
      </c>
      <c r="J20" s="31">
        <f t="shared" si="3"/>
        <v>190</v>
      </c>
      <c r="K20" s="31">
        <f t="shared" si="3"/>
        <v>206</v>
      </c>
      <c r="L20" s="31">
        <f t="shared" si="3"/>
        <v>75</v>
      </c>
      <c r="M20" s="31">
        <f t="shared" si="4"/>
        <v>310</v>
      </c>
      <c r="N20" s="32">
        <f t="shared" si="5"/>
        <v>170.32258064516128</v>
      </c>
      <c r="O20" s="27">
        <f t="shared" si="6"/>
        <v>75</v>
      </c>
      <c r="P20" s="32">
        <f t="shared" si="7"/>
        <v>95.322580645161281</v>
      </c>
      <c r="Q20" s="32">
        <f t="shared" si="8"/>
        <v>42.916666666627862</v>
      </c>
      <c r="R20" s="28">
        <f t="shared" si="9"/>
        <v>1032.258064516129</v>
      </c>
      <c r="S20" s="31">
        <f t="shared" si="10"/>
        <v>471</v>
      </c>
      <c r="T20" s="28">
        <f t="shared" si="11"/>
        <v>561.25806451612902</v>
      </c>
      <c r="U20" s="28">
        <f t="shared" si="12"/>
        <v>3747.0967741935492</v>
      </c>
      <c r="V20" s="28">
        <f t="shared" si="12"/>
        <v>1693</v>
      </c>
      <c r="W20" s="28">
        <f t="shared" si="13"/>
        <v>2054.0967741935492</v>
      </c>
      <c r="X20" s="28">
        <f t="shared" si="14"/>
        <v>22709.677419354837</v>
      </c>
      <c r="Y20" s="28">
        <f t="shared" si="14"/>
        <v>11402</v>
      </c>
      <c r="Z20" s="28">
        <f t="shared" si="15"/>
        <v>11307.677419354837</v>
      </c>
      <c r="AA20" s="34">
        <f t="shared" si="16"/>
        <v>0.83530992029719064</v>
      </c>
      <c r="AB20" s="1"/>
    </row>
    <row r="21" spans="2:28" ht="18" customHeight="1" x14ac:dyDescent="0.25">
      <c r="B21" s="27">
        <v>21</v>
      </c>
      <c r="C21" s="32">
        <f>C22+191</f>
        <v>281643</v>
      </c>
      <c r="D21" s="32">
        <f>D22+213</f>
        <v>596192</v>
      </c>
      <c r="E21" s="32">
        <f>E22+70</f>
        <v>144610</v>
      </c>
      <c r="F21" s="29">
        <f t="shared" si="17"/>
        <v>1022445</v>
      </c>
      <c r="G21" s="30">
        <f t="shared" si="1"/>
        <v>1022119.125</v>
      </c>
      <c r="H21" s="28">
        <f t="shared" si="2"/>
        <v>1022163.5</v>
      </c>
      <c r="I21" s="32">
        <f>I22+290</f>
        <v>715788</v>
      </c>
      <c r="J21" s="31">
        <f t="shared" si="3"/>
        <v>191</v>
      </c>
      <c r="K21" s="31">
        <f t="shared" si="3"/>
        <v>213</v>
      </c>
      <c r="L21" s="31">
        <f t="shared" si="3"/>
        <v>70</v>
      </c>
      <c r="M21" s="31">
        <f t="shared" si="4"/>
        <v>290</v>
      </c>
      <c r="N21" s="32">
        <f t="shared" si="5"/>
        <v>170.32258064516128</v>
      </c>
      <c r="O21" s="27">
        <f t="shared" si="6"/>
        <v>70</v>
      </c>
      <c r="P21" s="32">
        <f t="shared" si="7"/>
        <v>100.32258064516128</v>
      </c>
      <c r="Q21" s="32">
        <f t="shared" si="8"/>
        <v>44.375</v>
      </c>
      <c r="R21" s="28">
        <f t="shared" si="9"/>
        <v>1032.258064516129</v>
      </c>
      <c r="S21" s="31">
        <f t="shared" si="10"/>
        <v>474</v>
      </c>
      <c r="T21" s="28">
        <f t="shared" si="11"/>
        <v>558.25806451612902</v>
      </c>
      <c r="U21" s="28">
        <f t="shared" si="12"/>
        <v>3576.7741935483878</v>
      </c>
      <c r="V21" s="28">
        <f t="shared" si="12"/>
        <v>1618</v>
      </c>
      <c r="W21" s="28">
        <f t="shared" si="13"/>
        <v>1958.7741935483878</v>
      </c>
      <c r="X21" s="28">
        <f t="shared" si="14"/>
        <v>21677.419354838708</v>
      </c>
      <c r="Y21" s="28">
        <f t="shared" si="14"/>
        <v>10931</v>
      </c>
      <c r="Z21" s="28">
        <f t="shared" si="15"/>
        <v>10746.419354838708</v>
      </c>
      <c r="AA21" s="34">
        <f t="shared" si="16"/>
        <v>0.85301481352534902</v>
      </c>
      <c r="AB21" s="1"/>
    </row>
    <row r="22" spans="2:28" ht="18" customHeight="1" x14ac:dyDescent="0.25">
      <c r="B22" s="27">
        <v>20</v>
      </c>
      <c r="C22" s="32">
        <f>C23+193</f>
        <v>281452</v>
      </c>
      <c r="D22" s="32">
        <f>D23+214</f>
        <v>595979</v>
      </c>
      <c r="E22" s="32">
        <f>E23+62</f>
        <v>144540</v>
      </c>
      <c r="F22" s="29">
        <f t="shared" si="17"/>
        <v>1021971</v>
      </c>
      <c r="G22" s="30">
        <f t="shared" si="1"/>
        <v>1021648.5625</v>
      </c>
      <c r="H22" s="28">
        <f t="shared" si="2"/>
        <v>1021693.1458333334</v>
      </c>
      <c r="I22" s="32">
        <f t="shared" ref="I22:I26" si="20">I23+304</f>
        <v>715498</v>
      </c>
      <c r="J22" s="31">
        <f t="shared" si="3"/>
        <v>193</v>
      </c>
      <c r="K22" s="31">
        <f t="shared" si="3"/>
        <v>214</v>
      </c>
      <c r="L22" s="31">
        <f t="shared" si="3"/>
        <v>62</v>
      </c>
      <c r="M22" s="31">
        <f t="shared" si="4"/>
        <v>304</v>
      </c>
      <c r="N22" s="32">
        <f t="shared" si="5"/>
        <v>170.32258064516128</v>
      </c>
      <c r="O22" s="27">
        <f t="shared" si="6"/>
        <v>62</v>
      </c>
      <c r="P22" s="32">
        <f t="shared" si="7"/>
        <v>108.32258064516128</v>
      </c>
      <c r="Q22" s="32">
        <f t="shared" si="8"/>
        <v>44.583333333372138</v>
      </c>
      <c r="R22" s="28">
        <f t="shared" si="9"/>
        <v>1032.258064516129</v>
      </c>
      <c r="S22" s="31">
        <f t="shared" si="10"/>
        <v>469</v>
      </c>
      <c r="T22" s="28">
        <f t="shared" si="11"/>
        <v>563.25806451612902</v>
      </c>
      <c r="U22" s="28">
        <f t="shared" si="12"/>
        <v>3406.4516129032263</v>
      </c>
      <c r="V22" s="28">
        <f t="shared" si="12"/>
        <v>1548</v>
      </c>
      <c r="W22" s="28">
        <f t="shared" si="13"/>
        <v>1858.4516129032263</v>
      </c>
      <c r="X22" s="28">
        <f t="shared" si="14"/>
        <v>20645.16129032258</v>
      </c>
      <c r="Y22" s="28">
        <f t="shared" si="14"/>
        <v>10457</v>
      </c>
      <c r="Z22" s="28">
        <f t="shared" si="15"/>
        <v>10188.16129032258</v>
      </c>
      <c r="AA22" s="34">
        <f t="shared" si="16"/>
        <v>0.83913786374270993</v>
      </c>
      <c r="AB22" s="1"/>
    </row>
    <row r="23" spans="2:28" ht="18" customHeight="1" x14ac:dyDescent="0.25">
      <c r="B23" s="27">
        <v>19</v>
      </c>
      <c r="C23" s="32">
        <f>C24+197</f>
        <v>281259</v>
      </c>
      <c r="D23" s="32">
        <f>D24+211</f>
        <v>595765</v>
      </c>
      <c r="E23" s="32">
        <f>E24+71</f>
        <v>144478</v>
      </c>
      <c r="F23" s="3">
        <f>C23+D23+E23</f>
        <v>1021502</v>
      </c>
      <c r="G23" s="30">
        <f t="shared" si="1"/>
        <v>1021172.6875</v>
      </c>
      <c r="H23" s="28">
        <f t="shared" si="2"/>
        <v>1021216.6458333334</v>
      </c>
      <c r="I23" s="32">
        <f>I24+302</f>
        <v>715194</v>
      </c>
      <c r="J23" s="31">
        <f t="shared" si="3"/>
        <v>197</v>
      </c>
      <c r="K23" s="31">
        <f t="shared" si="3"/>
        <v>211</v>
      </c>
      <c r="L23" s="31">
        <f t="shared" si="3"/>
        <v>71</v>
      </c>
      <c r="M23" s="31">
        <f t="shared" si="4"/>
        <v>302</v>
      </c>
      <c r="N23" s="32">
        <f t="shared" si="5"/>
        <v>170.32258064516128</v>
      </c>
      <c r="O23" s="27">
        <f t="shared" si="6"/>
        <v>71</v>
      </c>
      <c r="P23" s="32">
        <f t="shared" si="7"/>
        <v>99.322580645161281</v>
      </c>
      <c r="Q23" s="32">
        <f t="shared" si="8"/>
        <v>43.958333333372138</v>
      </c>
      <c r="R23" s="28">
        <f t="shared" si="9"/>
        <v>1032.258064516129</v>
      </c>
      <c r="S23" s="31">
        <f t="shared" si="10"/>
        <v>479</v>
      </c>
      <c r="T23" s="28">
        <f t="shared" si="11"/>
        <v>553.25806451612902</v>
      </c>
      <c r="U23" s="28">
        <f t="shared" si="12"/>
        <v>3236.1290322580649</v>
      </c>
      <c r="V23" s="28">
        <f t="shared" si="12"/>
        <v>1486</v>
      </c>
      <c r="W23" s="28">
        <f t="shared" si="13"/>
        <v>1750.1290322580649</v>
      </c>
      <c r="X23" s="28">
        <f t="shared" si="14"/>
        <v>19612.903225806451</v>
      </c>
      <c r="Y23" s="28">
        <f t="shared" si="14"/>
        <v>9988</v>
      </c>
      <c r="Z23" s="28">
        <f t="shared" si="15"/>
        <v>9624.9032258064508</v>
      </c>
      <c r="AA23" s="34">
        <f t="shared" si="16"/>
        <v>0.84590828268596097</v>
      </c>
      <c r="AB23" s="1"/>
    </row>
    <row r="24" spans="2:28" ht="18" customHeight="1" x14ac:dyDescent="0.25">
      <c r="B24" s="27">
        <v>18</v>
      </c>
      <c r="C24" s="32">
        <f>C25+190</f>
        <v>281062</v>
      </c>
      <c r="D24" s="32">
        <f>D25+210</f>
        <v>595554</v>
      </c>
      <c r="E24" s="32">
        <f>E25+67</f>
        <v>144407</v>
      </c>
      <c r="F24" s="29">
        <f t="shared" si="17"/>
        <v>1021023</v>
      </c>
      <c r="G24" s="30">
        <f t="shared" si="1"/>
        <v>1020701.9375</v>
      </c>
      <c r="H24" s="28">
        <f t="shared" si="2"/>
        <v>1020745.6875</v>
      </c>
      <c r="I24" s="32">
        <f>I25+307</f>
        <v>714892</v>
      </c>
      <c r="J24" s="31">
        <f t="shared" si="3"/>
        <v>190</v>
      </c>
      <c r="K24" s="31">
        <f t="shared" si="3"/>
        <v>210</v>
      </c>
      <c r="L24" s="31">
        <f t="shared" si="3"/>
        <v>67</v>
      </c>
      <c r="M24" s="31">
        <f t="shared" si="4"/>
        <v>307</v>
      </c>
      <c r="N24" s="32">
        <f t="shared" si="5"/>
        <v>170.32258064516128</v>
      </c>
      <c r="O24" s="27">
        <f t="shared" si="6"/>
        <v>67</v>
      </c>
      <c r="P24" s="32">
        <f t="shared" si="7"/>
        <v>103.32258064516128</v>
      </c>
      <c r="Q24" s="32">
        <f t="shared" si="8"/>
        <v>43.75</v>
      </c>
      <c r="R24" s="28">
        <f t="shared" si="9"/>
        <v>1032.258064516129</v>
      </c>
      <c r="S24" s="31">
        <f t="shared" si="10"/>
        <v>467</v>
      </c>
      <c r="T24" s="28">
        <f t="shared" si="11"/>
        <v>565.25806451612902</v>
      </c>
      <c r="U24" s="28">
        <f t="shared" si="12"/>
        <v>3065.8064516129034</v>
      </c>
      <c r="V24" s="28">
        <f t="shared" si="12"/>
        <v>1415</v>
      </c>
      <c r="W24" s="28">
        <f t="shared" si="13"/>
        <v>1650.8064516129034</v>
      </c>
      <c r="X24" s="28">
        <f t="shared" si="14"/>
        <v>18580.645161290322</v>
      </c>
      <c r="Y24" s="28">
        <f t="shared" si="14"/>
        <v>9509</v>
      </c>
      <c r="Z24" s="28">
        <f t="shared" si="15"/>
        <v>9071.645161290322</v>
      </c>
      <c r="AA24" s="34">
        <f t="shared" si="16"/>
        <v>0.83561161500194081</v>
      </c>
      <c r="AB24" s="1"/>
    </row>
    <row r="25" spans="2:28" ht="18" customHeight="1" x14ac:dyDescent="0.25">
      <c r="B25" s="27">
        <v>17</v>
      </c>
      <c r="C25" s="32">
        <f t="shared" ref="C25" si="21">C26+194</f>
        <v>280872</v>
      </c>
      <c r="D25" s="32">
        <f t="shared" ref="D25" si="22">D26+212</f>
        <v>595344</v>
      </c>
      <c r="E25" s="32">
        <f t="shared" ref="E25" si="23">E26+69</f>
        <v>144340</v>
      </c>
      <c r="F25" s="29">
        <f t="shared" si="17"/>
        <v>1020556</v>
      </c>
      <c r="G25" s="30">
        <f t="shared" si="1"/>
        <v>1020229.4375</v>
      </c>
      <c r="H25" s="28">
        <f t="shared" si="2"/>
        <v>1020273.6041666666</v>
      </c>
      <c r="I25" s="32">
        <f>I26+301</f>
        <v>714585</v>
      </c>
      <c r="J25" s="31">
        <f t="shared" si="3"/>
        <v>194</v>
      </c>
      <c r="K25" s="31">
        <f t="shared" si="3"/>
        <v>212</v>
      </c>
      <c r="L25" s="31">
        <f t="shared" si="3"/>
        <v>69</v>
      </c>
      <c r="M25" s="28">
        <f t="shared" si="4"/>
        <v>301</v>
      </c>
      <c r="N25" s="32">
        <f t="shared" si="5"/>
        <v>170.32258064516128</v>
      </c>
      <c r="O25" s="27">
        <f t="shared" si="6"/>
        <v>69</v>
      </c>
      <c r="P25" s="32">
        <f t="shared" si="7"/>
        <v>101.32258064516128</v>
      </c>
      <c r="Q25" s="32">
        <f t="shared" si="8"/>
        <v>44.166666666627862</v>
      </c>
      <c r="R25" s="28">
        <f t="shared" si="9"/>
        <v>1032.258064516129</v>
      </c>
      <c r="S25" s="31">
        <f t="shared" si="10"/>
        <v>475</v>
      </c>
      <c r="T25" s="28">
        <f t="shared" si="11"/>
        <v>557.25806451612902</v>
      </c>
      <c r="U25" s="28">
        <f t="shared" si="12"/>
        <v>2895.483870967742</v>
      </c>
      <c r="V25" s="31">
        <f t="shared" si="12"/>
        <v>1348</v>
      </c>
      <c r="W25" s="28">
        <f t="shared" si="13"/>
        <v>1547.483870967742</v>
      </c>
      <c r="X25" s="28">
        <f t="shared" si="14"/>
        <v>17548.387096774193</v>
      </c>
      <c r="Y25" s="28">
        <f t="shared" si="14"/>
        <v>9042</v>
      </c>
      <c r="Z25" s="28">
        <f t="shared" si="15"/>
        <v>8506.3870967741932</v>
      </c>
      <c r="AA25" s="34">
        <f t="shared" si="16"/>
        <v>0.84468507840095874</v>
      </c>
      <c r="AB25" s="1"/>
    </row>
    <row r="26" spans="2:28" ht="18" customHeight="1" x14ac:dyDescent="0.25">
      <c r="B26" s="27">
        <v>16</v>
      </c>
      <c r="C26" s="32">
        <f>C27+198</f>
        <v>280678</v>
      </c>
      <c r="D26" s="32">
        <f>D27+215</f>
        <v>595132</v>
      </c>
      <c r="E26" s="32">
        <f>E27+71</f>
        <v>144271</v>
      </c>
      <c r="F26" s="29">
        <f t="shared" si="17"/>
        <v>1020081</v>
      </c>
      <c r="G26" s="30">
        <f t="shared" si="1"/>
        <v>1019748.25</v>
      </c>
      <c r="H26" s="28">
        <f t="shared" si="2"/>
        <v>1019793.0416666666</v>
      </c>
      <c r="I26" s="32">
        <f t="shared" si="20"/>
        <v>714284</v>
      </c>
      <c r="J26" s="31">
        <f t="shared" si="3"/>
        <v>198</v>
      </c>
      <c r="K26" s="31">
        <f t="shared" si="3"/>
        <v>215</v>
      </c>
      <c r="L26" s="31">
        <f t="shared" si="3"/>
        <v>71</v>
      </c>
      <c r="M26" s="28">
        <f t="shared" si="4"/>
        <v>304</v>
      </c>
      <c r="N26" s="32">
        <f t="shared" si="5"/>
        <v>170.32258064516128</v>
      </c>
      <c r="O26" s="27">
        <f t="shared" si="6"/>
        <v>71</v>
      </c>
      <c r="P26" s="32">
        <f t="shared" si="7"/>
        <v>99.322580645161281</v>
      </c>
      <c r="Q26" s="32">
        <f t="shared" si="8"/>
        <v>44.791666666627862</v>
      </c>
      <c r="R26" s="28">
        <f t="shared" si="9"/>
        <v>1032.258064516129</v>
      </c>
      <c r="S26" s="31">
        <f>J26+K26+L26</f>
        <v>484</v>
      </c>
      <c r="T26" s="28">
        <f t="shared" si="11"/>
        <v>548.25806451612902</v>
      </c>
      <c r="U26" s="28">
        <f t="shared" si="12"/>
        <v>2725.1612903225805</v>
      </c>
      <c r="V26" s="31">
        <f t="shared" si="12"/>
        <v>1279</v>
      </c>
      <c r="W26" s="28">
        <f t="shared" si="13"/>
        <v>1446.1612903225805</v>
      </c>
      <c r="X26" s="28">
        <f t="shared" si="14"/>
        <v>16516.129032258064</v>
      </c>
      <c r="Y26" s="28">
        <f t="shared" si="14"/>
        <v>8567</v>
      </c>
      <c r="Z26" s="28">
        <f t="shared" si="15"/>
        <v>7949.1290322580644</v>
      </c>
      <c r="AA26" s="34">
        <f t="shared" si="16"/>
        <v>0.84681668402971377</v>
      </c>
      <c r="AB26" s="1"/>
    </row>
    <row r="27" spans="2:28" ht="18" customHeight="1" x14ac:dyDescent="0.25">
      <c r="B27" s="27">
        <v>15</v>
      </c>
      <c r="C27" s="32">
        <f>C28+201</f>
        <v>280480</v>
      </c>
      <c r="D27" s="32">
        <f>D28+218</f>
        <v>594917</v>
      </c>
      <c r="E27" s="32">
        <f>E28+73</f>
        <v>144200</v>
      </c>
      <c r="F27" s="29">
        <f t="shared" si="17"/>
        <v>1019597</v>
      </c>
      <c r="G27" s="30">
        <f t="shared" si="1"/>
        <v>1019258.75</v>
      </c>
      <c r="H27" s="28">
        <f t="shared" si="2"/>
        <v>1019304.1666666666</v>
      </c>
      <c r="I27" s="32">
        <f>I28+314</f>
        <v>713980</v>
      </c>
      <c r="J27" s="31">
        <f t="shared" si="3"/>
        <v>201</v>
      </c>
      <c r="K27" s="31">
        <f t="shared" si="3"/>
        <v>218</v>
      </c>
      <c r="L27" s="31">
        <f t="shared" si="3"/>
        <v>73</v>
      </c>
      <c r="M27" s="28">
        <f t="shared" si="4"/>
        <v>314</v>
      </c>
      <c r="N27" s="32">
        <f t="shared" si="5"/>
        <v>170.32258064516128</v>
      </c>
      <c r="O27" s="27">
        <f t="shared" si="6"/>
        <v>73</v>
      </c>
      <c r="P27" s="32">
        <f t="shared" si="7"/>
        <v>97.322580645161281</v>
      </c>
      <c r="Q27" s="32">
        <f t="shared" si="8"/>
        <v>45.416666666627862</v>
      </c>
      <c r="R27" s="28">
        <f t="shared" si="9"/>
        <v>1032.258064516129</v>
      </c>
      <c r="S27" s="31">
        <f t="shared" si="10"/>
        <v>492</v>
      </c>
      <c r="T27" s="28">
        <f t="shared" si="11"/>
        <v>540.25806451612902</v>
      </c>
      <c r="U27" s="28">
        <f t="shared" si="12"/>
        <v>2554.838709677419</v>
      </c>
      <c r="V27" s="31">
        <f t="shared" si="12"/>
        <v>1208</v>
      </c>
      <c r="W27" s="28">
        <f t="shared" si="13"/>
        <v>1346.838709677419</v>
      </c>
      <c r="X27" s="28">
        <f t="shared" si="14"/>
        <v>15483.870967741934</v>
      </c>
      <c r="Y27" s="28">
        <f t="shared" si="14"/>
        <v>8083</v>
      </c>
      <c r="Z27" s="28">
        <f t="shared" si="15"/>
        <v>7400.8709677419338</v>
      </c>
      <c r="AA27" s="34">
        <f t="shared" si="16"/>
        <v>0.84295527309472851</v>
      </c>
      <c r="AB27" s="1"/>
    </row>
    <row r="28" spans="2:28" ht="18" customHeight="1" x14ac:dyDescent="0.25">
      <c r="B28" s="27">
        <v>14</v>
      </c>
      <c r="C28" s="32">
        <f>C29+213</f>
        <v>280279</v>
      </c>
      <c r="D28" s="32">
        <f>D29+327</f>
        <v>594699</v>
      </c>
      <c r="E28" s="32">
        <f>E29+92</f>
        <v>144127</v>
      </c>
      <c r="F28" s="29">
        <f t="shared" si="17"/>
        <v>1019105</v>
      </c>
      <c r="G28" s="30">
        <f t="shared" si="1"/>
        <v>1018670.5</v>
      </c>
      <c r="H28" s="28">
        <f t="shared" si="2"/>
        <v>1018738.625</v>
      </c>
      <c r="I28" s="32">
        <f>I29+385</f>
        <v>713666</v>
      </c>
      <c r="J28" s="31">
        <f t="shared" ref="J28:L42" si="24">C28-C29</f>
        <v>213</v>
      </c>
      <c r="K28" s="31">
        <f t="shared" si="24"/>
        <v>327</v>
      </c>
      <c r="L28" s="31">
        <f t="shared" si="24"/>
        <v>92</v>
      </c>
      <c r="M28" s="28">
        <f t="shared" si="4"/>
        <v>385</v>
      </c>
      <c r="N28" s="32">
        <f t="shared" si="5"/>
        <v>170.32258064516128</v>
      </c>
      <c r="O28" s="27">
        <f t="shared" si="6"/>
        <v>92</v>
      </c>
      <c r="P28" s="32">
        <f t="shared" si="7"/>
        <v>78.322580645161281</v>
      </c>
      <c r="Q28" s="32">
        <f t="shared" si="8"/>
        <v>68.125</v>
      </c>
      <c r="R28" s="28">
        <f t="shared" si="9"/>
        <v>1032.258064516129</v>
      </c>
      <c r="S28" s="31">
        <f t="shared" si="10"/>
        <v>632</v>
      </c>
      <c r="T28" s="28">
        <f t="shared" si="11"/>
        <v>400.25806451612902</v>
      </c>
      <c r="U28" s="28">
        <f t="shared" ref="U28:V42" si="25">U29+N28</f>
        <v>2384.5161290322576</v>
      </c>
      <c r="V28" s="31">
        <f t="shared" si="25"/>
        <v>1135</v>
      </c>
      <c r="W28" s="28">
        <f t="shared" si="13"/>
        <v>1249.5161290322576</v>
      </c>
      <c r="X28" s="28">
        <f t="shared" ref="X28:Y42" si="26">X29+R28</f>
        <v>14451.612903225805</v>
      </c>
      <c r="Y28" s="28">
        <f t="shared" si="26"/>
        <v>7591</v>
      </c>
      <c r="Z28" s="28">
        <f t="shared" si="15"/>
        <v>6860.612903225805</v>
      </c>
      <c r="AA28" s="34">
        <f t="shared" si="16"/>
        <v>0.85401584565344035</v>
      </c>
      <c r="AB28" s="1"/>
    </row>
    <row r="29" spans="2:28" ht="18" customHeight="1" x14ac:dyDescent="0.25">
      <c r="B29" s="27">
        <v>13</v>
      </c>
      <c r="C29" s="32">
        <v>280066</v>
      </c>
      <c r="D29" s="32">
        <v>594372</v>
      </c>
      <c r="E29" s="32">
        <v>144035</v>
      </c>
      <c r="F29" s="29">
        <f t="shared" si="17"/>
        <v>1018473</v>
      </c>
      <c r="G29" s="30">
        <f t="shared" si="1"/>
        <v>1018027.5</v>
      </c>
      <c r="H29" s="28">
        <f t="shared" si="2"/>
        <v>1018099.375</v>
      </c>
      <c r="I29" s="32">
        <v>713281</v>
      </c>
      <c r="J29" s="31">
        <f t="shared" si="24"/>
        <v>209</v>
      </c>
      <c r="K29" s="31">
        <f t="shared" si="24"/>
        <v>345</v>
      </c>
      <c r="L29" s="31">
        <f t="shared" si="24"/>
        <v>94</v>
      </c>
      <c r="M29" s="31">
        <f t="shared" si="4"/>
        <v>381</v>
      </c>
      <c r="N29" s="32">
        <f t="shared" si="5"/>
        <v>170.32258064516128</v>
      </c>
      <c r="O29" s="27">
        <f t="shared" si="6"/>
        <v>94</v>
      </c>
      <c r="P29" s="32">
        <f t="shared" si="7"/>
        <v>76.322580645161281</v>
      </c>
      <c r="Q29" s="32">
        <f t="shared" si="8"/>
        <v>71.875</v>
      </c>
      <c r="R29" s="28">
        <f t="shared" si="9"/>
        <v>1032.258064516129</v>
      </c>
      <c r="S29" s="31">
        <f t="shared" si="10"/>
        <v>648</v>
      </c>
      <c r="T29" s="28">
        <f t="shared" si="11"/>
        <v>384.25806451612902</v>
      </c>
      <c r="U29" s="28">
        <f t="shared" si="25"/>
        <v>2214.1935483870961</v>
      </c>
      <c r="V29" s="31">
        <f t="shared" si="25"/>
        <v>1043</v>
      </c>
      <c r="W29" s="28">
        <f t="shared" si="13"/>
        <v>1171.1935483870961</v>
      </c>
      <c r="X29" s="28">
        <f t="shared" si="26"/>
        <v>13419.354838709676</v>
      </c>
      <c r="Y29" s="28">
        <f t="shared" si="26"/>
        <v>6959</v>
      </c>
      <c r="Z29" s="28">
        <f t="shared" si="15"/>
        <v>6460.3548387096762</v>
      </c>
      <c r="AA29" s="34">
        <f t="shared" si="16"/>
        <v>0.86203679162705049</v>
      </c>
      <c r="AB29" s="1"/>
    </row>
    <row r="30" spans="2:28" ht="18" customHeight="1" x14ac:dyDescent="0.25">
      <c r="B30" s="27">
        <v>12</v>
      </c>
      <c r="C30" s="32">
        <f>C31+207</f>
        <v>279857</v>
      </c>
      <c r="D30" s="32">
        <f>D31+333</f>
        <v>594027</v>
      </c>
      <c r="E30" s="32">
        <f t="shared" ref="E30:E32" si="27">E31+91</f>
        <v>143941</v>
      </c>
      <c r="F30" s="29">
        <f t="shared" si="17"/>
        <v>1017825</v>
      </c>
      <c r="G30" s="30">
        <f t="shared" si="1"/>
        <v>1017391.1875</v>
      </c>
      <c r="H30" s="28">
        <f t="shared" si="2"/>
        <v>1017460.5625</v>
      </c>
      <c r="I30" s="32">
        <f>I31+397</f>
        <v>712900</v>
      </c>
      <c r="J30" s="31">
        <f t="shared" si="24"/>
        <v>207</v>
      </c>
      <c r="K30" s="31">
        <f t="shared" si="24"/>
        <v>333</v>
      </c>
      <c r="L30" s="31">
        <f t="shared" si="24"/>
        <v>91</v>
      </c>
      <c r="M30" s="31">
        <f t="shared" si="4"/>
        <v>397</v>
      </c>
      <c r="N30" s="32">
        <f t="shared" si="5"/>
        <v>170.32258064516128</v>
      </c>
      <c r="O30" s="27">
        <f t="shared" si="6"/>
        <v>91</v>
      </c>
      <c r="P30" s="32">
        <f t="shared" si="7"/>
        <v>79.322580645161281</v>
      </c>
      <c r="Q30" s="32">
        <f t="shared" si="8"/>
        <v>69.375</v>
      </c>
      <c r="R30" s="28">
        <f t="shared" si="9"/>
        <v>1032.258064516129</v>
      </c>
      <c r="S30" s="31">
        <f t="shared" si="10"/>
        <v>631</v>
      </c>
      <c r="T30" s="28">
        <f t="shared" si="11"/>
        <v>401.25806451612902</v>
      </c>
      <c r="U30" s="28">
        <f t="shared" si="25"/>
        <v>2043.8709677419349</v>
      </c>
      <c r="V30" s="31">
        <f t="shared" si="25"/>
        <v>949</v>
      </c>
      <c r="W30" s="28">
        <f t="shared" si="13"/>
        <v>1094.8709677419349</v>
      </c>
      <c r="X30" s="28">
        <f t="shared" si="26"/>
        <v>12387.096774193547</v>
      </c>
      <c r="Y30" s="28">
        <f t="shared" si="26"/>
        <v>6311</v>
      </c>
      <c r="Z30" s="28">
        <f t="shared" si="15"/>
        <v>6076.0967741935474</v>
      </c>
      <c r="AA30" s="34">
        <f t="shared" si="16"/>
        <v>0.8464119945274351</v>
      </c>
      <c r="AB30" s="1"/>
    </row>
    <row r="31" spans="2:28" ht="18" customHeight="1" x14ac:dyDescent="0.25">
      <c r="B31" s="27">
        <v>11</v>
      </c>
      <c r="C31" s="32">
        <f t="shared" ref="C31" si="28">C32+203</f>
        <v>279650</v>
      </c>
      <c r="D31" s="32">
        <f>D32+323</f>
        <v>593694</v>
      </c>
      <c r="E31" s="32">
        <f>E32+95</f>
        <v>143850</v>
      </c>
      <c r="F31" s="29">
        <f>C31+D31+E31</f>
        <v>1017194</v>
      </c>
      <c r="G31" s="30">
        <f t="shared" si="1"/>
        <v>1016767.0625</v>
      </c>
      <c r="H31" s="28">
        <f t="shared" si="2"/>
        <v>1016834.3541666666</v>
      </c>
      <c r="I31" s="32">
        <f>I32+392</f>
        <v>712503</v>
      </c>
      <c r="J31" s="31">
        <f t="shared" si="24"/>
        <v>203</v>
      </c>
      <c r="K31" s="31">
        <f t="shared" si="24"/>
        <v>323</v>
      </c>
      <c r="L31" s="31">
        <f t="shared" si="24"/>
        <v>95</v>
      </c>
      <c r="M31" s="31">
        <f t="shared" si="4"/>
        <v>392</v>
      </c>
      <c r="N31" s="32">
        <f>N32</f>
        <v>170.32258064516128</v>
      </c>
      <c r="O31" s="27">
        <f t="shared" si="6"/>
        <v>95</v>
      </c>
      <c r="P31" s="32">
        <f t="shared" si="7"/>
        <v>75.322580645161281</v>
      </c>
      <c r="Q31" s="32">
        <f t="shared" si="8"/>
        <v>67.291666666627862</v>
      </c>
      <c r="R31" s="28">
        <f t="shared" si="9"/>
        <v>1032.258064516129</v>
      </c>
      <c r="S31" s="31">
        <f t="shared" si="10"/>
        <v>621</v>
      </c>
      <c r="T31" s="28">
        <f t="shared" si="11"/>
        <v>411.25806451612902</v>
      </c>
      <c r="U31" s="28">
        <f t="shared" si="25"/>
        <v>1873.5483870967737</v>
      </c>
      <c r="V31" s="31">
        <f t="shared" si="25"/>
        <v>858</v>
      </c>
      <c r="W31" s="28">
        <f t="shared" si="13"/>
        <v>1015.5483870967737</v>
      </c>
      <c r="X31" s="28">
        <f t="shared" si="26"/>
        <v>11354.838709677419</v>
      </c>
      <c r="Y31" s="28">
        <f t="shared" si="26"/>
        <v>5680</v>
      </c>
      <c r="Z31" s="28">
        <f t="shared" si="15"/>
        <v>5674.8387096774186</v>
      </c>
      <c r="AA31" s="34">
        <f t="shared" si="16"/>
        <v>0.84561830750551115</v>
      </c>
      <c r="AB31" s="1"/>
    </row>
    <row r="32" spans="2:28" ht="18" customHeight="1" x14ac:dyDescent="0.25">
      <c r="B32" s="27">
        <v>10</v>
      </c>
      <c r="C32" s="32">
        <f>C33+205</f>
        <v>279447</v>
      </c>
      <c r="D32" s="32">
        <f>D33+310</f>
        <v>593371</v>
      </c>
      <c r="E32" s="32">
        <f t="shared" si="27"/>
        <v>143755</v>
      </c>
      <c r="F32" s="29">
        <f>C32+D32+E32</f>
        <v>1016573</v>
      </c>
      <c r="G32" s="30">
        <f t="shared" si="1"/>
        <v>1016156.375</v>
      </c>
      <c r="H32" s="28">
        <f t="shared" si="2"/>
        <v>1016220.9583333334</v>
      </c>
      <c r="I32" s="32">
        <f>I33+377</f>
        <v>712111</v>
      </c>
      <c r="J32" s="31">
        <f t="shared" si="24"/>
        <v>205</v>
      </c>
      <c r="K32" s="31">
        <f t="shared" si="24"/>
        <v>310</v>
      </c>
      <c r="L32" s="31">
        <f t="shared" si="24"/>
        <v>91</v>
      </c>
      <c r="M32" s="31">
        <f t="shared" si="4"/>
        <v>377</v>
      </c>
      <c r="N32" s="32">
        <f t="shared" si="5"/>
        <v>170.32258064516128</v>
      </c>
      <c r="O32" s="27">
        <f t="shared" si="6"/>
        <v>91</v>
      </c>
      <c r="P32" s="32">
        <f t="shared" si="7"/>
        <v>79.322580645161281</v>
      </c>
      <c r="Q32" s="32">
        <f t="shared" si="8"/>
        <v>64.583333333372138</v>
      </c>
      <c r="R32" s="28">
        <f t="shared" si="9"/>
        <v>1032.258064516129</v>
      </c>
      <c r="S32" s="31">
        <f t="shared" si="10"/>
        <v>606</v>
      </c>
      <c r="T32" s="28">
        <f t="shared" si="11"/>
        <v>426.25806451612902</v>
      </c>
      <c r="U32" s="28">
        <f t="shared" si="25"/>
        <v>1703.2258064516125</v>
      </c>
      <c r="V32" s="31">
        <f t="shared" si="25"/>
        <v>763</v>
      </c>
      <c r="W32" s="28">
        <f t="shared" si="13"/>
        <v>940.22580645161247</v>
      </c>
      <c r="X32" s="28">
        <f t="shared" si="26"/>
        <v>10322.58064516129</v>
      </c>
      <c r="Y32" s="28">
        <f t="shared" si="26"/>
        <v>5059</v>
      </c>
      <c r="Z32" s="28">
        <f t="shared" si="15"/>
        <v>5263.5806451612898</v>
      </c>
      <c r="AA32" s="34">
        <f t="shared" si="16"/>
        <v>0.84909850100423845</v>
      </c>
      <c r="AB32" s="1"/>
    </row>
    <row r="33" spans="2:28" ht="18" customHeight="1" x14ac:dyDescent="0.25">
      <c r="B33" s="27">
        <v>9</v>
      </c>
      <c r="C33" s="32">
        <f>C34+201</f>
        <v>279242</v>
      </c>
      <c r="D33" s="32">
        <f>D34+298</f>
        <v>593061</v>
      </c>
      <c r="E33" s="32">
        <f>E34+90</f>
        <v>143664</v>
      </c>
      <c r="F33" s="29">
        <f t="shared" si="17"/>
        <v>1015967</v>
      </c>
      <c r="G33" s="30">
        <f t="shared" si="1"/>
        <v>1015562.0625</v>
      </c>
      <c r="H33" s="28">
        <f t="shared" si="2"/>
        <v>1015624.1458333334</v>
      </c>
      <c r="I33" s="32">
        <f>I34+396</f>
        <v>711734</v>
      </c>
      <c r="J33" s="31">
        <f t="shared" si="24"/>
        <v>201</v>
      </c>
      <c r="K33" s="31">
        <f t="shared" si="24"/>
        <v>298</v>
      </c>
      <c r="L33" s="31">
        <f t="shared" si="24"/>
        <v>90</v>
      </c>
      <c r="M33" s="31">
        <f t="shared" si="4"/>
        <v>396</v>
      </c>
      <c r="N33" s="32">
        <f t="shared" si="5"/>
        <v>170.32258064516128</v>
      </c>
      <c r="O33" s="27">
        <f t="shared" si="6"/>
        <v>90</v>
      </c>
      <c r="P33" s="32">
        <f t="shared" si="7"/>
        <v>80.322580645161281</v>
      </c>
      <c r="Q33" s="32">
        <f t="shared" si="8"/>
        <v>62.083333333372138</v>
      </c>
      <c r="R33" s="28">
        <f t="shared" si="9"/>
        <v>1032.258064516129</v>
      </c>
      <c r="S33" s="31">
        <f t="shared" si="10"/>
        <v>589</v>
      </c>
      <c r="T33" s="28">
        <f t="shared" si="11"/>
        <v>443.25806451612902</v>
      </c>
      <c r="U33" s="28">
        <f t="shared" si="25"/>
        <v>1532.9032258064512</v>
      </c>
      <c r="V33" s="31">
        <f t="shared" si="25"/>
        <v>672</v>
      </c>
      <c r="W33" s="28">
        <f t="shared" si="13"/>
        <v>860.90322580645125</v>
      </c>
      <c r="X33" s="28">
        <f t="shared" si="26"/>
        <v>9290.322580645161</v>
      </c>
      <c r="Y33" s="28">
        <f t="shared" si="26"/>
        <v>4453</v>
      </c>
      <c r="Z33" s="28">
        <f t="shared" si="15"/>
        <v>4837.322580645161</v>
      </c>
      <c r="AA33" s="34">
        <f t="shared" si="16"/>
        <v>0.82987631358128744</v>
      </c>
      <c r="AB33" s="1"/>
    </row>
    <row r="34" spans="2:28" ht="18" customHeight="1" x14ac:dyDescent="0.25">
      <c r="B34" s="27">
        <v>8</v>
      </c>
      <c r="C34" s="32">
        <f>C35+197</f>
        <v>279041</v>
      </c>
      <c r="D34" s="32">
        <f>D35+290</f>
        <v>592763</v>
      </c>
      <c r="E34" s="32">
        <f>E35+87</f>
        <v>143574</v>
      </c>
      <c r="F34" s="29">
        <f t="shared" si="17"/>
        <v>1015378</v>
      </c>
      <c r="G34" s="30">
        <f t="shared" si="1"/>
        <v>1014983.375</v>
      </c>
      <c r="H34" s="28">
        <f t="shared" si="2"/>
        <v>1015043.7916666666</v>
      </c>
      <c r="I34" s="32">
        <f>I35+383</f>
        <v>711338</v>
      </c>
      <c r="J34" s="31">
        <f t="shared" si="24"/>
        <v>197</v>
      </c>
      <c r="K34" s="31">
        <f t="shared" si="24"/>
        <v>290</v>
      </c>
      <c r="L34" s="31">
        <f t="shared" si="24"/>
        <v>87</v>
      </c>
      <c r="M34" s="31">
        <f t="shared" si="4"/>
        <v>383</v>
      </c>
      <c r="N34" s="32">
        <f t="shared" si="5"/>
        <v>170.32258064516128</v>
      </c>
      <c r="O34" s="27">
        <f t="shared" si="6"/>
        <v>87</v>
      </c>
      <c r="P34" s="32">
        <f t="shared" si="7"/>
        <v>83.322580645161281</v>
      </c>
      <c r="Q34" s="32">
        <f t="shared" si="8"/>
        <v>60.416666666627862</v>
      </c>
      <c r="R34" s="28">
        <f t="shared" si="9"/>
        <v>1032.258064516129</v>
      </c>
      <c r="S34" s="31">
        <f t="shared" si="10"/>
        <v>574</v>
      </c>
      <c r="T34" s="28">
        <f t="shared" si="11"/>
        <v>458.25806451612902</v>
      </c>
      <c r="U34" s="28">
        <f t="shared" si="25"/>
        <v>1362.58064516129</v>
      </c>
      <c r="V34" s="31">
        <f t="shared" si="25"/>
        <v>582</v>
      </c>
      <c r="W34" s="28">
        <f t="shared" si="13"/>
        <v>780.58064516129002</v>
      </c>
      <c r="X34" s="28">
        <f t="shared" si="26"/>
        <v>8258.0645161290322</v>
      </c>
      <c r="Y34" s="28">
        <f t="shared" si="26"/>
        <v>3864</v>
      </c>
      <c r="Z34" s="28">
        <f t="shared" si="15"/>
        <v>4394.0645161290322</v>
      </c>
      <c r="AA34" s="34">
        <f t="shared" si="16"/>
        <v>0.83182727690855129</v>
      </c>
      <c r="AB34" s="1"/>
    </row>
    <row r="35" spans="2:28" ht="18" customHeight="1" x14ac:dyDescent="0.25">
      <c r="B35" s="27">
        <v>7</v>
      </c>
      <c r="C35" s="32">
        <v>278844</v>
      </c>
      <c r="D35" s="32">
        <v>592473</v>
      </c>
      <c r="E35" s="32">
        <v>143487</v>
      </c>
      <c r="F35" s="3">
        <f>C35+D35+E35</f>
        <v>1014804</v>
      </c>
      <c r="G35" s="30">
        <f t="shared" si="1"/>
        <v>1014434.8125</v>
      </c>
      <c r="H35" s="28">
        <f t="shared" si="2"/>
        <v>1014491.0625</v>
      </c>
      <c r="I35" s="32">
        <v>710955</v>
      </c>
      <c r="J35" s="31">
        <f t="shared" si="24"/>
        <v>181</v>
      </c>
      <c r="K35" s="31">
        <f t="shared" si="24"/>
        <v>270</v>
      </c>
      <c r="L35" s="31">
        <f t="shared" si="24"/>
        <v>86</v>
      </c>
      <c r="M35" s="31">
        <f t="shared" si="4"/>
        <v>375</v>
      </c>
      <c r="N35" s="32">
        <f t="shared" si="5"/>
        <v>170.32258064516128</v>
      </c>
      <c r="O35" s="27">
        <f t="shared" si="6"/>
        <v>86</v>
      </c>
      <c r="P35" s="32">
        <f t="shared" si="7"/>
        <v>84.322580645161281</v>
      </c>
      <c r="Q35" s="32">
        <f t="shared" si="8"/>
        <v>56.25</v>
      </c>
      <c r="R35" s="28">
        <f t="shared" si="9"/>
        <v>1032.258064516129</v>
      </c>
      <c r="S35" s="31">
        <f t="shared" si="10"/>
        <v>537</v>
      </c>
      <c r="T35" s="28">
        <f t="shared" si="11"/>
        <v>495.25806451612902</v>
      </c>
      <c r="U35" s="28">
        <f t="shared" si="25"/>
        <v>1192.2580645161288</v>
      </c>
      <c r="V35" s="31">
        <f t="shared" si="25"/>
        <v>495</v>
      </c>
      <c r="W35" s="28">
        <f t="shared" si="13"/>
        <v>697.2580645161288</v>
      </c>
      <c r="X35" s="28">
        <f t="shared" si="26"/>
        <v>7225.8064516129025</v>
      </c>
      <c r="Y35" s="28">
        <f t="shared" si="26"/>
        <v>3290</v>
      </c>
      <c r="Z35" s="28">
        <f t="shared" si="15"/>
        <v>3935.8064516129025</v>
      </c>
      <c r="AA35" s="34">
        <f t="shared" si="16"/>
        <v>0.81987694964696589</v>
      </c>
      <c r="AB35" s="1"/>
    </row>
    <row r="36" spans="2:28" ht="18" customHeight="1" x14ac:dyDescent="0.25">
      <c r="B36" s="27">
        <v>6</v>
      </c>
      <c r="C36" s="32">
        <f>C37+175</f>
        <v>278663</v>
      </c>
      <c r="D36" s="32">
        <f>D37+252</f>
        <v>592203</v>
      </c>
      <c r="E36" s="32">
        <f>E37+84</f>
        <v>143401</v>
      </c>
      <c r="F36" s="29">
        <f t="shared" si="17"/>
        <v>1014267</v>
      </c>
      <c r="G36" s="30">
        <f t="shared" si="1"/>
        <v>1013915.6875</v>
      </c>
      <c r="H36" s="28">
        <f t="shared" si="2"/>
        <v>1013968.1875</v>
      </c>
      <c r="I36" s="32">
        <f>I37+390</f>
        <v>710580</v>
      </c>
      <c r="J36" s="31">
        <f t="shared" si="24"/>
        <v>175</v>
      </c>
      <c r="K36" s="31">
        <f t="shared" si="24"/>
        <v>252</v>
      </c>
      <c r="L36" s="31">
        <f t="shared" si="24"/>
        <v>84</v>
      </c>
      <c r="M36" s="31">
        <f t="shared" si="4"/>
        <v>390</v>
      </c>
      <c r="N36" s="32">
        <f t="shared" si="5"/>
        <v>170.32258064516128</v>
      </c>
      <c r="O36" s="27">
        <f t="shared" si="6"/>
        <v>84</v>
      </c>
      <c r="P36" s="32">
        <f t="shared" si="7"/>
        <v>86.322580645161281</v>
      </c>
      <c r="Q36" s="32">
        <f t="shared" si="8"/>
        <v>52.5</v>
      </c>
      <c r="R36" s="28">
        <f t="shared" si="9"/>
        <v>1032.258064516129</v>
      </c>
      <c r="S36" s="31">
        <f t="shared" si="10"/>
        <v>511</v>
      </c>
      <c r="T36" s="28">
        <f t="shared" si="11"/>
        <v>521.25806451612902</v>
      </c>
      <c r="U36" s="28">
        <f t="shared" si="25"/>
        <v>1021.9354838709676</v>
      </c>
      <c r="V36" s="31">
        <f t="shared" si="25"/>
        <v>409</v>
      </c>
      <c r="W36" s="28">
        <f t="shared" si="13"/>
        <v>612.93548387096757</v>
      </c>
      <c r="X36" s="28">
        <f t="shared" si="26"/>
        <v>6193.5483870967737</v>
      </c>
      <c r="Y36" s="28">
        <f t="shared" si="26"/>
        <v>2753</v>
      </c>
      <c r="Z36" s="28">
        <f t="shared" si="15"/>
        <v>3440.5483870967737</v>
      </c>
      <c r="AA36" s="34">
        <f t="shared" si="16"/>
        <v>0.79493150228517395</v>
      </c>
      <c r="AB36" s="1"/>
    </row>
    <row r="37" spans="2:28" ht="18" customHeight="1" x14ac:dyDescent="0.25">
      <c r="B37" s="27">
        <v>5</v>
      </c>
      <c r="C37" s="32">
        <f t="shared" ref="C37" si="29">C38+159</f>
        <v>278488</v>
      </c>
      <c r="D37" s="32">
        <f t="shared" ref="D37" si="30">D38+239</f>
        <v>591951</v>
      </c>
      <c r="E37" s="32">
        <f>E38+74</f>
        <v>143317</v>
      </c>
      <c r="F37" s="29">
        <f t="shared" si="17"/>
        <v>1013756</v>
      </c>
      <c r="G37" s="30">
        <f t="shared" si="1"/>
        <v>1013431.5</v>
      </c>
      <c r="H37" s="28">
        <f t="shared" si="2"/>
        <v>1013481.2916666666</v>
      </c>
      <c r="I37" s="32">
        <f>I38+369</f>
        <v>710190</v>
      </c>
      <c r="J37" s="31">
        <f t="shared" si="24"/>
        <v>159</v>
      </c>
      <c r="K37" s="31">
        <f t="shared" si="24"/>
        <v>239</v>
      </c>
      <c r="L37" s="31">
        <f t="shared" si="24"/>
        <v>74</v>
      </c>
      <c r="M37" s="31">
        <f t="shared" si="4"/>
        <v>369</v>
      </c>
      <c r="N37" s="32">
        <f t="shared" si="5"/>
        <v>170.32258064516128</v>
      </c>
      <c r="O37" s="27">
        <f t="shared" si="6"/>
        <v>74</v>
      </c>
      <c r="P37" s="32">
        <f t="shared" si="7"/>
        <v>96.322580645161281</v>
      </c>
      <c r="Q37" s="32">
        <f t="shared" si="8"/>
        <v>49.791666666627862</v>
      </c>
      <c r="R37" s="28">
        <f t="shared" si="9"/>
        <v>1032.258064516129</v>
      </c>
      <c r="S37" s="31">
        <f t="shared" si="10"/>
        <v>472</v>
      </c>
      <c r="T37" s="28">
        <f t="shared" si="11"/>
        <v>560.25806451612902</v>
      </c>
      <c r="U37" s="28">
        <f t="shared" si="25"/>
        <v>851.61290322580635</v>
      </c>
      <c r="V37" s="31">
        <f t="shared" si="25"/>
        <v>325</v>
      </c>
      <c r="W37" s="28">
        <f t="shared" si="13"/>
        <v>526.61290322580635</v>
      </c>
      <c r="X37" s="28">
        <f t="shared" si="26"/>
        <v>5161.2903225806449</v>
      </c>
      <c r="Y37" s="28">
        <f t="shared" si="26"/>
        <v>2242</v>
      </c>
      <c r="Z37" s="28">
        <f t="shared" si="15"/>
        <v>2919.2903225806449</v>
      </c>
      <c r="AA37" s="34">
        <f t="shared" si="16"/>
        <v>0.78782189156088911</v>
      </c>
      <c r="AB37" s="1"/>
    </row>
    <row r="38" spans="2:28" ht="18" customHeight="1" x14ac:dyDescent="0.25">
      <c r="B38" s="27">
        <v>4</v>
      </c>
      <c r="C38" s="32">
        <f>C39+153</f>
        <v>278329</v>
      </c>
      <c r="D38" s="32">
        <f>D39+240</f>
        <v>591712</v>
      </c>
      <c r="E38" s="32">
        <f>E39+73</f>
        <v>143243</v>
      </c>
      <c r="F38" s="29">
        <f t="shared" si="17"/>
        <v>1013284</v>
      </c>
      <c r="G38" s="30">
        <f t="shared" si="1"/>
        <v>1012963.625</v>
      </c>
      <c r="H38" s="28">
        <f t="shared" si="2"/>
        <v>1013013.625</v>
      </c>
      <c r="I38" s="32">
        <f>I39+372</f>
        <v>709821</v>
      </c>
      <c r="J38" s="31">
        <f t="shared" si="24"/>
        <v>153</v>
      </c>
      <c r="K38" s="31">
        <f t="shared" si="24"/>
        <v>240</v>
      </c>
      <c r="L38" s="31">
        <f t="shared" si="24"/>
        <v>73</v>
      </c>
      <c r="M38" s="31">
        <f t="shared" si="4"/>
        <v>372</v>
      </c>
      <c r="N38" s="32">
        <f t="shared" si="5"/>
        <v>170.32258064516128</v>
      </c>
      <c r="O38" s="27">
        <f t="shared" si="6"/>
        <v>73</v>
      </c>
      <c r="P38" s="32">
        <f t="shared" si="7"/>
        <v>97.322580645161281</v>
      </c>
      <c r="Q38" s="32">
        <f t="shared" si="8"/>
        <v>50</v>
      </c>
      <c r="R38" s="28">
        <f t="shared" si="9"/>
        <v>1032.258064516129</v>
      </c>
      <c r="S38" s="31">
        <f t="shared" si="10"/>
        <v>466</v>
      </c>
      <c r="T38" s="28">
        <f t="shared" si="11"/>
        <v>566.25806451612902</v>
      </c>
      <c r="U38" s="28">
        <f t="shared" si="25"/>
        <v>681.29032258064512</v>
      </c>
      <c r="V38" s="31">
        <f t="shared" si="25"/>
        <v>251</v>
      </c>
      <c r="W38" s="28">
        <f t="shared" si="13"/>
        <v>430.29032258064512</v>
      </c>
      <c r="X38" s="28">
        <f t="shared" si="26"/>
        <v>4129.0322580645161</v>
      </c>
      <c r="Y38" s="28">
        <f t="shared" si="26"/>
        <v>1770</v>
      </c>
      <c r="Z38" s="28">
        <f t="shared" si="15"/>
        <v>2359.0322580645161</v>
      </c>
      <c r="AA38" s="34">
        <f t="shared" si="16"/>
        <v>0.78152285413560019</v>
      </c>
      <c r="AB38" s="1"/>
    </row>
    <row r="39" spans="2:28" ht="18" customHeight="1" x14ac:dyDescent="0.25">
      <c r="B39" s="27">
        <v>3</v>
      </c>
      <c r="C39" s="32">
        <f>C40+157</f>
        <v>278176</v>
      </c>
      <c r="D39" s="32">
        <f>D40+230</f>
        <v>591472</v>
      </c>
      <c r="E39" s="32">
        <f>E40+67</f>
        <v>143170</v>
      </c>
      <c r="F39" s="29">
        <f t="shared" si="17"/>
        <v>1012818</v>
      </c>
      <c r="G39" s="30">
        <f t="shared" si="1"/>
        <v>1012505.875</v>
      </c>
      <c r="H39" s="28">
        <f t="shared" si="2"/>
        <v>1012553.7916666666</v>
      </c>
      <c r="I39" s="32">
        <f>I40+368</f>
        <v>709449</v>
      </c>
      <c r="J39" s="31">
        <f t="shared" si="24"/>
        <v>157</v>
      </c>
      <c r="K39" s="31">
        <f t="shared" si="24"/>
        <v>230</v>
      </c>
      <c r="L39" s="31">
        <f t="shared" si="24"/>
        <v>67</v>
      </c>
      <c r="M39" s="31">
        <f t="shared" si="4"/>
        <v>368</v>
      </c>
      <c r="N39" s="32">
        <f t="shared" si="5"/>
        <v>170.32258064516128</v>
      </c>
      <c r="O39" s="27">
        <f t="shared" si="6"/>
        <v>67</v>
      </c>
      <c r="P39" s="32">
        <f t="shared" si="7"/>
        <v>103.32258064516128</v>
      </c>
      <c r="Q39" s="32">
        <f t="shared" si="8"/>
        <v>47.916666666627862</v>
      </c>
      <c r="R39" s="28">
        <f t="shared" si="9"/>
        <v>1032.258064516129</v>
      </c>
      <c r="S39" s="31">
        <f t="shared" si="10"/>
        <v>454</v>
      </c>
      <c r="T39" s="28">
        <f t="shared" si="11"/>
        <v>578.25806451612902</v>
      </c>
      <c r="U39" s="28">
        <f t="shared" si="25"/>
        <v>510.96774193548384</v>
      </c>
      <c r="V39" s="31">
        <f t="shared" si="25"/>
        <v>178</v>
      </c>
      <c r="W39" s="28">
        <f t="shared" si="13"/>
        <v>332.96774193548384</v>
      </c>
      <c r="X39" s="28">
        <f t="shared" si="26"/>
        <v>3096.7741935483873</v>
      </c>
      <c r="Y39" s="28">
        <f t="shared" si="26"/>
        <v>1304</v>
      </c>
      <c r="Z39" s="28">
        <f t="shared" si="15"/>
        <v>1792.7741935483873</v>
      </c>
      <c r="AA39" s="34">
        <f t="shared" si="16"/>
        <v>0.77684623598820013</v>
      </c>
      <c r="AB39" s="1"/>
    </row>
    <row r="40" spans="2:28" ht="18" customHeight="1" x14ac:dyDescent="0.25">
      <c r="B40" s="27">
        <v>2</v>
      </c>
      <c r="C40" s="32">
        <f>C41+142</f>
        <v>278019</v>
      </c>
      <c r="D40" s="32">
        <f>D41+227</f>
        <v>591242</v>
      </c>
      <c r="E40" s="32">
        <f>E41+52</f>
        <v>143103</v>
      </c>
      <c r="F40" s="29">
        <f t="shared" si="17"/>
        <v>1012364</v>
      </c>
      <c r="G40" s="30">
        <f t="shared" si="1"/>
        <v>1012074.5625</v>
      </c>
      <c r="H40" s="28">
        <f t="shared" si="2"/>
        <v>1012121.8541666666</v>
      </c>
      <c r="I40" s="32">
        <f>I41+339</f>
        <v>709081</v>
      </c>
      <c r="J40" s="31">
        <f t="shared" si="24"/>
        <v>142</v>
      </c>
      <c r="K40" s="31">
        <f t="shared" si="24"/>
        <v>227</v>
      </c>
      <c r="L40" s="31">
        <f t="shared" si="24"/>
        <v>52</v>
      </c>
      <c r="M40" s="31">
        <f t="shared" si="4"/>
        <v>339</v>
      </c>
      <c r="N40" s="32">
        <f t="shared" si="5"/>
        <v>170.32258064516128</v>
      </c>
      <c r="O40" s="27">
        <f t="shared" si="6"/>
        <v>52</v>
      </c>
      <c r="P40" s="32">
        <f t="shared" si="7"/>
        <v>118.32258064516128</v>
      </c>
      <c r="Q40" s="32">
        <f t="shared" si="8"/>
        <v>47.291666666627862</v>
      </c>
      <c r="R40" s="28">
        <f>R41</f>
        <v>1032.258064516129</v>
      </c>
      <c r="S40" s="31">
        <f>J40+K40+L40</f>
        <v>421</v>
      </c>
      <c r="T40" s="28">
        <f t="shared" si="11"/>
        <v>611.25806451612902</v>
      </c>
      <c r="U40" s="28">
        <f t="shared" si="25"/>
        <v>340.64516129032256</v>
      </c>
      <c r="V40" s="31">
        <f t="shared" si="25"/>
        <v>111</v>
      </c>
      <c r="W40" s="28">
        <f t="shared" si="13"/>
        <v>229.64516129032256</v>
      </c>
      <c r="X40" s="28">
        <f t="shared" si="26"/>
        <v>2064.516129032258</v>
      </c>
      <c r="Y40" s="28">
        <f t="shared" si="26"/>
        <v>850</v>
      </c>
      <c r="Z40" s="28">
        <f t="shared" si="15"/>
        <v>1214.516129032258</v>
      </c>
      <c r="AA40" s="34">
        <f t="shared" si="16"/>
        <v>0.77887942467327143</v>
      </c>
      <c r="AB40" s="1"/>
    </row>
    <row r="41" spans="2:28" ht="18.75" customHeight="1" thickBot="1" x14ac:dyDescent="0.3">
      <c r="B41" s="27">
        <v>1</v>
      </c>
      <c r="C41" s="32">
        <f>C42+150</f>
        <v>277877</v>
      </c>
      <c r="D41" s="32">
        <f>D42+220</f>
        <v>591015</v>
      </c>
      <c r="E41" s="32">
        <f>E42+59</f>
        <v>143051</v>
      </c>
      <c r="F41" s="29">
        <f t="shared" si="17"/>
        <v>1011943</v>
      </c>
      <c r="G41" s="30">
        <f t="shared" si="1"/>
        <v>1011648.0625</v>
      </c>
      <c r="H41" s="28">
        <f t="shared" si="2"/>
        <v>1011693.8958333334</v>
      </c>
      <c r="I41" s="32">
        <f>I42+334</f>
        <v>708742</v>
      </c>
      <c r="J41" s="31">
        <f t="shared" si="24"/>
        <v>150</v>
      </c>
      <c r="K41" s="31">
        <f t="shared" si="24"/>
        <v>220</v>
      </c>
      <c r="L41" s="31">
        <f t="shared" si="24"/>
        <v>59</v>
      </c>
      <c r="M41" s="31">
        <f t="shared" si="4"/>
        <v>334</v>
      </c>
      <c r="N41" s="24">
        <f>O6/31</f>
        <v>170.32258064516128</v>
      </c>
      <c r="O41" s="27">
        <f t="shared" si="6"/>
        <v>59</v>
      </c>
      <c r="P41" s="32">
        <f t="shared" si="7"/>
        <v>111.32258064516128</v>
      </c>
      <c r="Q41" s="32">
        <f t="shared" si="8"/>
        <v>45.833333333372138</v>
      </c>
      <c r="R41" s="57">
        <f>S6/31</f>
        <v>1032.258064516129</v>
      </c>
      <c r="S41" s="28">
        <f>J41+K41+L41+V6</f>
        <v>429</v>
      </c>
      <c r="T41" s="28">
        <f t="shared" si="11"/>
        <v>603.25806451612902</v>
      </c>
      <c r="U41" s="28">
        <f>N41</f>
        <v>170.32258064516128</v>
      </c>
      <c r="V41" s="31">
        <f>O41</f>
        <v>59</v>
      </c>
      <c r="W41" s="28">
        <f t="shared" si="13"/>
        <v>111.32258064516128</v>
      </c>
      <c r="X41" s="28">
        <f>R41</f>
        <v>1032.258064516129</v>
      </c>
      <c r="Y41" s="28">
        <f>S41</f>
        <v>429</v>
      </c>
      <c r="Z41" s="28">
        <f t="shared" si="15"/>
        <v>603.25806451612902</v>
      </c>
      <c r="AA41" s="58">
        <f t="shared" si="16"/>
        <v>0.78905500901463677</v>
      </c>
      <c r="AB41" s="1"/>
    </row>
    <row r="42" spans="2:28" ht="54.75" customHeight="1" thickBot="1" x14ac:dyDescent="0.3">
      <c r="B42" s="19" t="s">
        <v>35</v>
      </c>
      <c r="C42" s="27">
        <v>277727</v>
      </c>
      <c r="D42" s="27">
        <v>590795</v>
      </c>
      <c r="E42" s="27">
        <v>142992</v>
      </c>
      <c r="F42" s="29">
        <v>1011514</v>
      </c>
      <c r="G42" s="59">
        <v>1011272.3333333334</v>
      </c>
      <c r="H42" s="3">
        <v>1011310.4583333334</v>
      </c>
      <c r="I42" s="27">
        <v>708408</v>
      </c>
      <c r="J42" s="4"/>
      <c r="K42" s="4"/>
      <c r="L42" s="4"/>
      <c r="M42" s="60">
        <f>SUM(M11:M41)</f>
        <v>9870</v>
      </c>
      <c r="N42" s="4" t="s">
        <v>45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1">
        <f>AVERAGE(AA11:AA41)</f>
        <v>0.83385659907995502</v>
      </c>
    </row>
    <row r="43" spans="2:28" ht="18" customHeight="1" x14ac:dyDescent="0.25">
      <c r="B43" s="2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"/>
      <c r="S43" s="4"/>
      <c r="T43" s="4"/>
      <c r="U43" s="4"/>
      <c r="V43" s="4"/>
      <c r="W43" s="4"/>
      <c r="X43" s="4"/>
      <c r="Y43" s="4"/>
      <c r="Z43" s="4"/>
      <c r="AA43" s="4"/>
    </row>
    <row r="44" spans="2:28" ht="18" customHeight="1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"/>
      <c r="S44" s="4"/>
      <c r="T44" s="4"/>
      <c r="U44" s="4"/>
      <c r="V44" s="4"/>
      <c r="W44" s="4"/>
      <c r="X44" s="4"/>
      <c r="Y44" s="4"/>
      <c r="Z44" s="4"/>
      <c r="AA44" s="4"/>
    </row>
    <row r="45" spans="2:28" ht="18" customHeight="1" x14ac:dyDescent="0.25">
      <c r="B45" s="4"/>
      <c r="C45" s="4"/>
      <c r="D45" s="22"/>
      <c r="E45" s="4"/>
      <c r="F45" s="4"/>
      <c r="G45" s="4"/>
      <c r="H45" s="4" t="s">
        <v>36</v>
      </c>
      <c r="I45" s="4"/>
      <c r="J45" s="4"/>
      <c r="K45" s="4"/>
      <c r="L45" s="4"/>
      <c r="M45" s="4"/>
      <c r="N45" s="4"/>
      <c r="O45" s="4"/>
      <c r="P45" s="4"/>
      <c r="Q45" s="4"/>
      <c r="R45" s="11"/>
      <c r="S45" s="4"/>
      <c r="T45" s="4"/>
      <c r="U45" s="4"/>
      <c r="V45" s="4"/>
      <c r="W45" s="4"/>
      <c r="X45" s="4"/>
      <c r="Y45" s="4"/>
      <c r="Z45" s="4"/>
      <c r="AA45" s="4"/>
    </row>
    <row r="46" spans="2:28" x14ac:dyDescent="0.25">
      <c r="C46" s="21"/>
    </row>
    <row r="52" spans="26:27" ht="18" customHeight="1" x14ac:dyDescent="0.25">
      <c r="Z52" s="4" t="s">
        <v>37</v>
      </c>
    </row>
    <row r="53" spans="26:27" ht="18" customHeight="1" x14ac:dyDescent="0.25">
      <c r="Z53" s="4" t="s">
        <v>38</v>
      </c>
      <c r="AA53" s="4"/>
    </row>
    <row r="54" spans="26:27" ht="18" customHeight="1" x14ac:dyDescent="0.25">
      <c r="Z54" s="4" t="s">
        <v>39</v>
      </c>
      <c r="AA54" s="4"/>
    </row>
    <row r="55" spans="26:27" ht="18" customHeight="1" x14ac:dyDescent="0.25">
      <c r="Z55" s="4" t="s">
        <v>40</v>
      </c>
      <c r="AA55" s="4"/>
    </row>
  </sheetData>
  <mergeCells count="10">
    <mergeCell ref="AB8:AB9"/>
    <mergeCell ref="B8:B9"/>
    <mergeCell ref="N8:P8"/>
    <mergeCell ref="R8:T8"/>
    <mergeCell ref="U8:W8"/>
    <mergeCell ref="X8:AA8"/>
    <mergeCell ref="C5:E5"/>
    <mergeCell ref="J8:M8"/>
    <mergeCell ref="C8:I8"/>
    <mergeCell ref="Q8:Q9"/>
  </mergeCells>
  <printOptions horizontalCentered="1"/>
  <pageMargins left="0.25" right="0.25" top="0.75" bottom="0.75" header="0.3" footer="0.3"/>
  <pageSetup paperSize="9" scale="4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B55"/>
  <sheetViews>
    <sheetView tabSelected="1" topLeftCell="A6" workbookViewId="0">
      <selection activeCell="B12" sqref="B12:AA42"/>
    </sheetView>
  </sheetViews>
  <sheetFormatPr baseColWidth="10" defaultColWidth="11.42578125" defaultRowHeight="15" x14ac:dyDescent="0.25"/>
  <cols>
    <col min="1" max="2" width="11.42578125" style="36" customWidth="1"/>
    <col min="3" max="3" width="12.28515625" style="36" bestFit="1" customWidth="1"/>
    <col min="4" max="4" width="12.140625" style="36" customWidth="1"/>
    <col min="5" max="5" width="16.28515625" style="36" customWidth="1"/>
    <col min="6" max="7" width="13" style="36" customWidth="1"/>
    <col min="8" max="8" width="12" style="36" customWidth="1"/>
    <col min="9" max="9" width="12.28515625" style="36" bestFit="1" customWidth="1"/>
    <col min="11" max="11" width="14" style="36" customWidth="1"/>
    <col min="16" max="16" width="13.42578125" style="36" bestFit="1" customWidth="1"/>
    <col min="17" max="17" width="13.140625" style="36" customWidth="1"/>
    <col min="18" max="18" width="11.42578125" style="7" customWidth="1"/>
    <col min="19" max="19" width="13.28515625" style="36" customWidth="1"/>
    <col min="20" max="20" width="14.7109375" style="36" bestFit="1" customWidth="1"/>
    <col min="21" max="21" width="11.7109375" style="36" bestFit="1" customWidth="1"/>
    <col min="22" max="22" width="13.28515625" style="36" bestFit="1" customWidth="1"/>
    <col min="23" max="23" width="12.5703125" style="36" bestFit="1" customWidth="1"/>
    <col min="24" max="24" width="11.5703125" style="36" bestFit="1" customWidth="1"/>
    <col min="25" max="25" width="14" style="36" bestFit="1" customWidth="1"/>
    <col min="26" max="26" width="13.42578125" style="36" bestFit="1" customWidth="1"/>
    <col min="27" max="27" width="15.140625" style="36" customWidth="1"/>
    <col min="28" max="28" width="16.140625" style="36" customWidth="1"/>
  </cols>
  <sheetData>
    <row r="2" spans="2:28" ht="15.75" customHeight="1" x14ac:dyDescent="0.25">
      <c r="G2" s="12" t="s">
        <v>0</v>
      </c>
    </row>
    <row r="3" spans="2:28" ht="15.75" customHeight="1" x14ac:dyDescent="0.25">
      <c r="G3" s="12" t="s">
        <v>1</v>
      </c>
    </row>
    <row r="4" spans="2:28" ht="15.75" customHeight="1" x14ac:dyDescent="0.3">
      <c r="G4" s="13" t="s">
        <v>2</v>
      </c>
      <c r="N4" s="14" t="s">
        <v>3</v>
      </c>
    </row>
    <row r="5" spans="2:28" ht="18.75" customHeight="1" x14ac:dyDescent="0.3">
      <c r="C5" s="48" t="s">
        <v>41</v>
      </c>
      <c r="D5" s="44"/>
      <c r="E5" s="44"/>
      <c r="T5" s="26"/>
      <c r="U5" s="26" t="s">
        <v>5</v>
      </c>
      <c r="V5" s="26" t="s">
        <v>6</v>
      </c>
      <c r="W5" s="23"/>
    </row>
    <row r="6" spans="2:28" ht="15.75" customHeight="1" x14ac:dyDescent="0.25">
      <c r="C6" t="s">
        <v>44</v>
      </c>
      <c r="N6" s="6" t="s">
        <v>8</v>
      </c>
      <c r="O6" s="15">
        <f>S6*16.5%</f>
        <v>4125</v>
      </c>
      <c r="P6" s="16" t="s">
        <v>9</v>
      </c>
      <c r="Q6" s="5">
        <f>(S6*8)/100</f>
        <v>2000</v>
      </c>
      <c r="R6" s="8" t="s">
        <v>10</v>
      </c>
      <c r="S6" s="5">
        <v>25000</v>
      </c>
      <c r="T6" s="26" t="s">
        <v>11</v>
      </c>
      <c r="U6" s="26">
        <v>0</v>
      </c>
      <c r="V6" s="25">
        <f>U6/30</f>
        <v>0</v>
      </c>
    </row>
    <row r="7" spans="2:28" ht="15.75" customHeight="1" x14ac:dyDescent="0.25">
      <c r="N7" s="6"/>
      <c r="O7" s="15"/>
      <c r="P7" s="16"/>
      <c r="Q7" s="5"/>
      <c r="R7" s="8"/>
      <c r="S7" s="5"/>
      <c r="T7" s="26"/>
      <c r="U7" s="26"/>
      <c r="V7" s="25"/>
    </row>
    <row r="8" spans="2:28" ht="46.5" customHeight="1" x14ac:dyDescent="0.25">
      <c r="B8" s="47" t="s">
        <v>12</v>
      </c>
      <c r="C8" s="40" t="s">
        <v>13</v>
      </c>
      <c r="D8" s="41"/>
      <c r="E8" s="41"/>
      <c r="F8" s="41"/>
      <c r="G8" s="41"/>
      <c r="H8" s="41"/>
      <c r="I8" s="42"/>
      <c r="J8" s="40" t="s">
        <v>14</v>
      </c>
      <c r="K8" s="41"/>
      <c r="L8" s="41"/>
      <c r="M8" s="42"/>
      <c r="N8" s="40" t="s">
        <v>15</v>
      </c>
      <c r="O8" s="41"/>
      <c r="P8" s="42"/>
      <c r="Q8" s="45" t="s">
        <v>16</v>
      </c>
      <c r="R8" s="40" t="s">
        <v>17</v>
      </c>
      <c r="S8" s="41"/>
      <c r="T8" s="42"/>
      <c r="U8" s="40" t="s">
        <v>18</v>
      </c>
      <c r="V8" s="41"/>
      <c r="W8" s="42"/>
      <c r="X8" s="40" t="s">
        <v>19</v>
      </c>
      <c r="Y8" s="41"/>
      <c r="Z8" s="41"/>
      <c r="AA8" s="42"/>
      <c r="AB8" s="45" t="s">
        <v>20</v>
      </c>
    </row>
    <row r="9" spans="2:28" ht="30" customHeight="1" x14ac:dyDescent="0.25">
      <c r="B9" s="46"/>
      <c r="C9" s="38" t="s">
        <v>21</v>
      </c>
      <c r="D9" s="38" t="s">
        <v>22</v>
      </c>
      <c r="E9" s="38" t="s">
        <v>23</v>
      </c>
      <c r="F9" s="38" t="s">
        <v>24</v>
      </c>
      <c r="G9" s="38" t="s">
        <v>25</v>
      </c>
      <c r="H9" s="38" t="s">
        <v>26</v>
      </c>
      <c r="I9" s="38" t="s">
        <v>27</v>
      </c>
      <c r="J9" s="38" t="s">
        <v>21</v>
      </c>
      <c r="K9" s="38" t="s">
        <v>22</v>
      </c>
      <c r="L9" s="38" t="s">
        <v>23</v>
      </c>
      <c r="M9" s="38" t="s">
        <v>27</v>
      </c>
      <c r="N9" s="38" t="s">
        <v>28</v>
      </c>
      <c r="O9" s="38" t="s">
        <v>29</v>
      </c>
      <c r="P9" s="38" t="s">
        <v>30</v>
      </c>
      <c r="Q9" s="46"/>
      <c r="R9" s="9" t="s">
        <v>31</v>
      </c>
      <c r="S9" s="38" t="s">
        <v>32</v>
      </c>
      <c r="T9" s="38" t="s">
        <v>30</v>
      </c>
      <c r="U9" s="38" t="s">
        <v>28</v>
      </c>
      <c r="V9" s="38" t="s">
        <v>29</v>
      </c>
      <c r="W9" s="38" t="s">
        <v>30</v>
      </c>
      <c r="X9" s="38" t="s">
        <v>31</v>
      </c>
      <c r="Y9" s="38" t="s">
        <v>32</v>
      </c>
      <c r="Z9" s="17" t="s">
        <v>33</v>
      </c>
      <c r="AA9" s="38" t="s">
        <v>34</v>
      </c>
      <c r="AB9" s="46"/>
    </row>
    <row r="10" spans="2:28" x14ac:dyDescent="0.25">
      <c r="B10" s="18"/>
      <c r="C10" s="2">
        <v>1</v>
      </c>
      <c r="D10" s="2">
        <v>2</v>
      </c>
      <c r="E10" s="2">
        <v>3</v>
      </c>
      <c r="F10" s="2"/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10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</row>
    <row r="11" spans="2:28" ht="18" customHeight="1" x14ac:dyDescent="0.25">
      <c r="B11" s="27"/>
      <c r="C11" s="27"/>
      <c r="D11" s="27"/>
      <c r="E11" s="27"/>
      <c r="F11" s="29"/>
      <c r="G11" s="30"/>
      <c r="H11" s="28"/>
      <c r="I11" s="28"/>
      <c r="J11" s="31"/>
      <c r="K11" s="31"/>
      <c r="L11" s="31"/>
      <c r="M11" s="31"/>
      <c r="N11" s="32"/>
      <c r="O11" s="33"/>
      <c r="P11" s="32"/>
      <c r="Q11" s="32"/>
      <c r="R11" s="37"/>
      <c r="S11" s="31"/>
      <c r="T11" s="28"/>
      <c r="U11" s="28"/>
      <c r="V11" s="28"/>
      <c r="W11" s="28"/>
      <c r="X11" s="28"/>
      <c r="Y11" s="28"/>
      <c r="Z11" s="28"/>
      <c r="AA11" s="34"/>
      <c r="AB11" s="35"/>
    </row>
    <row r="12" spans="2:28" ht="18" customHeight="1" x14ac:dyDescent="0.25">
      <c r="B12" s="27">
        <v>30</v>
      </c>
      <c r="C12" s="32">
        <f>C13+214</f>
        <v>283379</v>
      </c>
      <c r="D12" s="32">
        <f>D13+114</f>
        <v>598023</v>
      </c>
      <c r="E12" s="32">
        <f>E13+10</f>
        <v>145074</v>
      </c>
      <c r="F12" s="29">
        <f t="shared" ref="F12" si="0">C12+D12+E12</f>
        <v>1026476</v>
      </c>
      <c r="G12" s="30">
        <f t="shared" ref="G12:G41" si="1">(C13+D13+E13)+((S12/24)*7.5)</f>
        <v>1026243.625</v>
      </c>
      <c r="H12" s="28">
        <f t="shared" ref="H12:H41" si="2">G12+((K12/12)*2.5)</f>
        <v>1026267.375</v>
      </c>
      <c r="I12" s="32">
        <f>I13+212</f>
        <v>718278</v>
      </c>
      <c r="J12" s="31">
        <f t="shared" ref="J12:L27" si="3">C12-C13</f>
        <v>214</v>
      </c>
      <c r="K12" s="31">
        <f t="shared" si="3"/>
        <v>114</v>
      </c>
      <c r="L12" s="31">
        <f t="shared" si="3"/>
        <v>10</v>
      </c>
      <c r="M12" s="31">
        <f t="shared" ref="M12:M41" si="4">I12-I13</f>
        <v>212</v>
      </c>
      <c r="N12" s="32">
        <f t="shared" ref="N12:N41" si="5">N13</f>
        <v>133.06451612903226</v>
      </c>
      <c r="O12" s="33">
        <f t="shared" ref="O12:O41" si="6">L12</f>
        <v>10</v>
      </c>
      <c r="P12" s="32">
        <f t="shared" ref="P12:P41" si="7">N12-O12</f>
        <v>123.06451612903226</v>
      </c>
      <c r="Q12" s="32">
        <f t="shared" ref="Q12:Q41" si="8">H12-G12</f>
        <v>23.75</v>
      </c>
      <c r="R12" s="28">
        <f t="shared" ref="R12:R40" si="9">R13</f>
        <v>806.45161290322585</v>
      </c>
      <c r="S12" s="31">
        <f t="shared" ref="S12:S39" si="10">J12+K12+L12</f>
        <v>338</v>
      </c>
      <c r="T12" s="28">
        <f t="shared" ref="T12:T41" si="11">R12-S12</f>
        <v>468.45161290322585</v>
      </c>
      <c r="U12" s="28">
        <f t="shared" ref="U12:V27" si="12">U13+N12</f>
        <v>3991.9354838709664</v>
      </c>
      <c r="V12" s="28">
        <f t="shared" si="12"/>
        <v>2082</v>
      </c>
      <c r="W12" s="28">
        <f t="shared" ref="W12:W41" si="13">U12-V12</f>
        <v>1909.9354838709664</v>
      </c>
      <c r="X12" s="28">
        <f t="shared" ref="X12:Y27" si="14">X13+R12</f>
        <v>24193.548387096784</v>
      </c>
      <c r="Y12" s="28">
        <f t="shared" si="14"/>
        <v>14962</v>
      </c>
      <c r="Z12" s="28">
        <f t="shared" ref="Z12:Z41" si="15">X12-Y12</f>
        <v>9231.5483870967837</v>
      </c>
      <c r="AA12" s="34">
        <f t="shared" ref="AA12:AA41" si="16">COS(ATAN(M12/S12))</f>
        <v>0.84715238348320165</v>
      </c>
      <c r="AB12" s="35"/>
    </row>
    <row r="13" spans="2:28" ht="18" customHeight="1" x14ac:dyDescent="0.25">
      <c r="B13" s="27">
        <v>29</v>
      </c>
      <c r="C13" s="32">
        <f>C14+210</f>
        <v>283165</v>
      </c>
      <c r="D13" s="32">
        <f>D14+190</f>
        <v>597909</v>
      </c>
      <c r="E13" s="32">
        <f>E14+8</f>
        <v>145064</v>
      </c>
      <c r="F13" s="29">
        <f>C13+D13+E13</f>
        <v>1026138</v>
      </c>
      <c r="G13" s="30">
        <f t="shared" si="1"/>
        <v>1025857.5</v>
      </c>
      <c r="H13" s="28">
        <f t="shared" si="2"/>
        <v>1025897.0833333334</v>
      </c>
      <c r="I13" s="32">
        <f>I14+209</f>
        <v>718066</v>
      </c>
      <c r="J13" s="31">
        <f t="shared" si="3"/>
        <v>210</v>
      </c>
      <c r="K13" s="31">
        <f t="shared" si="3"/>
        <v>190</v>
      </c>
      <c r="L13" s="31">
        <f t="shared" si="3"/>
        <v>8</v>
      </c>
      <c r="M13" s="31">
        <f t="shared" si="4"/>
        <v>209</v>
      </c>
      <c r="N13" s="32">
        <f t="shared" si="5"/>
        <v>133.06451612903226</v>
      </c>
      <c r="O13" s="33">
        <f t="shared" si="6"/>
        <v>8</v>
      </c>
      <c r="P13" s="32">
        <f t="shared" si="7"/>
        <v>125.06451612903226</v>
      </c>
      <c r="Q13" s="32">
        <f t="shared" si="8"/>
        <v>39.583333333372138</v>
      </c>
      <c r="R13" s="28">
        <f t="shared" si="9"/>
        <v>806.45161290322585</v>
      </c>
      <c r="S13" s="31">
        <f t="shared" si="10"/>
        <v>408</v>
      </c>
      <c r="T13" s="28">
        <f t="shared" si="11"/>
        <v>398.45161290322585</v>
      </c>
      <c r="U13" s="28">
        <f t="shared" si="12"/>
        <v>3858.8709677419342</v>
      </c>
      <c r="V13" s="28">
        <f t="shared" si="12"/>
        <v>2072</v>
      </c>
      <c r="W13" s="28">
        <f t="shared" si="13"/>
        <v>1786.8709677419342</v>
      </c>
      <c r="X13" s="28">
        <f t="shared" si="14"/>
        <v>23387.096774193556</v>
      </c>
      <c r="Y13" s="28">
        <f t="shared" si="14"/>
        <v>14624</v>
      </c>
      <c r="Z13" s="28">
        <f t="shared" si="15"/>
        <v>8763.0967741935565</v>
      </c>
      <c r="AA13" s="34">
        <f t="shared" si="16"/>
        <v>0.89002177576251562</v>
      </c>
      <c r="AB13" s="35"/>
    </row>
    <row r="14" spans="2:28" ht="18" customHeight="1" x14ac:dyDescent="0.25">
      <c r="B14" s="27">
        <v>28</v>
      </c>
      <c r="C14" s="32">
        <v>282955</v>
      </c>
      <c r="D14" s="32">
        <v>597719</v>
      </c>
      <c r="E14" s="32">
        <f>144997+59</f>
        <v>145056</v>
      </c>
      <c r="F14" s="29">
        <f t="shared" ref="F14:F41" si="17">C14+D14+E14</f>
        <v>1025730</v>
      </c>
      <c r="G14" s="30">
        <f t="shared" si="1"/>
        <v>1025404.8125</v>
      </c>
      <c r="H14" s="28">
        <f t="shared" si="2"/>
        <v>1025451.0625</v>
      </c>
      <c r="I14" s="32">
        <v>717857</v>
      </c>
      <c r="J14" s="31">
        <f t="shared" si="3"/>
        <v>186</v>
      </c>
      <c r="K14" s="31">
        <f t="shared" si="3"/>
        <v>222</v>
      </c>
      <c r="L14" s="31">
        <f t="shared" si="3"/>
        <v>65</v>
      </c>
      <c r="M14" s="31">
        <f t="shared" si="4"/>
        <v>294</v>
      </c>
      <c r="N14" s="32">
        <f t="shared" si="5"/>
        <v>133.06451612903226</v>
      </c>
      <c r="O14" s="33">
        <f t="shared" si="6"/>
        <v>65</v>
      </c>
      <c r="P14" s="32">
        <f t="shared" si="7"/>
        <v>68.064516129032256</v>
      </c>
      <c r="Q14" s="32">
        <f t="shared" si="8"/>
        <v>46.25</v>
      </c>
      <c r="R14" s="28">
        <f t="shared" si="9"/>
        <v>806.45161290322585</v>
      </c>
      <c r="S14" s="31">
        <f t="shared" si="10"/>
        <v>473</v>
      </c>
      <c r="T14" s="28">
        <f t="shared" si="11"/>
        <v>333.45161290322585</v>
      </c>
      <c r="U14" s="28">
        <f t="shared" si="12"/>
        <v>3725.806451612902</v>
      </c>
      <c r="V14" s="28">
        <f t="shared" si="12"/>
        <v>2064</v>
      </c>
      <c r="W14" s="28">
        <f t="shared" si="13"/>
        <v>1661.806451612902</v>
      </c>
      <c r="X14" s="28">
        <f t="shared" si="14"/>
        <v>22580.645161290329</v>
      </c>
      <c r="Y14" s="28">
        <f t="shared" si="14"/>
        <v>14216</v>
      </c>
      <c r="Z14" s="28">
        <f t="shared" si="15"/>
        <v>8364.6451612903293</v>
      </c>
      <c r="AA14" s="34">
        <f t="shared" si="16"/>
        <v>0.8493070833823968</v>
      </c>
      <c r="AB14" s="35"/>
    </row>
    <row r="15" spans="2:28" ht="18" customHeight="1" x14ac:dyDescent="0.25">
      <c r="B15" s="27">
        <v>27</v>
      </c>
      <c r="C15" s="32">
        <f>C16+184</f>
        <v>282769</v>
      </c>
      <c r="D15" s="32">
        <f t="shared" ref="D15" si="18">D16+220</f>
        <v>597497</v>
      </c>
      <c r="E15" s="32">
        <f>E16+69</f>
        <v>144991</v>
      </c>
      <c r="F15" s="29">
        <f t="shared" si="17"/>
        <v>1025257</v>
      </c>
      <c r="G15" s="30">
        <f t="shared" si="1"/>
        <v>1024931.8125</v>
      </c>
      <c r="H15" s="28">
        <f t="shared" si="2"/>
        <v>1024977.6458333334</v>
      </c>
      <c r="I15" s="32">
        <f>I16+296</f>
        <v>717563</v>
      </c>
      <c r="J15" s="31">
        <f t="shared" si="3"/>
        <v>184</v>
      </c>
      <c r="K15" s="31">
        <f t="shared" si="3"/>
        <v>220</v>
      </c>
      <c r="L15" s="31">
        <f t="shared" si="3"/>
        <v>69</v>
      </c>
      <c r="M15" s="31">
        <f t="shared" si="4"/>
        <v>296</v>
      </c>
      <c r="N15" s="32">
        <f t="shared" si="5"/>
        <v>133.06451612903226</v>
      </c>
      <c r="O15" s="33">
        <f t="shared" si="6"/>
        <v>69</v>
      </c>
      <c r="P15" s="32">
        <f t="shared" si="7"/>
        <v>64.064516129032256</v>
      </c>
      <c r="Q15" s="32">
        <f t="shared" si="8"/>
        <v>45.833333333372138</v>
      </c>
      <c r="R15" s="28">
        <f t="shared" si="9"/>
        <v>806.45161290322585</v>
      </c>
      <c r="S15" s="31">
        <f t="shared" si="10"/>
        <v>473</v>
      </c>
      <c r="T15" s="28">
        <f t="shared" si="11"/>
        <v>333.45161290322585</v>
      </c>
      <c r="U15" s="28">
        <f t="shared" si="12"/>
        <v>3592.7419354838698</v>
      </c>
      <c r="V15" s="28">
        <f t="shared" si="12"/>
        <v>1999</v>
      </c>
      <c r="W15" s="28">
        <f t="shared" si="13"/>
        <v>1593.7419354838698</v>
      </c>
      <c r="X15" s="28">
        <f t="shared" si="14"/>
        <v>21774.193548387102</v>
      </c>
      <c r="Y15" s="28">
        <f t="shared" si="14"/>
        <v>13743</v>
      </c>
      <c r="Z15" s="28">
        <f t="shared" si="15"/>
        <v>8031.1935483871021</v>
      </c>
      <c r="AA15" s="34">
        <f t="shared" si="16"/>
        <v>0.84769611527329025</v>
      </c>
      <c r="AB15" s="35"/>
    </row>
    <row r="16" spans="2:28" ht="18" customHeight="1" x14ac:dyDescent="0.25">
      <c r="B16" s="49">
        <v>26</v>
      </c>
      <c r="C16" s="32">
        <f>C17+191</f>
        <v>282585</v>
      </c>
      <c r="D16" s="32">
        <f>D17+228</f>
        <v>597277</v>
      </c>
      <c r="E16" s="32">
        <f>E17+64</f>
        <v>144922</v>
      </c>
      <c r="F16" s="50">
        <f t="shared" si="17"/>
        <v>1024784</v>
      </c>
      <c r="G16" s="51">
        <f t="shared" si="1"/>
        <v>1024451.9375</v>
      </c>
      <c r="H16" s="52">
        <f t="shared" si="2"/>
        <v>1024499.4375</v>
      </c>
      <c r="I16" s="32">
        <f>I17+290</f>
        <v>717267</v>
      </c>
      <c r="J16" s="53">
        <f t="shared" si="3"/>
        <v>191</v>
      </c>
      <c r="K16" s="53">
        <f t="shared" si="3"/>
        <v>228</v>
      </c>
      <c r="L16" s="53">
        <f t="shared" si="3"/>
        <v>64</v>
      </c>
      <c r="M16" s="53">
        <f t="shared" si="4"/>
        <v>290</v>
      </c>
      <c r="N16" s="54">
        <f>N17</f>
        <v>133.06451612903226</v>
      </c>
      <c r="O16" s="55">
        <f t="shared" si="6"/>
        <v>64</v>
      </c>
      <c r="P16" s="54">
        <f t="shared" si="7"/>
        <v>69.064516129032256</v>
      </c>
      <c r="Q16" s="54">
        <f t="shared" si="8"/>
        <v>47.5</v>
      </c>
      <c r="R16" s="52">
        <f>R17</f>
        <v>806.45161290322585</v>
      </c>
      <c r="S16" s="53">
        <f t="shared" si="10"/>
        <v>483</v>
      </c>
      <c r="T16" s="52">
        <f t="shared" si="11"/>
        <v>323.45161290322585</v>
      </c>
      <c r="U16" s="52">
        <f t="shared" si="12"/>
        <v>3459.6774193548376</v>
      </c>
      <c r="V16" s="52">
        <f t="shared" si="12"/>
        <v>1930</v>
      </c>
      <c r="W16" s="52">
        <f t="shared" si="13"/>
        <v>1529.6774193548376</v>
      </c>
      <c r="X16" s="52">
        <f t="shared" si="14"/>
        <v>20967.741935483875</v>
      </c>
      <c r="Y16" s="52">
        <f t="shared" si="14"/>
        <v>13270</v>
      </c>
      <c r="Z16" s="52">
        <f t="shared" si="15"/>
        <v>7697.7419354838748</v>
      </c>
      <c r="AA16" s="56">
        <f t="shared" si="16"/>
        <v>0.85733626627631687</v>
      </c>
      <c r="AB16" s="35"/>
    </row>
    <row r="17" spans="2:28" ht="18" customHeight="1" x14ac:dyDescent="0.25">
      <c r="B17" s="27">
        <v>25</v>
      </c>
      <c r="C17" s="32">
        <f>C18+189</f>
        <v>282394</v>
      </c>
      <c r="D17" s="32">
        <f>D18+222</f>
        <v>597049</v>
      </c>
      <c r="E17" s="32">
        <f t="shared" ref="E17" si="19">E18+52</f>
        <v>144858</v>
      </c>
      <c r="F17" s="29">
        <f t="shared" si="17"/>
        <v>1024301</v>
      </c>
      <c r="G17" s="30">
        <f t="shared" si="1"/>
        <v>1023982.6875</v>
      </c>
      <c r="H17" s="28">
        <f t="shared" si="2"/>
        <v>1024028.9375</v>
      </c>
      <c r="I17" s="32">
        <f>I18+295</f>
        <v>716977</v>
      </c>
      <c r="J17" s="31">
        <f t="shared" si="3"/>
        <v>189</v>
      </c>
      <c r="K17" s="31">
        <f t="shared" si="3"/>
        <v>222</v>
      </c>
      <c r="L17" s="31">
        <f t="shared" si="3"/>
        <v>52</v>
      </c>
      <c r="M17" s="31">
        <f t="shared" si="4"/>
        <v>295</v>
      </c>
      <c r="N17" s="32">
        <f t="shared" si="5"/>
        <v>133.06451612903226</v>
      </c>
      <c r="O17" s="33">
        <f t="shared" si="6"/>
        <v>52</v>
      </c>
      <c r="P17" s="32">
        <f t="shared" si="7"/>
        <v>81.064516129032256</v>
      </c>
      <c r="Q17" s="32">
        <f t="shared" si="8"/>
        <v>46.25</v>
      </c>
      <c r="R17" s="28">
        <f t="shared" si="9"/>
        <v>806.45161290322585</v>
      </c>
      <c r="S17" s="31">
        <f t="shared" si="10"/>
        <v>463</v>
      </c>
      <c r="T17" s="28">
        <f t="shared" si="11"/>
        <v>343.45161290322585</v>
      </c>
      <c r="U17" s="28">
        <f t="shared" si="12"/>
        <v>3326.6129032258054</v>
      </c>
      <c r="V17" s="28">
        <f t="shared" si="12"/>
        <v>1866</v>
      </c>
      <c r="W17" s="28">
        <f t="shared" si="13"/>
        <v>1460.6129032258054</v>
      </c>
      <c r="X17" s="28">
        <f t="shared" si="14"/>
        <v>20161.290322580648</v>
      </c>
      <c r="Y17" s="28">
        <f t="shared" si="14"/>
        <v>12787</v>
      </c>
      <c r="Z17" s="28">
        <f t="shared" si="15"/>
        <v>7374.2903225806476</v>
      </c>
      <c r="AA17" s="34">
        <f t="shared" si="16"/>
        <v>0.8433613418065472</v>
      </c>
      <c r="AB17" s="35"/>
    </row>
    <row r="18" spans="2:28" ht="18" customHeight="1" x14ac:dyDescent="0.25">
      <c r="B18" s="27">
        <v>24</v>
      </c>
      <c r="C18" s="32">
        <f>C19+185</f>
        <v>282205</v>
      </c>
      <c r="D18" s="32">
        <f>D19+219</f>
        <v>596827</v>
      </c>
      <c r="E18" s="32">
        <f>E19+59</f>
        <v>144806</v>
      </c>
      <c r="F18" s="29">
        <f t="shared" si="17"/>
        <v>1023838</v>
      </c>
      <c r="G18" s="30">
        <f t="shared" si="1"/>
        <v>1023519.6875</v>
      </c>
      <c r="H18" s="28">
        <f t="shared" si="2"/>
        <v>1023565.3125</v>
      </c>
      <c r="I18" s="32">
        <f>I19+291</f>
        <v>716682</v>
      </c>
      <c r="J18" s="31">
        <f t="shared" si="3"/>
        <v>185</v>
      </c>
      <c r="K18" s="31">
        <f t="shared" si="3"/>
        <v>219</v>
      </c>
      <c r="L18" s="31">
        <f t="shared" si="3"/>
        <v>59</v>
      </c>
      <c r="M18" s="31">
        <f t="shared" si="4"/>
        <v>291</v>
      </c>
      <c r="N18" s="32">
        <f t="shared" si="5"/>
        <v>133.06451612903226</v>
      </c>
      <c r="O18" s="33">
        <f t="shared" si="6"/>
        <v>59</v>
      </c>
      <c r="P18" s="32">
        <f t="shared" si="7"/>
        <v>74.064516129032256</v>
      </c>
      <c r="Q18" s="32">
        <f t="shared" si="8"/>
        <v>45.625</v>
      </c>
      <c r="R18" s="28">
        <f t="shared" si="9"/>
        <v>806.45161290322585</v>
      </c>
      <c r="S18" s="31">
        <f t="shared" si="10"/>
        <v>463</v>
      </c>
      <c r="T18" s="28">
        <f t="shared" si="11"/>
        <v>343.45161290322585</v>
      </c>
      <c r="U18" s="28">
        <f t="shared" si="12"/>
        <v>3193.5483870967732</v>
      </c>
      <c r="V18" s="28">
        <f t="shared" si="12"/>
        <v>1814</v>
      </c>
      <c r="W18" s="28">
        <f t="shared" si="13"/>
        <v>1379.5483870967732</v>
      </c>
      <c r="X18" s="28">
        <f t="shared" si="14"/>
        <v>19354.83870967742</v>
      </c>
      <c r="Y18" s="28">
        <f t="shared" si="14"/>
        <v>12324</v>
      </c>
      <c r="Z18" s="28">
        <f t="shared" si="15"/>
        <v>7030.8387096774204</v>
      </c>
      <c r="AA18" s="34">
        <f t="shared" si="16"/>
        <v>0.84666008850501107</v>
      </c>
      <c r="AB18" s="35"/>
    </row>
    <row r="19" spans="2:28" ht="18" customHeight="1" x14ac:dyDescent="0.25">
      <c r="B19" s="27">
        <v>23</v>
      </c>
      <c r="C19" s="32">
        <f>C20+187</f>
        <v>282020</v>
      </c>
      <c r="D19" s="32">
        <f>D20+210</f>
        <v>596608</v>
      </c>
      <c r="E19" s="32">
        <f>E20+62</f>
        <v>144747</v>
      </c>
      <c r="F19" s="29">
        <f t="shared" si="17"/>
        <v>1023375</v>
      </c>
      <c r="G19" s="30">
        <f t="shared" si="1"/>
        <v>1023059.4375</v>
      </c>
      <c r="H19" s="28">
        <f t="shared" si="2"/>
        <v>1023103.1875</v>
      </c>
      <c r="I19" s="32">
        <f>I20+293</f>
        <v>716391</v>
      </c>
      <c r="J19" s="31">
        <f t="shared" si="3"/>
        <v>187</v>
      </c>
      <c r="K19" s="31">
        <f t="shared" si="3"/>
        <v>210</v>
      </c>
      <c r="L19" s="31">
        <f t="shared" si="3"/>
        <v>62</v>
      </c>
      <c r="M19" s="31">
        <f t="shared" si="4"/>
        <v>293</v>
      </c>
      <c r="N19" s="32">
        <f t="shared" si="5"/>
        <v>133.06451612903226</v>
      </c>
      <c r="O19" s="27">
        <f t="shared" si="6"/>
        <v>62</v>
      </c>
      <c r="P19" s="32">
        <f t="shared" si="7"/>
        <v>71.064516129032256</v>
      </c>
      <c r="Q19" s="32">
        <f t="shared" si="8"/>
        <v>43.75</v>
      </c>
      <c r="R19" s="28">
        <f t="shared" si="9"/>
        <v>806.45161290322585</v>
      </c>
      <c r="S19" s="31">
        <f t="shared" si="10"/>
        <v>459</v>
      </c>
      <c r="T19" s="28">
        <f t="shared" si="11"/>
        <v>347.45161290322585</v>
      </c>
      <c r="U19" s="28">
        <f t="shared" si="12"/>
        <v>3060.483870967741</v>
      </c>
      <c r="V19" s="28">
        <f t="shared" si="12"/>
        <v>1755</v>
      </c>
      <c r="W19" s="28">
        <f t="shared" si="13"/>
        <v>1305.483870967741</v>
      </c>
      <c r="X19" s="28">
        <f t="shared" si="14"/>
        <v>18548.387096774193</v>
      </c>
      <c r="Y19" s="28">
        <f t="shared" si="14"/>
        <v>11861</v>
      </c>
      <c r="Z19" s="28">
        <f t="shared" si="15"/>
        <v>6687.3870967741932</v>
      </c>
      <c r="AA19" s="34">
        <f t="shared" si="16"/>
        <v>0.84290448901857318</v>
      </c>
      <c r="AB19" s="1"/>
    </row>
    <row r="20" spans="2:28" ht="18" customHeight="1" x14ac:dyDescent="0.25">
      <c r="B20" s="27">
        <v>22</v>
      </c>
      <c r="C20" s="32">
        <v>281833</v>
      </c>
      <c r="D20" s="32">
        <v>596398</v>
      </c>
      <c r="E20" s="32">
        <v>144685</v>
      </c>
      <c r="F20" s="29">
        <f t="shared" si="17"/>
        <v>1022916</v>
      </c>
      <c r="G20" s="30">
        <f t="shared" si="1"/>
        <v>1022592.1875</v>
      </c>
      <c r="H20" s="28">
        <f t="shared" si="2"/>
        <v>1022635.1041666666</v>
      </c>
      <c r="I20" s="32">
        <v>716098</v>
      </c>
      <c r="J20" s="31">
        <f t="shared" si="3"/>
        <v>190</v>
      </c>
      <c r="K20" s="31">
        <f t="shared" si="3"/>
        <v>206</v>
      </c>
      <c r="L20" s="31">
        <f t="shared" si="3"/>
        <v>75</v>
      </c>
      <c r="M20" s="31">
        <f t="shared" si="4"/>
        <v>310</v>
      </c>
      <c r="N20" s="32">
        <f t="shared" si="5"/>
        <v>133.06451612903226</v>
      </c>
      <c r="O20" s="27">
        <f t="shared" si="6"/>
        <v>75</v>
      </c>
      <c r="P20" s="32">
        <f t="shared" si="7"/>
        <v>58.064516129032256</v>
      </c>
      <c r="Q20" s="32">
        <f t="shared" si="8"/>
        <v>42.916666666627862</v>
      </c>
      <c r="R20" s="28">
        <f t="shared" si="9"/>
        <v>806.45161290322585</v>
      </c>
      <c r="S20" s="31">
        <f t="shared" si="10"/>
        <v>471</v>
      </c>
      <c r="T20" s="28">
        <f t="shared" si="11"/>
        <v>335.45161290322585</v>
      </c>
      <c r="U20" s="28">
        <f t="shared" si="12"/>
        <v>2927.4193548387088</v>
      </c>
      <c r="V20" s="28">
        <f t="shared" si="12"/>
        <v>1693</v>
      </c>
      <c r="W20" s="28">
        <f t="shared" si="13"/>
        <v>1234.4193548387088</v>
      </c>
      <c r="X20" s="28">
        <f t="shared" si="14"/>
        <v>17741.935483870966</v>
      </c>
      <c r="Y20" s="28">
        <f t="shared" si="14"/>
        <v>11402</v>
      </c>
      <c r="Z20" s="28">
        <f t="shared" si="15"/>
        <v>6339.935483870966</v>
      </c>
      <c r="AA20" s="34">
        <f t="shared" si="16"/>
        <v>0.83530992029719064</v>
      </c>
      <c r="AB20" s="1"/>
    </row>
    <row r="21" spans="2:28" ht="18" customHeight="1" x14ac:dyDescent="0.25">
      <c r="B21" s="27">
        <v>21</v>
      </c>
      <c r="C21" s="32">
        <f>C22+191</f>
        <v>281643</v>
      </c>
      <c r="D21" s="32">
        <f>D22+213</f>
        <v>596192</v>
      </c>
      <c r="E21" s="32">
        <f>E22+70</f>
        <v>144610</v>
      </c>
      <c r="F21" s="29">
        <f t="shared" si="17"/>
        <v>1022445</v>
      </c>
      <c r="G21" s="30">
        <f t="shared" si="1"/>
        <v>1022119.125</v>
      </c>
      <c r="H21" s="28">
        <f t="shared" si="2"/>
        <v>1022163.5</v>
      </c>
      <c r="I21" s="32">
        <f>I22+290</f>
        <v>715788</v>
      </c>
      <c r="J21" s="31">
        <f t="shared" si="3"/>
        <v>191</v>
      </c>
      <c r="K21" s="31">
        <f t="shared" si="3"/>
        <v>213</v>
      </c>
      <c r="L21" s="31">
        <f t="shared" si="3"/>
        <v>70</v>
      </c>
      <c r="M21" s="31">
        <f t="shared" si="4"/>
        <v>290</v>
      </c>
      <c r="N21" s="32">
        <f t="shared" si="5"/>
        <v>133.06451612903226</v>
      </c>
      <c r="O21" s="27">
        <f t="shared" si="6"/>
        <v>70</v>
      </c>
      <c r="P21" s="32">
        <f t="shared" si="7"/>
        <v>63.064516129032256</v>
      </c>
      <c r="Q21" s="32">
        <f t="shared" si="8"/>
        <v>44.375</v>
      </c>
      <c r="R21" s="28">
        <f t="shared" si="9"/>
        <v>806.45161290322585</v>
      </c>
      <c r="S21" s="31">
        <f t="shared" si="10"/>
        <v>474</v>
      </c>
      <c r="T21" s="28">
        <f t="shared" si="11"/>
        <v>332.45161290322585</v>
      </c>
      <c r="U21" s="28">
        <f t="shared" si="12"/>
        <v>2794.3548387096766</v>
      </c>
      <c r="V21" s="28">
        <f t="shared" si="12"/>
        <v>1618</v>
      </c>
      <c r="W21" s="28">
        <f t="shared" si="13"/>
        <v>1176.3548387096766</v>
      </c>
      <c r="X21" s="28">
        <f t="shared" si="14"/>
        <v>16935.483870967739</v>
      </c>
      <c r="Y21" s="28">
        <f t="shared" si="14"/>
        <v>10931</v>
      </c>
      <c r="Z21" s="28">
        <f t="shared" si="15"/>
        <v>6004.4838709677388</v>
      </c>
      <c r="AA21" s="34">
        <f t="shared" si="16"/>
        <v>0.85301481352534902</v>
      </c>
      <c r="AB21" s="1"/>
    </row>
    <row r="22" spans="2:28" ht="18" customHeight="1" x14ac:dyDescent="0.25">
      <c r="B22" s="27">
        <v>20</v>
      </c>
      <c r="C22" s="32">
        <f>C23+193</f>
        <v>281452</v>
      </c>
      <c r="D22" s="32">
        <f>D23+214</f>
        <v>595979</v>
      </c>
      <c r="E22" s="32">
        <f>E23+62</f>
        <v>144540</v>
      </c>
      <c r="F22" s="29">
        <f t="shared" si="17"/>
        <v>1021971</v>
      </c>
      <c r="G22" s="30">
        <f t="shared" si="1"/>
        <v>1021648.5625</v>
      </c>
      <c r="H22" s="28">
        <f t="shared" si="2"/>
        <v>1021693.1458333334</v>
      </c>
      <c r="I22" s="32">
        <f t="shared" ref="I22:I26" si="20">I23+304</f>
        <v>715498</v>
      </c>
      <c r="J22" s="31">
        <f t="shared" si="3"/>
        <v>193</v>
      </c>
      <c r="K22" s="31">
        <f t="shared" si="3"/>
        <v>214</v>
      </c>
      <c r="L22" s="31">
        <f t="shared" si="3"/>
        <v>62</v>
      </c>
      <c r="M22" s="31">
        <f t="shared" si="4"/>
        <v>304</v>
      </c>
      <c r="N22" s="32">
        <f t="shared" si="5"/>
        <v>133.06451612903226</v>
      </c>
      <c r="O22" s="27">
        <f t="shared" si="6"/>
        <v>62</v>
      </c>
      <c r="P22" s="32">
        <f t="shared" si="7"/>
        <v>71.064516129032256</v>
      </c>
      <c r="Q22" s="32">
        <f t="shared" si="8"/>
        <v>44.583333333372138</v>
      </c>
      <c r="R22" s="28">
        <f t="shared" si="9"/>
        <v>806.45161290322585</v>
      </c>
      <c r="S22" s="31">
        <f t="shared" si="10"/>
        <v>469</v>
      </c>
      <c r="T22" s="28">
        <f t="shared" si="11"/>
        <v>337.45161290322585</v>
      </c>
      <c r="U22" s="28">
        <f t="shared" si="12"/>
        <v>2661.2903225806444</v>
      </c>
      <c r="V22" s="28">
        <f t="shared" si="12"/>
        <v>1548</v>
      </c>
      <c r="W22" s="28">
        <f t="shared" si="13"/>
        <v>1113.2903225806444</v>
      </c>
      <c r="X22" s="28">
        <f t="shared" si="14"/>
        <v>16129.032258064512</v>
      </c>
      <c r="Y22" s="28">
        <f t="shared" si="14"/>
        <v>10457</v>
      </c>
      <c r="Z22" s="28">
        <f t="shared" si="15"/>
        <v>5672.0322580645116</v>
      </c>
      <c r="AA22" s="34">
        <f t="shared" si="16"/>
        <v>0.83913786374270993</v>
      </c>
      <c r="AB22" s="1"/>
    </row>
    <row r="23" spans="2:28" ht="18" customHeight="1" x14ac:dyDescent="0.25">
      <c r="B23" s="27">
        <v>19</v>
      </c>
      <c r="C23" s="32">
        <f>C24+197</f>
        <v>281259</v>
      </c>
      <c r="D23" s="32">
        <f>D24+211</f>
        <v>595765</v>
      </c>
      <c r="E23" s="32">
        <f>E24+71</f>
        <v>144478</v>
      </c>
      <c r="F23" s="3">
        <f>C23+D23+E23</f>
        <v>1021502</v>
      </c>
      <c r="G23" s="30">
        <f t="shared" si="1"/>
        <v>1021172.6875</v>
      </c>
      <c r="H23" s="28">
        <f t="shared" si="2"/>
        <v>1021216.6458333334</v>
      </c>
      <c r="I23" s="32">
        <f>I24+302</f>
        <v>715194</v>
      </c>
      <c r="J23" s="31">
        <f t="shared" si="3"/>
        <v>197</v>
      </c>
      <c r="K23" s="31">
        <f t="shared" si="3"/>
        <v>211</v>
      </c>
      <c r="L23" s="31">
        <f t="shared" si="3"/>
        <v>71</v>
      </c>
      <c r="M23" s="31">
        <f t="shared" si="4"/>
        <v>302</v>
      </c>
      <c r="N23" s="32">
        <f t="shared" si="5"/>
        <v>133.06451612903226</v>
      </c>
      <c r="O23" s="27">
        <f t="shared" si="6"/>
        <v>71</v>
      </c>
      <c r="P23" s="32">
        <f t="shared" si="7"/>
        <v>62.064516129032256</v>
      </c>
      <c r="Q23" s="32">
        <f t="shared" si="8"/>
        <v>43.958333333372138</v>
      </c>
      <c r="R23" s="28">
        <f t="shared" si="9"/>
        <v>806.45161290322585</v>
      </c>
      <c r="S23" s="31">
        <f t="shared" si="10"/>
        <v>479</v>
      </c>
      <c r="T23" s="28">
        <f t="shared" si="11"/>
        <v>327.45161290322585</v>
      </c>
      <c r="U23" s="28">
        <f t="shared" si="12"/>
        <v>2528.2258064516122</v>
      </c>
      <c r="V23" s="28">
        <f t="shared" si="12"/>
        <v>1486</v>
      </c>
      <c r="W23" s="28">
        <f t="shared" si="13"/>
        <v>1042.2258064516122</v>
      </c>
      <c r="X23" s="28">
        <f t="shared" si="14"/>
        <v>15322.580645161286</v>
      </c>
      <c r="Y23" s="28">
        <f t="shared" si="14"/>
        <v>9988</v>
      </c>
      <c r="Z23" s="28">
        <f t="shared" si="15"/>
        <v>5334.5806451612862</v>
      </c>
      <c r="AA23" s="34">
        <f t="shared" si="16"/>
        <v>0.84590828268596097</v>
      </c>
      <c r="AB23" s="1"/>
    </row>
    <row r="24" spans="2:28" ht="18" customHeight="1" x14ac:dyDescent="0.25">
      <c r="B24" s="27">
        <v>18</v>
      </c>
      <c r="C24" s="32">
        <f>C25+190</f>
        <v>281062</v>
      </c>
      <c r="D24" s="32">
        <f>D25+210</f>
        <v>595554</v>
      </c>
      <c r="E24" s="32">
        <f>E25+67</f>
        <v>144407</v>
      </c>
      <c r="F24" s="29">
        <f t="shared" si="17"/>
        <v>1021023</v>
      </c>
      <c r="G24" s="30">
        <f t="shared" si="1"/>
        <v>1020701.9375</v>
      </c>
      <c r="H24" s="28">
        <f t="shared" si="2"/>
        <v>1020745.6875</v>
      </c>
      <c r="I24" s="32">
        <f>I25+307</f>
        <v>714892</v>
      </c>
      <c r="J24" s="31">
        <f t="shared" si="3"/>
        <v>190</v>
      </c>
      <c r="K24" s="31">
        <f t="shared" si="3"/>
        <v>210</v>
      </c>
      <c r="L24" s="31">
        <f t="shared" si="3"/>
        <v>67</v>
      </c>
      <c r="M24" s="31">
        <f t="shared" si="4"/>
        <v>307</v>
      </c>
      <c r="N24" s="32">
        <f t="shared" si="5"/>
        <v>133.06451612903226</v>
      </c>
      <c r="O24" s="27">
        <f t="shared" si="6"/>
        <v>67</v>
      </c>
      <c r="P24" s="32">
        <f t="shared" si="7"/>
        <v>66.064516129032256</v>
      </c>
      <c r="Q24" s="32">
        <f t="shared" si="8"/>
        <v>43.75</v>
      </c>
      <c r="R24" s="28">
        <f t="shared" si="9"/>
        <v>806.45161290322585</v>
      </c>
      <c r="S24" s="31">
        <f t="shared" si="10"/>
        <v>467</v>
      </c>
      <c r="T24" s="28">
        <f t="shared" si="11"/>
        <v>339.45161290322585</v>
      </c>
      <c r="U24" s="28">
        <f t="shared" si="12"/>
        <v>2395.16129032258</v>
      </c>
      <c r="V24" s="28">
        <f t="shared" si="12"/>
        <v>1415</v>
      </c>
      <c r="W24" s="28">
        <f t="shared" si="13"/>
        <v>980.16129032258004</v>
      </c>
      <c r="X24" s="28">
        <f t="shared" si="14"/>
        <v>14516.129032258061</v>
      </c>
      <c r="Y24" s="28">
        <f t="shared" si="14"/>
        <v>9509</v>
      </c>
      <c r="Z24" s="28">
        <f t="shared" si="15"/>
        <v>5007.1290322580608</v>
      </c>
      <c r="AA24" s="34">
        <f t="shared" si="16"/>
        <v>0.83561161500194081</v>
      </c>
      <c r="AB24" s="1"/>
    </row>
    <row r="25" spans="2:28" ht="18" customHeight="1" x14ac:dyDescent="0.25">
      <c r="B25" s="27">
        <v>17</v>
      </c>
      <c r="C25" s="32">
        <f t="shared" ref="C25" si="21">C26+194</f>
        <v>280872</v>
      </c>
      <c r="D25" s="32">
        <f t="shared" ref="D25" si="22">D26+212</f>
        <v>595344</v>
      </c>
      <c r="E25" s="32">
        <f t="shared" ref="E25" si="23">E26+69</f>
        <v>144340</v>
      </c>
      <c r="F25" s="29">
        <f t="shared" si="17"/>
        <v>1020556</v>
      </c>
      <c r="G25" s="30">
        <f t="shared" si="1"/>
        <v>1020229.4375</v>
      </c>
      <c r="H25" s="28">
        <f t="shared" si="2"/>
        <v>1020273.6041666666</v>
      </c>
      <c r="I25" s="32">
        <f>I26+301</f>
        <v>714585</v>
      </c>
      <c r="J25" s="31">
        <f t="shared" si="3"/>
        <v>194</v>
      </c>
      <c r="K25" s="31">
        <f t="shared" si="3"/>
        <v>212</v>
      </c>
      <c r="L25" s="31">
        <f t="shared" si="3"/>
        <v>69</v>
      </c>
      <c r="M25" s="28">
        <f t="shared" si="4"/>
        <v>301</v>
      </c>
      <c r="N25" s="32">
        <f t="shared" si="5"/>
        <v>133.06451612903226</v>
      </c>
      <c r="O25" s="27">
        <f t="shared" si="6"/>
        <v>69</v>
      </c>
      <c r="P25" s="32">
        <f t="shared" si="7"/>
        <v>64.064516129032256</v>
      </c>
      <c r="Q25" s="32">
        <f t="shared" si="8"/>
        <v>44.166666666627862</v>
      </c>
      <c r="R25" s="28">
        <f t="shared" si="9"/>
        <v>806.45161290322585</v>
      </c>
      <c r="S25" s="31">
        <f t="shared" si="10"/>
        <v>475</v>
      </c>
      <c r="T25" s="28">
        <f t="shared" si="11"/>
        <v>331.45161290322585</v>
      </c>
      <c r="U25" s="28">
        <f t="shared" si="12"/>
        <v>2262.0967741935478</v>
      </c>
      <c r="V25" s="31">
        <f t="shared" si="12"/>
        <v>1348</v>
      </c>
      <c r="W25" s="28">
        <f t="shared" si="13"/>
        <v>914.09677419354784</v>
      </c>
      <c r="X25" s="28">
        <f t="shared" si="14"/>
        <v>13709.677419354835</v>
      </c>
      <c r="Y25" s="28">
        <f t="shared" si="14"/>
        <v>9042</v>
      </c>
      <c r="Z25" s="28">
        <f t="shared" si="15"/>
        <v>4667.6774193548354</v>
      </c>
      <c r="AA25" s="34">
        <f t="shared" si="16"/>
        <v>0.84468507840095874</v>
      </c>
      <c r="AB25" s="1"/>
    </row>
    <row r="26" spans="2:28" ht="18" customHeight="1" x14ac:dyDescent="0.25">
      <c r="B26" s="27">
        <v>16</v>
      </c>
      <c r="C26" s="32">
        <f>C27+198</f>
        <v>280678</v>
      </c>
      <c r="D26" s="32">
        <f>D27+215</f>
        <v>595132</v>
      </c>
      <c r="E26" s="32">
        <f>E27+71</f>
        <v>144271</v>
      </c>
      <c r="F26" s="29">
        <f t="shared" si="17"/>
        <v>1020081</v>
      </c>
      <c r="G26" s="30">
        <f t="shared" si="1"/>
        <v>1019748.25</v>
      </c>
      <c r="H26" s="28">
        <f t="shared" si="2"/>
        <v>1019793.0416666666</v>
      </c>
      <c r="I26" s="32">
        <f t="shared" si="20"/>
        <v>714284</v>
      </c>
      <c r="J26" s="31">
        <f t="shared" si="3"/>
        <v>198</v>
      </c>
      <c r="K26" s="31">
        <f t="shared" si="3"/>
        <v>215</v>
      </c>
      <c r="L26" s="31">
        <f t="shared" si="3"/>
        <v>71</v>
      </c>
      <c r="M26" s="28">
        <f t="shared" si="4"/>
        <v>304</v>
      </c>
      <c r="N26" s="32">
        <f t="shared" si="5"/>
        <v>133.06451612903226</v>
      </c>
      <c r="O26" s="27">
        <f t="shared" si="6"/>
        <v>71</v>
      </c>
      <c r="P26" s="32">
        <f t="shared" si="7"/>
        <v>62.064516129032256</v>
      </c>
      <c r="Q26" s="32">
        <f t="shared" si="8"/>
        <v>44.791666666627862</v>
      </c>
      <c r="R26" s="28">
        <f t="shared" si="9"/>
        <v>806.45161290322585</v>
      </c>
      <c r="S26" s="31">
        <f>J26+K26+L26</f>
        <v>484</v>
      </c>
      <c r="T26" s="28">
        <f t="shared" si="11"/>
        <v>322.45161290322585</v>
      </c>
      <c r="U26" s="28">
        <f t="shared" si="12"/>
        <v>2129.0322580645156</v>
      </c>
      <c r="V26" s="31">
        <f t="shared" si="12"/>
        <v>1279</v>
      </c>
      <c r="W26" s="28">
        <f t="shared" si="13"/>
        <v>850.03225806451564</v>
      </c>
      <c r="X26" s="28">
        <f t="shared" si="14"/>
        <v>12903.22580645161</v>
      </c>
      <c r="Y26" s="28">
        <f t="shared" si="14"/>
        <v>8567</v>
      </c>
      <c r="Z26" s="28">
        <f t="shared" si="15"/>
        <v>4336.22580645161</v>
      </c>
      <c r="AA26" s="34">
        <f t="shared" si="16"/>
        <v>0.84681668402971377</v>
      </c>
      <c r="AB26" s="1"/>
    </row>
    <row r="27" spans="2:28" ht="18" customHeight="1" x14ac:dyDescent="0.25">
      <c r="B27" s="27">
        <v>15</v>
      </c>
      <c r="C27" s="32">
        <f>C28+201</f>
        <v>280480</v>
      </c>
      <c r="D27" s="32">
        <f>D28+218</f>
        <v>594917</v>
      </c>
      <c r="E27" s="32">
        <f>E28+73</f>
        <v>144200</v>
      </c>
      <c r="F27" s="29">
        <f t="shared" si="17"/>
        <v>1019597</v>
      </c>
      <c r="G27" s="30">
        <f t="shared" si="1"/>
        <v>1019258.75</v>
      </c>
      <c r="H27" s="28">
        <f t="shared" si="2"/>
        <v>1019304.1666666666</v>
      </c>
      <c r="I27" s="32">
        <f>I28+314</f>
        <v>713980</v>
      </c>
      <c r="J27" s="31">
        <f t="shared" si="3"/>
        <v>201</v>
      </c>
      <c r="K27" s="31">
        <f t="shared" si="3"/>
        <v>218</v>
      </c>
      <c r="L27" s="31">
        <f t="shared" si="3"/>
        <v>73</v>
      </c>
      <c r="M27" s="28">
        <f t="shared" si="4"/>
        <v>314</v>
      </c>
      <c r="N27" s="32">
        <f t="shared" si="5"/>
        <v>133.06451612903226</v>
      </c>
      <c r="O27" s="27">
        <f t="shared" si="6"/>
        <v>73</v>
      </c>
      <c r="P27" s="32">
        <f t="shared" si="7"/>
        <v>60.064516129032256</v>
      </c>
      <c r="Q27" s="32">
        <f t="shared" si="8"/>
        <v>45.416666666627862</v>
      </c>
      <c r="R27" s="28">
        <f t="shared" si="9"/>
        <v>806.45161290322585</v>
      </c>
      <c r="S27" s="31">
        <f t="shared" si="10"/>
        <v>492</v>
      </c>
      <c r="T27" s="28">
        <f t="shared" si="11"/>
        <v>314.45161290322585</v>
      </c>
      <c r="U27" s="28">
        <f t="shared" si="12"/>
        <v>1995.9677419354832</v>
      </c>
      <c r="V27" s="31">
        <f t="shared" si="12"/>
        <v>1208</v>
      </c>
      <c r="W27" s="28">
        <f t="shared" si="13"/>
        <v>787.96774193548322</v>
      </c>
      <c r="X27" s="28">
        <f t="shared" si="14"/>
        <v>12096.774193548385</v>
      </c>
      <c r="Y27" s="28">
        <f t="shared" si="14"/>
        <v>8083</v>
      </c>
      <c r="Z27" s="28">
        <f t="shared" si="15"/>
        <v>4013.7741935483846</v>
      </c>
      <c r="AA27" s="34">
        <f t="shared" si="16"/>
        <v>0.84295527309472851</v>
      </c>
      <c r="AB27" s="1"/>
    </row>
    <row r="28" spans="2:28" ht="18" customHeight="1" x14ac:dyDescent="0.25">
      <c r="B28" s="27">
        <v>14</v>
      </c>
      <c r="C28" s="32">
        <f>C29+213</f>
        <v>280279</v>
      </c>
      <c r="D28" s="32">
        <f>D29+327</f>
        <v>594699</v>
      </c>
      <c r="E28" s="32">
        <f>E29+92</f>
        <v>144127</v>
      </c>
      <c r="F28" s="29">
        <f t="shared" si="17"/>
        <v>1019105</v>
      </c>
      <c r="G28" s="30">
        <f t="shared" si="1"/>
        <v>1018670.5</v>
      </c>
      <c r="H28" s="28">
        <f t="shared" si="2"/>
        <v>1018738.625</v>
      </c>
      <c r="I28" s="32">
        <f>I29+385</f>
        <v>713666</v>
      </c>
      <c r="J28" s="31">
        <f t="shared" ref="J28:L42" si="24">C28-C29</f>
        <v>213</v>
      </c>
      <c r="K28" s="31">
        <f t="shared" si="24"/>
        <v>327</v>
      </c>
      <c r="L28" s="31">
        <f t="shared" si="24"/>
        <v>92</v>
      </c>
      <c r="M28" s="28">
        <f t="shared" si="4"/>
        <v>385</v>
      </c>
      <c r="N28" s="32">
        <f t="shared" si="5"/>
        <v>133.06451612903226</v>
      </c>
      <c r="O28" s="27">
        <f t="shared" si="6"/>
        <v>92</v>
      </c>
      <c r="P28" s="32">
        <f t="shared" si="7"/>
        <v>41.064516129032256</v>
      </c>
      <c r="Q28" s="32">
        <f t="shared" si="8"/>
        <v>68.125</v>
      </c>
      <c r="R28" s="28">
        <f t="shared" si="9"/>
        <v>806.45161290322585</v>
      </c>
      <c r="S28" s="31">
        <f t="shared" si="10"/>
        <v>632</v>
      </c>
      <c r="T28" s="28">
        <f t="shared" si="11"/>
        <v>174.45161290322585</v>
      </c>
      <c r="U28" s="28">
        <f t="shared" ref="U28:V42" si="25">U29+N28</f>
        <v>1862.903225806451</v>
      </c>
      <c r="V28" s="31">
        <f t="shared" si="25"/>
        <v>1135</v>
      </c>
      <c r="W28" s="28">
        <f t="shared" si="13"/>
        <v>727.90322580645102</v>
      </c>
      <c r="X28" s="28">
        <f t="shared" ref="X28:Y42" si="26">X29+R28</f>
        <v>11290.322580645159</v>
      </c>
      <c r="Y28" s="28">
        <f t="shared" si="26"/>
        <v>7591</v>
      </c>
      <c r="Z28" s="28">
        <f t="shared" si="15"/>
        <v>3699.3225806451592</v>
      </c>
      <c r="AA28" s="34">
        <f t="shared" si="16"/>
        <v>0.85401584565344035</v>
      </c>
      <c r="AB28" s="1"/>
    </row>
    <row r="29" spans="2:28" ht="18" customHeight="1" x14ac:dyDescent="0.25">
      <c r="B29" s="27">
        <v>13</v>
      </c>
      <c r="C29" s="32">
        <v>280066</v>
      </c>
      <c r="D29" s="32">
        <v>594372</v>
      </c>
      <c r="E29" s="32">
        <v>144035</v>
      </c>
      <c r="F29" s="29">
        <f t="shared" si="17"/>
        <v>1018473</v>
      </c>
      <c r="G29" s="30">
        <f t="shared" si="1"/>
        <v>1018027.5</v>
      </c>
      <c r="H29" s="28">
        <f t="shared" si="2"/>
        <v>1018099.375</v>
      </c>
      <c r="I29" s="32">
        <v>713281</v>
      </c>
      <c r="J29" s="31">
        <f t="shared" si="24"/>
        <v>209</v>
      </c>
      <c r="K29" s="31">
        <f t="shared" si="24"/>
        <v>345</v>
      </c>
      <c r="L29" s="31">
        <f t="shared" si="24"/>
        <v>94</v>
      </c>
      <c r="M29" s="31">
        <f t="shared" si="4"/>
        <v>381</v>
      </c>
      <c r="N29" s="32">
        <f t="shared" si="5"/>
        <v>133.06451612903226</v>
      </c>
      <c r="O29" s="27">
        <f t="shared" si="6"/>
        <v>94</v>
      </c>
      <c r="P29" s="32">
        <f t="shared" si="7"/>
        <v>39.064516129032256</v>
      </c>
      <c r="Q29" s="32">
        <f t="shared" si="8"/>
        <v>71.875</v>
      </c>
      <c r="R29" s="28">
        <f t="shared" si="9"/>
        <v>806.45161290322585</v>
      </c>
      <c r="S29" s="31">
        <f t="shared" si="10"/>
        <v>648</v>
      </c>
      <c r="T29" s="28">
        <f t="shared" si="11"/>
        <v>158.45161290322585</v>
      </c>
      <c r="U29" s="28">
        <f t="shared" si="25"/>
        <v>1729.8387096774188</v>
      </c>
      <c r="V29" s="31">
        <f t="shared" si="25"/>
        <v>1043</v>
      </c>
      <c r="W29" s="28">
        <f t="shared" si="13"/>
        <v>686.83870967741882</v>
      </c>
      <c r="X29" s="28">
        <f t="shared" si="26"/>
        <v>10483.870967741934</v>
      </c>
      <c r="Y29" s="28">
        <f t="shared" si="26"/>
        <v>6959</v>
      </c>
      <c r="Z29" s="28">
        <f t="shared" si="15"/>
        <v>3524.8709677419338</v>
      </c>
      <c r="AA29" s="34">
        <f t="shared" si="16"/>
        <v>0.86203679162705049</v>
      </c>
      <c r="AB29" s="1"/>
    </row>
    <row r="30" spans="2:28" ht="18" customHeight="1" x14ac:dyDescent="0.25">
      <c r="B30" s="27">
        <v>12</v>
      </c>
      <c r="C30" s="32">
        <f>C31+207</f>
        <v>279857</v>
      </c>
      <c r="D30" s="32">
        <f>D31+333</f>
        <v>594027</v>
      </c>
      <c r="E30" s="32">
        <f t="shared" ref="E30:E32" si="27">E31+91</f>
        <v>143941</v>
      </c>
      <c r="F30" s="29">
        <f t="shared" si="17"/>
        <v>1017825</v>
      </c>
      <c r="G30" s="30">
        <f t="shared" si="1"/>
        <v>1017391.1875</v>
      </c>
      <c r="H30" s="28">
        <f t="shared" si="2"/>
        <v>1017460.5625</v>
      </c>
      <c r="I30" s="32">
        <f>I31+397</f>
        <v>712900</v>
      </c>
      <c r="J30" s="31">
        <f t="shared" si="24"/>
        <v>207</v>
      </c>
      <c r="K30" s="31">
        <f t="shared" si="24"/>
        <v>333</v>
      </c>
      <c r="L30" s="31">
        <f t="shared" si="24"/>
        <v>91</v>
      </c>
      <c r="M30" s="31">
        <f t="shared" si="4"/>
        <v>397</v>
      </c>
      <c r="N30" s="32">
        <f t="shared" si="5"/>
        <v>133.06451612903226</v>
      </c>
      <c r="O30" s="27">
        <f t="shared" si="6"/>
        <v>91</v>
      </c>
      <c r="P30" s="32">
        <f t="shared" si="7"/>
        <v>42.064516129032256</v>
      </c>
      <c r="Q30" s="32">
        <f t="shared" si="8"/>
        <v>69.375</v>
      </c>
      <c r="R30" s="28">
        <f t="shared" si="9"/>
        <v>806.45161290322585</v>
      </c>
      <c r="S30" s="31">
        <f t="shared" si="10"/>
        <v>631</v>
      </c>
      <c r="T30" s="28">
        <f t="shared" si="11"/>
        <v>175.45161290322585</v>
      </c>
      <c r="U30" s="28">
        <f t="shared" si="25"/>
        <v>1596.7741935483866</v>
      </c>
      <c r="V30" s="31">
        <f t="shared" si="25"/>
        <v>949</v>
      </c>
      <c r="W30" s="28">
        <f t="shared" si="13"/>
        <v>647.77419354838662</v>
      </c>
      <c r="X30" s="28">
        <f t="shared" si="26"/>
        <v>9677.4193548387084</v>
      </c>
      <c r="Y30" s="28">
        <f t="shared" si="26"/>
        <v>6311</v>
      </c>
      <c r="Z30" s="28">
        <f t="shared" si="15"/>
        <v>3366.4193548387084</v>
      </c>
      <c r="AA30" s="34">
        <f t="shared" si="16"/>
        <v>0.8464119945274351</v>
      </c>
      <c r="AB30" s="1"/>
    </row>
    <row r="31" spans="2:28" ht="18" customHeight="1" x14ac:dyDescent="0.25">
      <c r="B31" s="27">
        <v>11</v>
      </c>
      <c r="C31" s="32">
        <f t="shared" ref="C31" si="28">C32+203</f>
        <v>279650</v>
      </c>
      <c r="D31" s="32">
        <f>D32+323</f>
        <v>593694</v>
      </c>
      <c r="E31" s="32">
        <f>E32+95</f>
        <v>143850</v>
      </c>
      <c r="F31" s="29">
        <f>C31+D31+E31</f>
        <v>1017194</v>
      </c>
      <c r="G31" s="30">
        <f t="shared" si="1"/>
        <v>1016767.0625</v>
      </c>
      <c r="H31" s="28">
        <f t="shared" si="2"/>
        <v>1016834.3541666666</v>
      </c>
      <c r="I31" s="32">
        <f>I32+392</f>
        <v>712503</v>
      </c>
      <c r="J31" s="31">
        <f t="shared" si="24"/>
        <v>203</v>
      </c>
      <c r="K31" s="31">
        <f t="shared" si="24"/>
        <v>323</v>
      </c>
      <c r="L31" s="31">
        <f t="shared" si="24"/>
        <v>95</v>
      </c>
      <c r="M31" s="31">
        <f t="shared" si="4"/>
        <v>392</v>
      </c>
      <c r="N31" s="32">
        <f>N32</f>
        <v>133.06451612903226</v>
      </c>
      <c r="O31" s="27">
        <f t="shared" si="6"/>
        <v>95</v>
      </c>
      <c r="P31" s="32">
        <f t="shared" si="7"/>
        <v>38.064516129032256</v>
      </c>
      <c r="Q31" s="32">
        <f t="shared" si="8"/>
        <v>67.291666666627862</v>
      </c>
      <c r="R31" s="28">
        <f t="shared" si="9"/>
        <v>806.45161290322585</v>
      </c>
      <c r="S31" s="31">
        <f t="shared" si="10"/>
        <v>621</v>
      </c>
      <c r="T31" s="28">
        <f t="shared" si="11"/>
        <v>185.45161290322585</v>
      </c>
      <c r="U31" s="28">
        <f t="shared" si="25"/>
        <v>1463.7096774193544</v>
      </c>
      <c r="V31" s="31">
        <f t="shared" si="25"/>
        <v>858</v>
      </c>
      <c r="W31" s="28">
        <f t="shared" si="13"/>
        <v>605.70967741935442</v>
      </c>
      <c r="X31" s="28">
        <f t="shared" si="26"/>
        <v>8870.967741935483</v>
      </c>
      <c r="Y31" s="28">
        <f t="shared" si="26"/>
        <v>5680</v>
      </c>
      <c r="Z31" s="28">
        <f t="shared" si="15"/>
        <v>3190.967741935483</v>
      </c>
      <c r="AA31" s="34">
        <f t="shared" si="16"/>
        <v>0.84561830750551115</v>
      </c>
      <c r="AB31" s="1"/>
    </row>
    <row r="32" spans="2:28" ht="18" customHeight="1" x14ac:dyDescent="0.25">
      <c r="B32" s="27">
        <v>10</v>
      </c>
      <c r="C32" s="32">
        <f>C33+205</f>
        <v>279447</v>
      </c>
      <c r="D32" s="32">
        <f>D33+310</f>
        <v>593371</v>
      </c>
      <c r="E32" s="32">
        <f t="shared" si="27"/>
        <v>143755</v>
      </c>
      <c r="F32" s="29">
        <f>C32+D32+E32</f>
        <v>1016573</v>
      </c>
      <c r="G32" s="30">
        <f t="shared" si="1"/>
        <v>1016156.375</v>
      </c>
      <c r="H32" s="28">
        <f t="shared" si="2"/>
        <v>1016220.9583333334</v>
      </c>
      <c r="I32" s="32">
        <f>I33+377</f>
        <v>712111</v>
      </c>
      <c r="J32" s="31">
        <f t="shared" si="24"/>
        <v>205</v>
      </c>
      <c r="K32" s="31">
        <f t="shared" si="24"/>
        <v>310</v>
      </c>
      <c r="L32" s="31">
        <f t="shared" si="24"/>
        <v>91</v>
      </c>
      <c r="M32" s="31">
        <f t="shared" si="4"/>
        <v>377</v>
      </c>
      <c r="N32" s="32">
        <f t="shared" si="5"/>
        <v>133.06451612903226</v>
      </c>
      <c r="O32" s="27">
        <f t="shared" si="6"/>
        <v>91</v>
      </c>
      <c r="P32" s="32">
        <f t="shared" si="7"/>
        <v>42.064516129032256</v>
      </c>
      <c r="Q32" s="32">
        <f t="shared" si="8"/>
        <v>64.583333333372138</v>
      </c>
      <c r="R32" s="28">
        <f t="shared" si="9"/>
        <v>806.45161290322585</v>
      </c>
      <c r="S32" s="31">
        <f t="shared" si="10"/>
        <v>606</v>
      </c>
      <c r="T32" s="28">
        <f t="shared" si="11"/>
        <v>200.45161290322585</v>
      </c>
      <c r="U32" s="28">
        <f t="shared" si="25"/>
        <v>1330.6451612903222</v>
      </c>
      <c r="V32" s="31">
        <f t="shared" si="25"/>
        <v>763</v>
      </c>
      <c r="W32" s="28">
        <f t="shared" si="13"/>
        <v>567.64516129032222</v>
      </c>
      <c r="X32" s="28">
        <f t="shared" si="26"/>
        <v>8064.5161290322576</v>
      </c>
      <c r="Y32" s="28">
        <f t="shared" si="26"/>
        <v>5059</v>
      </c>
      <c r="Z32" s="28">
        <f t="shared" si="15"/>
        <v>3005.5161290322576</v>
      </c>
      <c r="AA32" s="34">
        <f t="shared" si="16"/>
        <v>0.84909850100423845</v>
      </c>
      <c r="AB32" s="1"/>
    </row>
    <row r="33" spans="2:28" ht="18" customHeight="1" x14ac:dyDescent="0.25">
      <c r="B33" s="27">
        <v>9</v>
      </c>
      <c r="C33" s="32">
        <f>C34+201</f>
        <v>279242</v>
      </c>
      <c r="D33" s="32">
        <f>D34+298</f>
        <v>593061</v>
      </c>
      <c r="E33" s="32">
        <f>E34+90</f>
        <v>143664</v>
      </c>
      <c r="F33" s="29">
        <f t="shared" si="17"/>
        <v>1015967</v>
      </c>
      <c r="G33" s="30">
        <f t="shared" si="1"/>
        <v>1015562.0625</v>
      </c>
      <c r="H33" s="28">
        <f t="shared" si="2"/>
        <v>1015624.1458333334</v>
      </c>
      <c r="I33" s="32">
        <f>I34+396</f>
        <v>711734</v>
      </c>
      <c r="J33" s="31">
        <f t="shared" si="24"/>
        <v>201</v>
      </c>
      <c r="K33" s="31">
        <f t="shared" si="24"/>
        <v>298</v>
      </c>
      <c r="L33" s="31">
        <f t="shared" si="24"/>
        <v>90</v>
      </c>
      <c r="M33" s="31">
        <f t="shared" si="4"/>
        <v>396</v>
      </c>
      <c r="N33" s="32">
        <f t="shared" si="5"/>
        <v>133.06451612903226</v>
      </c>
      <c r="O33" s="27">
        <f t="shared" si="6"/>
        <v>90</v>
      </c>
      <c r="P33" s="32">
        <f t="shared" si="7"/>
        <v>43.064516129032256</v>
      </c>
      <c r="Q33" s="32">
        <f t="shared" si="8"/>
        <v>62.083333333372138</v>
      </c>
      <c r="R33" s="28">
        <f t="shared" si="9"/>
        <v>806.45161290322585</v>
      </c>
      <c r="S33" s="31">
        <f t="shared" si="10"/>
        <v>589</v>
      </c>
      <c r="T33" s="28">
        <f t="shared" si="11"/>
        <v>217.45161290322585</v>
      </c>
      <c r="U33" s="28">
        <f t="shared" si="25"/>
        <v>1197.58064516129</v>
      </c>
      <c r="V33" s="31">
        <f t="shared" si="25"/>
        <v>672</v>
      </c>
      <c r="W33" s="28">
        <f t="shared" si="13"/>
        <v>525.58064516129002</v>
      </c>
      <c r="X33" s="28">
        <f t="shared" si="26"/>
        <v>7258.0645161290322</v>
      </c>
      <c r="Y33" s="28">
        <f t="shared" si="26"/>
        <v>4453</v>
      </c>
      <c r="Z33" s="28">
        <f t="shared" si="15"/>
        <v>2805.0645161290322</v>
      </c>
      <c r="AA33" s="34">
        <f t="shared" si="16"/>
        <v>0.82987631358128744</v>
      </c>
      <c r="AB33" s="1"/>
    </row>
    <row r="34" spans="2:28" ht="18" customHeight="1" x14ac:dyDescent="0.25">
      <c r="B34" s="27">
        <v>8</v>
      </c>
      <c r="C34" s="32">
        <f>C35+197</f>
        <v>279041</v>
      </c>
      <c r="D34" s="32">
        <f>D35+290</f>
        <v>592763</v>
      </c>
      <c r="E34" s="32">
        <f>E35+87</f>
        <v>143574</v>
      </c>
      <c r="F34" s="29">
        <f t="shared" si="17"/>
        <v>1015378</v>
      </c>
      <c r="G34" s="30">
        <f t="shared" si="1"/>
        <v>1014983.375</v>
      </c>
      <c r="H34" s="28">
        <f t="shared" si="2"/>
        <v>1015043.7916666666</v>
      </c>
      <c r="I34" s="32">
        <f>I35+383</f>
        <v>711338</v>
      </c>
      <c r="J34" s="31">
        <f t="shared" si="24"/>
        <v>197</v>
      </c>
      <c r="K34" s="31">
        <f t="shared" si="24"/>
        <v>290</v>
      </c>
      <c r="L34" s="31">
        <f t="shared" si="24"/>
        <v>87</v>
      </c>
      <c r="M34" s="31">
        <f t="shared" si="4"/>
        <v>383</v>
      </c>
      <c r="N34" s="32">
        <f t="shared" si="5"/>
        <v>133.06451612903226</v>
      </c>
      <c r="O34" s="27">
        <f t="shared" si="6"/>
        <v>87</v>
      </c>
      <c r="P34" s="32">
        <f t="shared" si="7"/>
        <v>46.064516129032256</v>
      </c>
      <c r="Q34" s="32">
        <f t="shared" si="8"/>
        <v>60.416666666627862</v>
      </c>
      <c r="R34" s="28">
        <f t="shared" si="9"/>
        <v>806.45161290322585</v>
      </c>
      <c r="S34" s="31">
        <f t="shared" si="10"/>
        <v>574</v>
      </c>
      <c r="T34" s="28">
        <f t="shared" si="11"/>
        <v>232.45161290322585</v>
      </c>
      <c r="U34" s="28">
        <f t="shared" si="25"/>
        <v>1064.5161290322578</v>
      </c>
      <c r="V34" s="31">
        <f t="shared" si="25"/>
        <v>582</v>
      </c>
      <c r="W34" s="28">
        <f t="shared" si="13"/>
        <v>482.51612903225782</v>
      </c>
      <c r="X34" s="28">
        <f t="shared" si="26"/>
        <v>6451.6129032258068</v>
      </c>
      <c r="Y34" s="28">
        <f t="shared" si="26"/>
        <v>3864</v>
      </c>
      <c r="Z34" s="28">
        <f t="shared" si="15"/>
        <v>2587.6129032258068</v>
      </c>
      <c r="AA34" s="34">
        <f t="shared" si="16"/>
        <v>0.83182727690855129</v>
      </c>
      <c r="AB34" s="1"/>
    </row>
    <row r="35" spans="2:28" ht="18" customHeight="1" x14ac:dyDescent="0.25">
      <c r="B35" s="27">
        <v>7</v>
      </c>
      <c r="C35" s="32">
        <v>278844</v>
      </c>
      <c r="D35" s="32">
        <v>592473</v>
      </c>
      <c r="E35" s="32">
        <v>143487</v>
      </c>
      <c r="F35" s="3">
        <f>C35+D35+E35</f>
        <v>1014804</v>
      </c>
      <c r="G35" s="30">
        <f t="shared" si="1"/>
        <v>1014434.8125</v>
      </c>
      <c r="H35" s="28">
        <f t="shared" si="2"/>
        <v>1014491.0625</v>
      </c>
      <c r="I35" s="32">
        <v>710955</v>
      </c>
      <c r="J35" s="31">
        <f t="shared" si="24"/>
        <v>181</v>
      </c>
      <c r="K35" s="31">
        <f t="shared" si="24"/>
        <v>270</v>
      </c>
      <c r="L35" s="31">
        <f t="shared" si="24"/>
        <v>86</v>
      </c>
      <c r="M35" s="31">
        <f t="shared" si="4"/>
        <v>375</v>
      </c>
      <c r="N35" s="32">
        <f t="shared" si="5"/>
        <v>133.06451612903226</v>
      </c>
      <c r="O35" s="27">
        <f t="shared" si="6"/>
        <v>86</v>
      </c>
      <c r="P35" s="32">
        <f t="shared" si="7"/>
        <v>47.064516129032256</v>
      </c>
      <c r="Q35" s="32">
        <f t="shared" si="8"/>
        <v>56.25</v>
      </c>
      <c r="R35" s="28">
        <f t="shared" si="9"/>
        <v>806.45161290322585</v>
      </c>
      <c r="S35" s="31">
        <f t="shared" si="10"/>
        <v>537</v>
      </c>
      <c r="T35" s="28">
        <f t="shared" si="11"/>
        <v>269.45161290322585</v>
      </c>
      <c r="U35" s="28">
        <f t="shared" si="25"/>
        <v>931.45161290322562</v>
      </c>
      <c r="V35" s="31">
        <f t="shared" si="25"/>
        <v>495</v>
      </c>
      <c r="W35" s="28">
        <f t="shared" si="13"/>
        <v>436.45161290322562</v>
      </c>
      <c r="X35" s="28">
        <f t="shared" si="26"/>
        <v>5645.1612903225814</v>
      </c>
      <c r="Y35" s="28">
        <f t="shared" si="26"/>
        <v>3290</v>
      </c>
      <c r="Z35" s="28">
        <f t="shared" si="15"/>
        <v>2355.1612903225814</v>
      </c>
      <c r="AA35" s="34">
        <f t="shared" si="16"/>
        <v>0.81987694964696589</v>
      </c>
      <c r="AB35" s="1"/>
    </row>
    <row r="36" spans="2:28" ht="18" customHeight="1" x14ac:dyDescent="0.25">
      <c r="B36" s="27">
        <v>6</v>
      </c>
      <c r="C36" s="32">
        <f>C37+175</f>
        <v>278663</v>
      </c>
      <c r="D36" s="32">
        <f>D37+252</f>
        <v>592203</v>
      </c>
      <c r="E36" s="32">
        <f>E37+84</f>
        <v>143401</v>
      </c>
      <c r="F36" s="29">
        <f t="shared" si="17"/>
        <v>1014267</v>
      </c>
      <c r="G36" s="30">
        <f t="shared" si="1"/>
        <v>1013915.6875</v>
      </c>
      <c r="H36" s="28">
        <f t="shared" si="2"/>
        <v>1013968.1875</v>
      </c>
      <c r="I36" s="32">
        <f>I37+390</f>
        <v>710580</v>
      </c>
      <c r="J36" s="31">
        <f t="shared" si="24"/>
        <v>175</v>
      </c>
      <c r="K36" s="31">
        <f t="shared" si="24"/>
        <v>252</v>
      </c>
      <c r="L36" s="31">
        <f t="shared" si="24"/>
        <v>84</v>
      </c>
      <c r="M36" s="31">
        <f t="shared" si="4"/>
        <v>390</v>
      </c>
      <c r="N36" s="32">
        <f t="shared" si="5"/>
        <v>133.06451612903226</v>
      </c>
      <c r="O36" s="27">
        <f t="shared" si="6"/>
        <v>84</v>
      </c>
      <c r="P36" s="32">
        <f t="shared" si="7"/>
        <v>49.064516129032256</v>
      </c>
      <c r="Q36" s="32">
        <f t="shared" si="8"/>
        <v>52.5</v>
      </c>
      <c r="R36" s="28">
        <f t="shared" si="9"/>
        <v>806.45161290322585</v>
      </c>
      <c r="S36" s="31">
        <f t="shared" si="10"/>
        <v>511</v>
      </c>
      <c r="T36" s="28">
        <f t="shared" si="11"/>
        <v>295.45161290322585</v>
      </c>
      <c r="U36" s="28">
        <f t="shared" si="25"/>
        <v>798.38709677419342</v>
      </c>
      <c r="V36" s="31">
        <f t="shared" si="25"/>
        <v>409</v>
      </c>
      <c r="W36" s="28">
        <f t="shared" si="13"/>
        <v>389.38709677419342</v>
      </c>
      <c r="X36" s="28">
        <f t="shared" si="26"/>
        <v>4838.7096774193551</v>
      </c>
      <c r="Y36" s="28">
        <f t="shared" si="26"/>
        <v>2753</v>
      </c>
      <c r="Z36" s="28">
        <f t="shared" si="15"/>
        <v>2085.7096774193551</v>
      </c>
      <c r="AA36" s="34">
        <f t="shared" si="16"/>
        <v>0.79493150228517395</v>
      </c>
      <c r="AB36" s="1"/>
    </row>
    <row r="37" spans="2:28" ht="18" customHeight="1" x14ac:dyDescent="0.25">
      <c r="B37" s="27">
        <v>5</v>
      </c>
      <c r="C37" s="32">
        <f t="shared" ref="C37" si="29">C38+159</f>
        <v>278488</v>
      </c>
      <c r="D37" s="32">
        <f t="shared" ref="D37" si="30">D38+239</f>
        <v>591951</v>
      </c>
      <c r="E37" s="32">
        <f>E38+74</f>
        <v>143317</v>
      </c>
      <c r="F37" s="29">
        <f t="shared" si="17"/>
        <v>1013756</v>
      </c>
      <c r="G37" s="30">
        <f t="shared" si="1"/>
        <v>1013431.5</v>
      </c>
      <c r="H37" s="28">
        <f t="shared" si="2"/>
        <v>1013481.2916666666</v>
      </c>
      <c r="I37" s="32">
        <f>I38+369</f>
        <v>710190</v>
      </c>
      <c r="J37" s="31">
        <f t="shared" si="24"/>
        <v>159</v>
      </c>
      <c r="K37" s="31">
        <f t="shared" si="24"/>
        <v>239</v>
      </c>
      <c r="L37" s="31">
        <f t="shared" si="24"/>
        <v>74</v>
      </c>
      <c r="M37" s="31">
        <f t="shared" si="4"/>
        <v>369</v>
      </c>
      <c r="N37" s="32">
        <f t="shared" si="5"/>
        <v>133.06451612903226</v>
      </c>
      <c r="O37" s="27">
        <f t="shared" si="6"/>
        <v>74</v>
      </c>
      <c r="P37" s="32">
        <f t="shared" si="7"/>
        <v>59.064516129032256</v>
      </c>
      <c r="Q37" s="32">
        <f t="shared" si="8"/>
        <v>49.791666666627862</v>
      </c>
      <c r="R37" s="28">
        <f t="shared" si="9"/>
        <v>806.45161290322585</v>
      </c>
      <c r="S37" s="31">
        <f t="shared" si="10"/>
        <v>472</v>
      </c>
      <c r="T37" s="28">
        <f t="shared" si="11"/>
        <v>334.45161290322585</v>
      </c>
      <c r="U37" s="28">
        <f t="shared" si="25"/>
        <v>665.32258064516122</v>
      </c>
      <c r="V37" s="31">
        <f t="shared" si="25"/>
        <v>325</v>
      </c>
      <c r="W37" s="28">
        <f t="shared" si="13"/>
        <v>340.32258064516122</v>
      </c>
      <c r="X37" s="28">
        <f t="shared" si="26"/>
        <v>4032.2580645161293</v>
      </c>
      <c r="Y37" s="28">
        <f t="shared" si="26"/>
        <v>2242</v>
      </c>
      <c r="Z37" s="28">
        <f t="shared" si="15"/>
        <v>1790.2580645161293</v>
      </c>
      <c r="AA37" s="34">
        <f t="shared" si="16"/>
        <v>0.78782189156088911</v>
      </c>
      <c r="AB37" s="1"/>
    </row>
    <row r="38" spans="2:28" ht="18" customHeight="1" x14ac:dyDescent="0.25">
      <c r="B38" s="27">
        <v>4</v>
      </c>
      <c r="C38" s="32">
        <f>C39+153</f>
        <v>278329</v>
      </c>
      <c r="D38" s="32">
        <f>D39+240</f>
        <v>591712</v>
      </c>
      <c r="E38" s="32">
        <f>E39+73</f>
        <v>143243</v>
      </c>
      <c r="F38" s="29">
        <f t="shared" si="17"/>
        <v>1013284</v>
      </c>
      <c r="G38" s="30">
        <f t="shared" si="1"/>
        <v>1012963.625</v>
      </c>
      <c r="H38" s="28">
        <f t="shared" si="2"/>
        <v>1013013.625</v>
      </c>
      <c r="I38" s="32">
        <f>I39+372</f>
        <v>709821</v>
      </c>
      <c r="J38" s="31">
        <f t="shared" si="24"/>
        <v>153</v>
      </c>
      <c r="K38" s="31">
        <f t="shared" si="24"/>
        <v>240</v>
      </c>
      <c r="L38" s="31">
        <f t="shared" si="24"/>
        <v>73</v>
      </c>
      <c r="M38" s="31">
        <f t="shared" si="4"/>
        <v>372</v>
      </c>
      <c r="N38" s="32">
        <f t="shared" si="5"/>
        <v>133.06451612903226</v>
      </c>
      <c r="O38" s="27">
        <f t="shared" si="6"/>
        <v>73</v>
      </c>
      <c r="P38" s="32">
        <f t="shared" si="7"/>
        <v>60.064516129032256</v>
      </c>
      <c r="Q38" s="32">
        <f t="shared" si="8"/>
        <v>50</v>
      </c>
      <c r="R38" s="28">
        <f t="shared" si="9"/>
        <v>806.45161290322585</v>
      </c>
      <c r="S38" s="31">
        <f t="shared" si="10"/>
        <v>466</v>
      </c>
      <c r="T38" s="28">
        <f t="shared" si="11"/>
        <v>340.45161290322585</v>
      </c>
      <c r="U38" s="28">
        <f t="shared" si="25"/>
        <v>532.25806451612902</v>
      </c>
      <c r="V38" s="31">
        <f t="shared" si="25"/>
        <v>251</v>
      </c>
      <c r="W38" s="28">
        <f t="shared" si="13"/>
        <v>281.25806451612902</v>
      </c>
      <c r="X38" s="28">
        <f t="shared" si="26"/>
        <v>3225.8064516129034</v>
      </c>
      <c r="Y38" s="28">
        <f t="shared" si="26"/>
        <v>1770</v>
      </c>
      <c r="Z38" s="28">
        <f t="shared" si="15"/>
        <v>1455.8064516129034</v>
      </c>
      <c r="AA38" s="34">
        <f t="shared" si="16"/>
        <v>0.78152285413560019</v>
      </c>
      <c r="AB38" s="1"/>
    </row>
    <row r="39" spans="2:28" ht="18" customHeight="1" x14ac:dyDescent="0.25">
      <c r="B39" s="27">
        <v>3</v>
      </c>
      <c r="C39" s="32">
        <f>C40+157</f>
        <v>278176</v>
      </c>
      <c r="D39" s="32">
        <f>D40+230</f>
        <v>591472</v>
      </c>
      <c r="E39" s="32">
        <f>E40+67</f>
        <v>143170</v>
      </c>
      <c r="F39" s="29">
        <f t="shared" si="17"/>
        <v>1012818</v>
      </c>
      <c r="G39" s="30">
        <f t="shared" si="1"/>
        <v>1012505.875</v>
      </c>
      <c r="H39" s="28">
        <f t="shared" si="2"/>
        <v>1012553.7916666666</v>
      </c>
      <c r="I39" s="32">
        <f>I40+368</f>
        <v>709449</v>
      </c>
      <c r="J39" s="31">
        <f t="shared" si="24"/>
        <v>157</v>
      </c>
      <c r="K39" s="31">
        <f t="shared" si="24"/>
        <v>230</v>
      </c>
      <c r="L39" s="31">
        <f t="shared" si="24"/>
        <v>67</v>
      </c>
      <c r="M39" s="31">
        <f t="shared" si="4"/>
        <v>368</v>
      </c>
      <c r="N39" s="32">
        <f t="shared" si="5"/>
        <v>133.06451612903226</v>
      </c>
      <c r="O39" s="27">
        <f t="shared" si="6"/>
        <v>67</v>
      </c>
      <c r="P39" s="32">
        <f t="shared" si="7"/>
        <v>66.064516129032256</v>
      </c>
      <c r="Q39" s="32">
        <f t="shared" si="8"/>
        <v>47.916666666627862</v>
      </c>
      <c r="R39" s="28">
        <f t="shared" si="9"/>
        <v>806.45161290322585</v>
      </c>
      <c r="S39" s="31">
        <f t="shared" si="10"/>
        <v>454</v>
      </c>
      <c r="T39" s="28">
        <f t="shared" si="11"/>
        <v>352.45161290322585</v>
      </c>
      <c r="U39" s="28">
        <f t="shared" si="25"/>
        <v>399.19354838709677</v>
      </c>
      <c r="V39" s="31">
        <f t="shared" si="25"/>
        <v>178</v>
      </c>
      <c r="W39" s="28">
        <f t="shared" si="13"/>
        <v>221.19354838709677</v>
      </c>
      <c r="X39" s="28">
        <f t="shared" si="26"/>
        <v>2419.3548387096776</v>
      </c>
      <c r="Y39" s="28">
        <f t="shared" si="26"/>
        <v>1304</v>
      </c>
      <c r="Z39" s="28">
        <f t="shared" si="15"/>
        <v>1115.3548387096776</v>
      </c>
      <c r="AA39" s="34">
        <f t="shared" si="16"/>
        <v>0.77684623598820013</v>
      </c>
      <c r="AB39" s="1"/>
    </row>
    <row r="40" spans="2:28" ht="18" customHeight="1" x14ac:dyDescent="0.25">
      <c r="B40" s="27">
        <v>2</v>
      </c>
      <c r="C40" s="32">
        <f>C41+142</f>
        <v>278019</v>
      </c>
      <c r="D40" s="32">
        <f>D41+227</f>
        <v>591242</v>
      </c>
      <c r="E40" s="32">
        <f>E41+52</f>
        <v>143103</v>
      </c>
      <c r="F40" s="29">
        <f t="shared" si="17"/>
        <v>1012364</v>
      </c>
      <c r="G40" s="30">
        <f t="shared" si="1"/>
        <v>1012074.5625</v>
      </c>
      <c r="H40" s="28">
        <f t="shared" si="2"/>
        <v>1012121.8541666666</v>
      </c>
      <c r="I40" s="32">
        <f>I41+339</f>
        <v>709081</v>
      </c>
      <c r="J40" s="31">
        <f t="shared" si="24"/>
        <v>142</v>
      </c>
      <c r="K40" s="31">
        <f t="shared" si="24"/>
        <v>227</v>
      </c>
      <c r="L40" s="31">
        <f t="shared" si="24"/>
        <v>52</v>
      </c>
      <c r="M40" s="31">
        <f t="shared" si="4"/>
        <v>339</v>
      </c>
      <c r="N40" s="32">
        <f t="shared" si="5"/>
        <v>133.06451612903226</v>
      </c>
      <c r="O40" s="27">
        <f t="shared" si="6"/>
        <v>52</v>
      </c>
      <c r="P40" s="32">
        <f t="shared" si="7"/>
        <v>81.064516129032256</v>
      </c>
      <c r="Q40" s="32">
        <f t="shared" si="8"/>
        <v>47.291666666627862</v>
      </c>
      <c r="R40" s="28">
        <f>R41</f>
        <v>806.45161290322585</v>
      </c>
      <c r="S40" s="31">
        <f>J40+K40+L40</f>
        <v>421</v>
      </c>
      <c r="T40" s="28">
        <f t="shared" si="11"/>
        <v>385.45161290322585</v>
      </c>
      <c r="U40" s="28">
        <f t="shared" si="25"/>
        <v>266.12903225806451</v>
      </c>
      <c r="V40" s="31">
        <f t="shared" si="25"/>
        <v>111</v>
      </c>
      <c r="W40" s="28">
        <f t="shared" si="13"/>
        <v>155.12903225806451</v>
      </c>
      <c r="X40" s="28">
        <f t="shared" si="26"/>
        <v>1612.9032258064517</v>
      </c>
      <c r="Y40" s="28">
        <f t="shared" si="26"/>
        <v>850</v>
      </c>
      <c r="Z40" s="28">
        <f t="shared" si="15"/>
        <v>762.9032258064517</v>
      </c>
      <c r="AA40" s="34">
        <f t="shared" si="16"/>
        <v>0.77887942467327143</v>
      </c>
      <c r="AB40" s="1"/>
    </row>
    <row r="41" spans="2:28" ht="18.75" customHeight="1" thickBot="1" x14ac:dyDescent="0.3">
      <c r="B41" s="27">
        <v>1</v>
      </c>
      <c r="C41" s="32">
        <f>C42+150</f>
        <v>277877</v>
      </c>
      <c r="D41" s="32">
        <f>D42+220</f>
        <v>591015</v>
      </c>
      <c r="E41" s="32">
        <f>E42+59</f>
        <v>143051</v>
      </c>
      <c r="F41" s="29">
        <f t="shared" si="17"/>
        <v>1011943</v>
      </c>
      <c r="G41" s="30">
        <f t="shared" si="1"/>
        <v>1011648.0625</v>
      </c>
      <c r="H41" s="28">
        <f t="shared" si="2"/>
        <v>1011693.8958333334</v>
      </c>
      <c r="I41" s="32">
        <f>I42+334</f>
        <v>708742</v>
      </c>
      <c r="J41" s="31">
        <f t="shared" si="24"/>
        <v>150</v>
      </c>
      <c r="K41" s="31">
        <f t="shared" si="24"/>
        <v>220</v>
      </c>
      <c r="L41" s="31">
        <f t="shared" si="24"/>
        <v>59</v>
      </c>
      <c r="M41" s="31">
        <f t="shared" si="4"/>
        <v>334</v>
      </c>
      <c r="N41" s="24">
        <f>O6/31</f>
        <v>133.06451612903226</v>
      </c>
      <c r="O41" s="27">
        <f t="shared" si="6"/>
        <v>59</v>
      </c>
      <c r="P41" s="32">
        <f t="shared" si="7"/>
        <v>74.064516129032256</v>
      </c>
      <c r="Q41" s="32">
        <f t="shared" si="8"/>
        <v>45.833333333372138</v>
      </c>
      <c r="R41" s="57">
        <f>S6/31</f>
        <v>806.45161290322585</v>
      </c>
      <c r="S41" s="28">
        <f>J41+K41+L41+V6</f>
        <v>429</v>
      </c>
      <c r="T41" s="28">
        <f t="shared" si="11"/>
        <v>377.45161290322585</v>
      </c>
      <c r="U41" s="28">
        <f>N41</f>
        <v>133.06451612903226</v>
      </c>
      <c r="V41" s="31">
        <f>O41</f>
        <v>59</v>
      </c>
      <c r="W41" s="28">
        <f t="shared" si="13"/>
        <v>74.064516129032256</v>
      </c>
      <c r="X41" s="28">
        <f>R41</f>
        <v>806.45161290322585</v>
      </c>
      <c r="Y41" s="28">
        <f>S41</f>
        <v>429</v>
      </c>
      <c r="Z41" s="28">
        <f t="shared" si="15"/>
        <v>377.45161290322585</v>
      </c>
      <c r="AA41" s="58">
        <f t="shared" si="16"/>
        <v>0.78905500901463677</v>
      </c>
      <c r="AB41" s="1"/>
    </row>
    <row r="42" spans="2:28" ht="54.75" customHeight="1" thickBot="1" x14ac:dyDescent="0.3">
      <c r="B42" s="19" t="s">
        <v>35</v>
      </c>
      <c r="C42" s="27">
        <v>277727</v>
      </c>
      <c r="D42" s="27">
        <v>590795</v>
      </c>
      <c r="E42" s="27">
        <v>142992</v>
      </c>
      <c r="F42" s="29">
        <v>1011514</v>
      </c>
      <c r="G42" s="59">
        <v>1011272.3333333334</v>
      </c>
      <c r="H42" s="3">
        <v>1011310.4583333334</v>
      </c>
      <c r="I42" s="27">
        <v>708408</v>
      </c>
      <c r="J42" s="4"/>
      <c r="K42" s="4"/>
      <c r="L42" s="4"/>
      <c r="M42" s="60">
        <f>SUM(M11:M41)</f>
        <v>9870</v>
      </c>
      <c r="N42" s="4" t="s">
        <v>45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61">
        <f>AVERAGE(AA11:AA41)</f>
        <v>0.83385659907995502</v>
      </c>
    </row>
    <row r="43" spans="2:28" ht="18" customHeight="1" x14ac:dyDescent="0.25">
      <c r="B43" s="2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1"/>
      <c r="S43" s="4"/>
      <c r="T43" s="4"/>
      <c r="U43" s="4"/>
      <c r="V43" s="4"/>
      <c r="W43" s="4"/>
      <c r="X43" s="4"/>
      <c r="Y43" s="4"/>
      <c r="Z43" s="4"/>
      <c r="AA43" s="4"/>
    </row>
    <row r="44" spans="2:28" ht="18" customHeight="1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1"/>
      <c r="S44" s="4"/>
      <c r="T44" s="4"/>
      <c r="U44" s="4"/>
      <c r="V44" s="4"/>
      <c r="W44" s="4"/>
      <c r="X44" s="4"/>
      <c r="Y44" s="4"/>
      <c r="Z44" s="4"/>
      <c r="AA44" s="4"/>
    </row>
    <row r="45" spans="2:28" ht="18" customHeight="1" x14ac:dyDescent="0.25">
      <c r="B45" s="4"/>
      <c r="C45" s="4"/>
      <c r="D45" s="22"/>
      <c r="E45" s="4"/>
      <c r="F45" s="4"/>
      <c r="G45" s="4"/>
      <c r="H45" s="4" t="s">
        <v>36</v>
      </c>
      <c r="I45" s="4"/>
      <c r="J45" s="4"/>
      <c r="K45" s="4"/>
      <c r="L45" s="4"/>
      <c r="M45" s="4"/>
      <c r="N45" s="4"/>
      <c r="O45" s="4"/>
      <c r="P45" s="4"/>
      <c r="Q45" s="4"/>
      <c r="R45" s="11"/>
      <c r="S45" s="4"/>
      <c r="T45" s="4"/>
      <c r="U45" s="4"/>
      <c r="V45" s="4"/>
      <c r="W45" s="4"/>
      <c r="X45" s="4"/>
      <c r="Y45" s="4"/>
      <c r="Z45" s="4"/>
      <c r="AA45" s="4"/>
    </row>
    <row r="46" spans="2:28" x14ac:dyDescent="0.25">
      <c r="C46" s="21"/>
    </row>
    <row r="52" spans="26:27" ht="18" customHeight="1" x14ac:dyDescent="0.25">
      <c r="Z52" s="4" t="s">
        <v>37</v>
      </c>
    </row>
    <row r="53" spans="26:27" ht="18" customHeight="1" x14ac:dyDescent="0.25">
      <c r="Z53" s="4" t="s">
        <v>38</v>
      </c>
      <c r="AA53" s="4"/>
    </row>
    <row r="54" spans="26:27" ht="18" customHeight="1" x14ac:dyDescent="0.25">
      <c r="Z54" s="4" t="s">
        <v>39</v>
      </c>
      <c r="AA54" s="4"/>
    </row>
    <row r="55" spans="26:27" ht="18" customHeight="1" x14ac:dyDescent="0.25">
      <c r="Z55" s="4" t="s">
        <v>40</v>
      </c>
      <c r="AA55" s="4"/>
    </row>
  </sheetData>
  <mergeCells count="10">
    <mergeCell ref="AB8:AB9"/>
    <mergeCell ref="B8:B9"/>
    <mergeCell ref="N8:P8"/>
    <mergeCell ref="R8:T8"/>
    <mergeCell ref="U8:W8"/>
    <mergeCell ref="X8:AA8"/>
    <mergeCell ref="C5:E5"/>
    <mergeCell ref="J8:M8"/>
    <mergeCell ref="C8:I8"/>
    <mergeCell ref="Q8:Q9"/>
  </mergeCells>
  <printOptions horizontalCentered="1"/>
  <pageMargins left="0.25" right="0.25" top="0.75" bottom="0.75" header="0.3" footer="0.3"/>
  <pageSetup paperSize="9" scale="4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Cocina C</vt:lpstr>
      <vt:lpstr>Nueva E</vt:lpstr>
      <vt:lpstr>Omnipotente</vt:lpstr>
      <vt:lpstr>teoria_del_big_bang</vt:lpstr>
      <vt:lpstr>'Cocina C'!Área_de_impresión</vt:lpstr>
      <vt:lpstr>'Nueva 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ana</cp:lastModifiedBy>
  <cp:lastPrinted>2025-02-10T02:39:49Z</cp:lastPrinted>
  <dcterms:created xsi:type="dcterms:W3CDTF">2019-08-08T19:02:32Z</dcterms:created>
  <dcterms:modified xsi:type="dcterms:W3CDTF">2025-06-10T11:50:01Z</dcterms:modified>
</cp:coreProperties>
</file>