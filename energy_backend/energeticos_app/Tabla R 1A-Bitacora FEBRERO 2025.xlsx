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20" yWindow="-60" windowWidth="12510" windowHeight="9375" tabRatio="778" activeTab="6"/>
  </bookViews>
  <sheets>
    <sheet name="Cocina C" sheetId="24" r:id="rId1"/>
    <sheet name="Ciencia A" sheetId="20" r:id="rId2"/>
    <sheet name="Preparatoria" sheetId="21" r:id="rId3"/>
    <sheet name="Sede Martí" sheetId="25" r:id="rId4"/>
    <sheet name="A.Cultural" sheetId="22" r:id="rId5"/>
    <sheet name="Laboratorios Tec." sheetId="23" r:id="rId6"/>
    <sheet name="Sede Fajardo" sheetId="26" r:id="rId7"/>
  </sheets>
  <definedNames>
    <definedName name="_xlnm.Print_Area" localSheetId="4">A.Cultural!$A$1:$AB$51</definedName>
    <definedName name="_xlnm.Print_Area" localSheetId="1">'Ciencia A'!$A$1:$AB$52</definedName>
    <definedName name="_xlnm.Print_Area" localSheetId="0">'Cocina C'!$A$1:$AB$51</definedName>
    <definedName name="_xlnm.Print_Area" localSheetId="5">'Laboratorios Tec.'!$A$1:$AB$54</definedName>
    <definedName name="_xlnm.Print_Area" localSheetId="2">Preparatoria!$A$1:$AB$54</definedName>
    <definedName name="_xlnm.Print_Area" localSheetId="6">'Sede Fajardo'!$A$1:$AB$55</definedName>
    <definedName name="_xlnm.Print_Area" localSheetId="3">'Sede Martí'!$A$1:$AB$51</definedName>
  </definedNames>
  <calcPr calcId="144525"/>
</workbook>
</file>

<file path=xl/calcChain.xml><?xml version="1.0" encoding="utf-8"?>
<calcChain xmlns="http://schemas.openxmlformats.org/spreadsheetml/2006/main">
  <c r="E33" i="25" l="1"/>
  <c r="E37" i="25"/>
  <c r="I15" i="25"/>
  <c r="I16" i="25"/>
  <c r="I17" i="25"/>
  <c r="I18" i="25"/>
  <c r="I19" i="25"/>
  <c r="I21" i="25"/>
  <c r="I22" i="25"/>
  <c r="I23" i="25"/>
  <c r="I24" i="25"/>
  <c r="I25" i="25"/>
  <c r="I26" i="25"/>
  <c r="I27" i="25"/>
  <c r="I29" i="25"/>
  <c r="I30" i="25"/>
  <c r="I31" i="25"/>
  <c r="I32" i="25"/>
  <c r="I33" i="25"/>
  <c r="I34" i="25"/>
  <c r="I35" i="25"/>
  <c r="I36" i="25"/>
  <c r="I37" i="25"/>
  <c r="I38" i="25"/>
  <c r="I39" i="25"/>
  <c r="I40" i="25"/>
  <c r="I41" i="25"/>
  <c r="I28" i="25" l="1"/>
  <c r="I20" i="25" s="1"/>
  <c r="AA42" i="22"/>
  <c r="AA42" i="24"/>
  <c r="I15" i="26" l="1"/>
  <c r="I16" i="26"/>
  <c r="E16" i="26"/>
  <c r="D16" i="26"/>
  <c r="E15" i="26"/>
  <c r="D15" i="26"/>
  <c r="C15" i="26"/>
  <c r="C16" i="26"/>
  <c r="D15" i="20"/>
  <c r="AA42" i="23"/>
  <c r="AA42" i="21"/>
  <c r="I16" i="23" l="1"/>
  <c r="I15" i="23"/>
  <c r="I17" i="23"/>
  <c r="E16" i="23"/>
  <c r="E17" i="23"/>
  <c r="D16" i="23"/>
  <c r="D17" i="23"/>
  <c r="C16" i="23"/>
  <c r="C17" i="23"/>
  <c r="I16" i="20"/>
  <c r="I17" i="20"/>
  <c r="I15" i="20"/>
  <c r="E15" i="20"/>
  <c r="E16" i="20"/>
  <c r="E17" i="20"/>
  <c r="D17" i="20"/>
  <c r="D16" i="20"/>
  <c r="C15" i="20"/>
  <c r="C16" i="20"/>
  <c r="C17" i="20"/>
  <c r="E16" i="21"/>
  <c r="I16" i="21"/>
  <c r="I17" i="21"/>
  <c r="E17" i="21"/>
  <c r="D16" i="21"/>
  <c r="D17" i="21"/>
  <c r="C16" i="21"/>
  <c r="C17" i="21"/>
  <c r="I20" i="26" l="1"/>
  <c r="I19" i="26" s="1"/>
  <c r="I18" i="26" s="1"/>
  <c r="I16" i="22"/>
  <c r="I17" i="22"/>
  <c r="E16" i="22"/>
  <c r="E17" i="22"/>
  <c r="D16" i="22"/>
  <c r="C17" i="22"/>
  <c r="C16" i="22"/>
  <c r="D16" i="24"/>
  <c r="D17" i="24"/>
  <c r="D19" i="24"/>
  <c r="C16" i="24"/>
  <c r="C17" i="24"/>
  <c r="C19" i="24"/>
  <c r="I16" i="24"/>
  <c r="I18" i="24"/>
  <c r="I17" i="24" s="1"/>
  <c r="D18" i="24"/>
  <c r="C18" i="24"/>
  <c r="E41" i="25" l="1"/>
  <c r="E40" i="25" s="1"/>
  <c r="E39" i="25" s="1"/>
  <c r="E38" i="25" s="1"/>
  <c r="E36" i="25" s="1"/>
  <c r="C40" i="25"/>
  <c r="C39" i="25" s="1"/>
  <c r="C38" i="25" s="1"/>
  <c r="C37" i="25" s="1"/>
  <c r="C36" i="25" s="1"/>
  <c r="C35" i="25" s="1"/>
  <c r="C34" i="25" s="1"/>
  <c r="C33" i="25" s="1"/>
  <c r="C32" i="25" s="1"/>
  <c r="C31" i="25" s="1"/>
  <c r="C30" i="25" s="1"/>
  <c r="C29" i="25" s="1"/>
  <c r="C28" i="25" s="1"/>
  <c r="C27" i="25" s="1"/>
  <c r="C26" i="25" s="1"/>
  <c r="C25" i="25" s="1"/>
  <c r="C24" i="25" s="1"/>
  <c r="C23" i="25" s="1"/>
  <c r="D41" i="25"/>
  <c r="D40" i="25" s="1"/>
  <c r="D39" i="25" s="1"/>
  <c r="D38" i="25" s="1"/>
  <c r="D37" i="25" s="1"/>
  <c r="D36" i="25" s="1"/>
  <c r="D35" i="25" s="1"/>
  <c r="D34" i="25" s="1"/>
  <c r="D33" i="25" s="1"/>
  <c r="D32" i="25" s="1"/>
  <c r="D31" i="25" s="1"/>
  <c r="D30" i="25" s="1"/>
  <c r="D29" i="25" s="1"/>
  <c r="D28" i="25" s="1"/>
  <c r="D27" i="25" s="1"/>
  <c r="D26" i="25" s="1"/>
  <c r="D25" i="25" s="1"/>
  <c r="D24" i="25" s="1"/>
  <c r="D23" i="25" s="1"/>
  <c r="D22" i="25" s="1"/>
  <c r="D21" i="25" s="1"/>
  <c r="D20" i="25" s="1"/>
  <c r="C41" i="25"/>
  <c r="I27" i="24"/>
  <c r="I26" i="24" s="1"/>
  <c r="I25" i="24" s="1"/>
  <c r="I24" i="24" s="1"/>
  <c r="I23" i="24" s="1"/>
  <c r="I22" i="24" s="1"/>
  <c r="I21" i="24" s="1"/>
  <c r="I20" i="24" s="1"/>
  <c r="I19" i="24" s="1"/>
  <c r="I28" i="24"/>
  <c r="E28" i="24"/>
  <c r="E27" i="24"/>
  <c r="D28" i="24"/>
  <c r="D27" i="24" s="1"/>
  <c r="D26" i="24" s="1"/>
  <c r="D25" i="24" s="1"/>
  <c r="D24" i="24" s="1"/>
  <c r="D23" i="24" s="1"/>
  <c r="C28" i="24"/>
  <c r="C27" i="24" s="1"/>
  <c r="C26" i="24" s="1"/>
  <c r="C25" i="24" s="1"/>
  <c r="C24" i="24" s="1"/>
  <c r="C23" i="24" s="1"/>
  <c r="C22" i="24" s="1"/>
  <c r="C21" i="24" s="1"/>
  <c r="C20" i="24" s="1"/>
  <c r="I18" i="20"/>
  <c r="E18" i="20"/>
  <c r="D18" i="20"/>
  <c r="C18" i="20"/>
  <c r="I18" i="21"/>
  <c r="I41" i="21"/>
  <c r="E18" i="21"/>
  <c r="E41" i="21"/>
  <c r="D18" i="21"/>
  <c r="C18" i="21"/>
  <c r="I28" i="22"/>
  <c r="I27" i="22" s="1"/>
  <c r="I26" i="22" s="1"/>
  <c r="I25" i="22" s="1"/>
  <c r="I24" i="22" s="1"/>
  <c r="I23" i="22" s="1"/>
  <c r="E28" i="22"/>
  <c r="E27" i="22" s="1"/>
  <c r="E26" i="22" s="1"/>
  <c r="E25" i="22" s="1"/>
  <c r="E24" i="22" s="1"/>
  <c r="E23" i="22" s="1"/>
  <c r="D28" i="22"/>
  <c r="D27" i="22" s="1"/>
  <c r="D26" i="22" s="1"/>
  <c r="D25" i="22" s="1"/>
  <c r="C27" i="22"/>
  <c r="C26" i="22" s="1"/>
  <c r="C25" i="22" s="1"/>
  <c r="C24" i="22" s="1"/>
  <c r="C23" i="22" s="1"/>
  <c r="C22" i="22" s="1"/>
  <c r="C21" i="22" s="1"/>
  <c r="C20" i="22" s="1"/>
  <c r="C19" i="22" s="1"/>
  <c r="C18" i="22" s="1"/>
  <c r="C28" i="22"/>
  <c r="I18" i="23"/>
  <c r="E18" i="23"/>
  <c r="D18" i="23"/>
  <c r="C18" i="23"/>
  <c r="D41" i="23"/>
  <c r="D40" i="23" s="1"/>
  <c r="D39" i="23" s="1"/>
  <c r="D38" i="23" s="1"/>
  <c r="D37" i="23" s="1"/>
  <c r="D36" i="23" s="1"/>
  <c r="D35" i="23" s="1"/>
  <c r="E28" i="26"/>
  <c r="E27" i="26" s="1"/>
  <c r="E26" i="26" s="1"/>
  <c r="E25" i="26" s="1"/>
  <c r="E21" i="26" s="1"/>
  <c r="I41" i="23"/>
  <c r="I40" i="23" s="1"/>
  <c r="I39" i="23" s="1"/>
  <c r="I38" i="23" s="1"/>
  <c r="I37" i="23" s="1"/>
  <c r="I36" i="23" s="1"/>
  <c r="I35" i="23" s="1"/>
  <c r="I34" i="23" s="1"/>
  <c r="I33" i="23" s="1"/>
  <c r="I32" i="23" s="1"/>
  <c r="I31" i="23" s="1"/>
  <c r="I30" i="23" s="1"/>
  <c r="I29" i="23" s="1"/>
  <c r="I28" i="23" s="1"/>
  <c r="I27" i="23" s="1"/>
  <c r="I26" i="23" s="1"/>
  <c r="I25" i="23" s="1"/>
  <c r="I24" i="23" s="1"/>
  <c r="I23" i="23" s="1"/>
  <c r="I22" i="23" s="1"/>
  <c r="E41" i="23"/>
  <c r="E40" i="23" s="1"/>
  <c r="E39" i="23" s="1"/>
  <c r="E38" i="23" s="1"/>
  <c r="E37" i="23" s="1"/>
  <c r="C41" i="23"/>
  <c r="C40" i="23" s="1"/>
  <c r="C39" i="23" s="1"/>
  <c r="C38" i="23" s="1"/>
  <c r="C37" i="23" s="1"/>
  <c r="C36" i="23" s="1"/>
  <c r="C35" i="23" s="1"/>
  <c r="C34" i="23" s="1"/>
  <c r="C33" i="23" s="1"/>
  <c r="C32" i="23" s="1"/>
  <c r="C31" i="23" s="1"/>
  <c r="C30" i="23" s="1"/>
  <c r="C29" i="23" s="1"/>
  <c r="I40" i="21"/>
  <c r="I39" i="21" s="1"/>
  <c r="I38" i="21" s="1"/>
  <c r="I37" i="21" s="1"/>
  <c r="I36" i="21" s="1"/>
  <c r="I35" i="21" s="1"/>
  <c r="I34" i="21" s="1"/>
  <c r="I33" i="21" s="1"/>
  <c r="I32" i="21" s="1"/>
  <c r="E40" i="21"/>
  <c r="I31" i="21" l="1"/>
  <c r="I30" i="21" s="1"/>
  <c r="I29" i="21" s="1"/>
  <c r="I28" i="21" s="1"/>
  <c r="I27" i="21" s="1"/>
  <c r="I26" i="21" s="1"/>
  <c r="I25" i="21" s="1"/>
  <c r="I24" i="21" s="1"/>
  <c r="I23" i="21" s="1"/>
  <c r="I22" i="21" s="1"/>
  <c r="I21" i="21" s="1"/>
  <c r="I20" i="21" s="1"/>
  <c r="E36" i="23"/>
  <c r="E35" i="23" s="1"/>
  <c r="D34" i="23"/>
  <c r="D33" i="23" s="1"/>
  <c r="D32" i="23" s="1"/>
  <c r="D31" i="23" s="1"/>
  <c r="D30" i="23" s="1"/>
  <c r="D29" i="23" s="1"/>
  <c r="E22" i="22"/>
  <c r="E21" i="22" s="1"/>
  <c r="E20" i="22" s="1"/>
  <c r="E19" i="22" s="1"/>
  <c r="E18" i="22" s="1"/>
  <c r="E39" i="21"/>
  <c r="E38" i="21" s="1"/>
  <c r="E37" i="21" s="1"/>
  <c r="I22" i="22"/>
  <c r="I21" i="22" s="1"/>
  <c r="I20" i="22" s="1"/>
  <c r="I19" i="22" s="1"/>
  <c r="I18" i="22" s="1"/>
  <c r="E35" i="25"/>
  <c r="E34" i="25" s="1"/>
  <c r="C22" i="25"/>
  <c r="E26" i="24"/>
  <c r="E25" i="24" s="1"/>
  <c r="E24" i="24" s="1"/>
  <c r="E23" i="24" s="1"/>
  <c r="E22" i="24" s="1"/>
  <c r="E21" i="24" s="1"/>
  <c r="E20" i="24" s="1"/>
  <c r="D22" i="24"/>
  <c r="D21" i="24" s="1"/>
  <c r="D20" i="24" s="1"/>
  <c r="D24" i="22"/>
  <c r="D23" i="22" s="1"/>
  <c r="D22" i="22" s="1"/>
  <c r="D21" i="22" s="1"/>
  <c r="D20" i="22" s="1"/>
  <c r="D19" i="22" s="1"/>
  <c r="D18" i="22" s="1"/>
  <c r="I21" i="23"/>
  <c r="I20" i="23" s="1"/>
  <c r="C28" i="23"/>
  <c r="C27" i="23" s="1"/>
  <c r="C26" i="23" s="1"/>
  <c r="C25" i="23" s="1"/>
  <c r="C24" i="23" s="1"/>
  <c r="C23" i="23" s="1"/>
  <c r="C22" i="23" s="1"/>
  <c r="C21" i="23" s="1"/>
  <c r="C20" i="23" s="1"/>
  <c r="D41" i="21"/>
  <c r="D40" i="21" s="1"/>
  <c r="D39" i="21" s="1"/>
  <c r="D38" i="21" s="1"/>
  <c r="D37" i="21" s="1"/>
  <c r="D36" i="21" s="1"/>
  <c r="D35" i="21" s="1"/>
  <c r="D34" i="21" s="1"/>
  <c r="D33" i="21" s="1"/>
  <c r="D32" i="21" s="1"/>
  <c r="D31" i="21" s="1"/>
  <c r="D30" i="21" s="1"/>
  <c r="D29" i="21" s="1"/>
  <c r="D28" i="21" s="1"/>
  <c r="D27" i="21" s="1"/>
  <c r="D26" i="21" s="1"/>
  <c r="D25" i="21" s="1"/>
  <c r="D24" i="21" s="1"/>
  <c r="D23" i="21" s="1"/>
  <c r="D22" i="21" s="1"/>
  <c r="D21" i="21" s="1"/>
  <c r="D20" i="21" s="1"/>
  <c r="C41" i="21"/>
  <c r="C40" i="21" s="1"/>
  <c r="C39" i="21" s="1"/>
  <c r="C38" i="21" s="1"/>
  <c r="C37" i="21" s="1"/>
  <c r="C36" i="21" s="1"/>
  <c r="C35" i="21" s="1"/>
  <c r="C34" i="21" s="1"/>
  <c r="C33" i="21" s="1"/>
  <c r="C32" i="21" s="1"/>
  <c r="C31" i="21" s="1"/>
  <c r="C30" i="21" s="1"/>
  <c r="C29" i="21" s="1"/>
  <c r="C28" i="21" s="1"/>
  <c r="C27" i="21" s="1"/>
  <c r="C26" i="21" s="1"/>
  <c r="C25" i="21" s="1"/>
  <c r="C24" i="21" s="1"/>
  <c r="C23" i="21" s="1"/>
  <c r="C22" i="21" s="1"/>
  <c r="C21" i="21" s="1"/>
  <c r="C20" i="21" s="1"/>
  <c r="I36" i="20"/>
  <c r="I41" i="20"/>
  <c r="I40" i="20" s="1"/>
  <c r="I39" i="20" s="1"/>
  <c r="I38" i="20" s="1"/>
  <c r="I37" i="20" s="1"/>
  <c r="E39" i="20"/>
  <c r="E41" i="20"/>
  <c r="E40" i="20" s="1"/>
  <c r="D31" i="20"/>
  <c r="D30" i="20" s="1"/>
  <c r="D29" i="20" s="1"/>
  <c r="D28" i="20" s="1"/>
  <c r="D27" i="20" s="1"/>
  <c r="D26" i="20" s="1"/>
  <c r="D25" i="20" s="1"/>
  <c r="D24" i="20" s="1"/>
  <c r="D23" i="20" s="1"/>
  <c r="D22" i="20" s="1"/>
  <c r="D21" i="20" s="1"/>
  <c r="D20" i="20" s="1"/>
  <c r="D41" i="20"/>
  <c r="D40" i="20" s="1"/>
  <c r="D39" i="20" s="1"/>
  <c r="D38" i="20" s="1"/>
  <c r="D37" i="20" s="1"/>
  <c r="D36" i="20" s="1"/>
  <c r="D35" i="20" s="1"/>
  <c r="D34" i="20" s="1"/>
  <c r="D33" i="20" s="1"/>
  <c r="D32" i="20" s="1"/>
  <c r="C28" i="20"/>
  <c r="C41" i="20"/>
  <c r="C40" i="20" s="1"/>
  <c r="C39" i="20" s="1"/>
  <c r="C38" i="20" s="1"/>
  <c r="C37" i="20" s="1"/>
  <c r="C36" i="20" s="1"/>
  <c r="C35" i="20" s="1"/>
  <c r="C34" i="20" s="1"/>
  <c r="C33" i="20" s="1"/>
  <c r="C32" i="20" s="1"/>
  <c r="C31" i="20" s="1"/>
  <c r="C30" i="20" s="1"/>
  <c r="C29" i="20" s="1"/>
  <c r="E35" i="21" l="1"/>
  <c r="E34" i="21" s="1"/>
  <c r="E36" i="21"/>
  <c r="D26" i="23"/>
  <c r="D28" i="23"/>
  <c r="D27" i="23" s="1"/>
  <c r="E31" i="23"/>
  <c r="E34" i="23"/>
  <c r="E33" i="23" s="1"/>
  <c r="E32" i="23" s="1"/>
  <c r="E34" i="20"/>
  <c r="E38" i="20"/>
  <c r="E37" i="20" s="1"/>
  <c r="E36" i="20" s="1"/>
  <c r="E35" i="20" s="1"/>
  <c r="I32" i="20"/>
  <c r="I35" i="20"/>
  <c r="I34" i="20" s="1"/>
  <c r="I33" i="20" s="1"/>
  <c r="C27" i="20"/>
  <c r="C26" i="20" s="1"/>
  <c r="C25" i="20" s="1"/>
  <c r="C24" i="20" s="1"/>
  <c r="C23" i="20" s="1"/>
  <c r="C22" i="20" s="1"/>
  <c r="C21" i="20" s="1"/>
  <c r="C20" i="20" s="1"/>
  <c r="C21" i="25"/>
  <c r="C20" i="25" s="1"/>
  <c r="I31" i="20"/>
  <c r="I30" i="20" s="1"/>
  <c r="I41" i="24"/>
  <c r="I40" i="24" s="1"/>
  <c r="I39" i="24" s="1"/>
  <c r="I38" i="24" s="1"/>
  <c r="I37" i="24" s="1"/>
  <c r="I36" i="24" s="1"/>
  <c r="I35" i="24" s="1"/>
  <c r="E40" i="24"/>
  <c r="E39" i="24" s="1"/>
  <c r="E38" i="24" s="1"/>
  <c r="E37" i="24" s="1"/>
  <c r="E36" i="24" s="1"/>
  <c r="E35" i="24" s="1"/>
  <c r="E34" i="24" s="1"/>
  <c r="E33" i="24" s="1"/>
  <c r="E32" i="24" s="1"/>
  <c r="E31" i="24" s="1"/>
  <c r="E30" i="24" s="1"/>
  <c r="E41" i="24"/>
  <c r="D41" i="24"/>
  <c r="D40" i="24"/>
  <c r="D39" i="24" s="1"/>
  <c r="D38" i="24" s="1"/>
  <c r="D37" i="24" s="1"/>
  <c r="D36" i="24" s="1"/>
  <c r="D35" i="24" s="1"/>
  <c r="D34" i="24" s="1"/>
  <c r="D33" i="24" s="1"/>
  <c r="D32" i="24" s="1"/>
  <c r="D31" i="24" s="1"/>
  <c r="D30" i="24" s="1"/>
  <c r="C41" i="24"/>
  <c r="C40" i="24" s="1"/>
  <c r="C39" i="24" s="1"/>
  <c r="C38" i="24" s="1"/>
  <c r="C37" i="24" s="1"/>
  <c r="C36" i="24" s="1"/>
  <c r="C35" i="24" s="1"/>
  <c r="C34" i="24" s="1"/>
  <c r="C33" i="24" s="1"/>
  <c r="C32" i="24" s="1"/>
  <c r="C31" i="24" s="1"/>
  <c r="C30" i="24" s="1"/>
  <c r="I41" i="22"/>
  <c r="I40" i="22" s="1"/>
  <c r="E41" i="22"/>
  <c r="E40" i="22" s="1"/>
  <c r="E39" i="22" s="1"/>
  <c r="E38" i="22" s="1"/>
  <c r="E37" i="22" s="1"/>
  <c r="E36" i="22" s="1"/>
  <c r="E35" i="22" s="1"/>
  <c r="D41" i="22"/>
  <c r="D40" i="22" s="1"/>
  <c r="D39" i="22" s="1"/>
  <c r="D38" i="22" s="1"/>
  <c r="D37" i="22" s="1"/>
  <c r="D36" i="22" s="1"/>
  <c r="D35" i="22" s="1"/>
  <c r="D34" i="22" s="1"/>
  <c r="D33" i="22" s="1"/>
  <c r="D32" i="22" s="1"/>
  <c r="D31" i="22" s="1"/>
  <c r="D30" i="22" s="1"/>
  <c r="C40" i="22"/>
  <c r="C39" i="22" s="1"/>
  <c r="C38" i="22" s="1"/>
  <c r="C37" i="22" s="1"/>
  <c r="C36" i="22" s="1"/>
  <c r="C35" i="22" s="1"/>
  <c r="C34" i="22" s="1"/>
  <c r="C33" i="22" s="1"/>
  <c r="C32" i="22" s="1"/>
  <c r="C31" i="22" s="1"/>
  <c r="C41" i="22"/>
  <c r="I30" i="26"/>
  <c r="I29" i="26" s="1"/>
  <c r="I28" i="26" s="1"/>
  <c r="I27" i="26" s="1"/>
  <c r="I26" i="26" s="1"/>
  <c r="I25" i="26" s="1"/>
  <c r="I24" i="26" s="1"/>
  <c r="I23" i="26" s="1"/>
  <c r="D30" i="26"/>
  <c r="D29" i="26" s="1"/>
  <c r="D28" i="26" s="1"/>
  <c r="D27" i="26" s="1"/>
  <c r="D26" i="26" s="1"/>
  <c r="D25" i="26" s="1"/>
  <c r="D24" i="26" s="1"/>
  <c r="D23" i="26" s="1"/>
  <c r="D22" i="26" s="1"/>
  <c r="D21" i="26" s="1"/>
  <c r="D20" i="26" s="1"/>
  <c r="D19" i="26" s="1"/>
  <c r="D18" i="26" s="1"/>
  <c r="C30" i="26"/>
  <c r="C29" i="26" s="1"/>
  <c r="C28" i="26" s="1"/>
  <c r="C27" i="26" s="1"/>
  <c r="C26" i="26" s="1"/>
  <c r="C25" i="26" s="1"/>
  <c r="C24" i="26" s="1"/>
  <c r="C23" i="26" s="1"/>
  <c r="C22" i="26" s="1"/>
  <c r="C21" i="26" s="1"/>
  <c r="C20" i="26" s="1"/>
  <c r="C19" i="26" s="1"/>
  <c r="C18" i="26" s="1"/>
  <c r="I22" i="26" l="1"/>
  <c r="I21" i="26" s="1"/>
  <c r="E33" i="20"/>
  <c r="E32" i="20" s="1"/>
  <c r="E31" i="20" s="1"/>
  <c r="E30" i="20" s="1"/>
  <c r="E29" i="20" s="1"/>
  <c r="E30" i="23"/>
  <c r="E29" i="23" s="1"/>
  <c r="E28" i="23" s="1"/>
  <c r="D25" i="23"/>
  <c r="D24" i="23" s="1"/>
  <c r="D23" i="23" s="1"/>
  <c r="D22" i="23" s="1"/>
  <c r="D21" i="23" s="1"/>
  <c r="D20" i="23" s="1"/>
  <c r="E33" i="21"/>
  <c r="E32" i="21" s="1"/>
  <c r="E31" i="21" s="1"/>
  <c r="E30" i="21" s="1"/>
  <c r="E29" i="21" s="1"/>
  <c r="E28" i="21" s="1"/>
  <c r="E27" i="21" s="1"/>
  <c r="E26" i="21" s="1"/>
  <c r="E25" i="21" s="1"/>
  <c r="E24" i="21" s="1"/>
  <c r="E23" i="21" s="1"/>
  <c r="E22" i="21" s="1"/>
  <c r="E21" i="21" s="1"/>
  <c r="E20" i="21" s="1"/>
  <c r="I29" i="20"/>
  <c r="I28" i="20" s="1"/>
  <c r="I27" i="20" s="1"/>
  <c r="I26" i="20" s="1"/>
  <c r="I25" i="20" s="1"/>
  <c r="I24" i="20" s="1"/>
  <c r="I23" i="20" s="1"/>
  <c r="I22" i="20" s="1"/>
  <c r="I21" i="20" s="1"/>
  <c r="I20" i="20" s="1"/>
  <c r="I34" i="24"/>
  <c r="I33" i="24" s="1"/>
  <c r="I32" i="24" s="1"/>
  <c r="I31" i="24" s="1"/>
  <c r="I30" i="24" s="1"/>
  <c r="I39" i="22"/>
  <c r="E34" i="22"/>
  <c r="E33" i="22" s="1"/>
  <c r="E32" i="22" s="1"/>
  <c r="E31" i="22" s="1"/>
  <c r="E30" i="22" s="1"/>
  <c r="C30" i="22"/>
  <c r="I39" i="26"/>
  <c r="I38" i="26" s="1"/>
  <c r="I37" i="26" s="1"/>
  <c r="I36" i="26" s="1"/>
  <c r="I35" i="26" s="1"/>
  <c r="I34" i="26" s="1"/>
  <c r="D39" i="26"/>
  <c r="D38" i="26" s="1"/>
  <c r="D37" i="26" s="1"/>
  <c r="D36" i="26" s="1"/>
  <c r="D35" i="26" s="1"/>
  <c r="D34" i="26" s="1"/>
  <c r="C39" i="26"/>
  <c r="C38" i="26" s="1"/>
  <c r="C37" i="26" s="1"/>
  <c r="C36" i="26" s="1"/>
  <c r="C35" i="26" s="1"/>
  <c r="C34" i="26" s="1"/>
  <c r="R41" i="26"/>
  <c r="R41" i="23"/>
  <c r="R41" i="22"/>
  <c r="R41" i="25"/>
  <c r="R41" i="21"/>
  <c r="E28" i="20" l="1"/>
  <c r="E27" i="20" s="1"/>
  <c r="E26" i="20" s="1"/>
  <c r="E25" i="20" s="1"/>
  <c r="E24" i="20" s="1"/>
  <c r="E23" i="20" s="1"/>
  <c r="E27" i="23"/>
  <c r="E26" i="23" s="1"/>
  <c r="I38" i="22"/>
  <c r="I37" i="22" s="1"/>
  <c r="I36" i="22" s="1"/>
  <c r="I35" i="22" s="1"/>
  <c r="I34" i="22" s="1"/>
  <c r="I33" i="22" s="1"/>
  <c r="I32" i="22" s="1"/>
  <c r="I31" i="22" s="1"/>
  <c r="I30" i="22" s="1"/>
  <c r="R41" i="20"/>
  <c r="E25" i="23" l="1"/>
  <c r="E24" i="23" s="1"/>
  <c r="E22" i="20"/>
  <c r="E21" i="20" s="1"/>
  <c r="E20" i="20" s="1"/>
  <c r="R41" i="24"/>
  <c r="E21" i="23" l="1"/>
  <c r="E20" i="23" s="1"/>
  <c r="E23" i="23"/>
  <c r="E22" i="23" s="1"/>
  <c r="V6" i="26"/>
  <c r="V6" i="21"/>
  <c r="V6" i="25"/>
  <c r="V6" i="22"/>
  <c r="V6" i="23"/>
  <c r="F14" i="22" l="1"/>
  <c r="M15" i="25" l="1"/>
  <c r="L35" i="24" l="1"/>
  <c r="F38" i="24" l="1"/>
  <c r="V6" i="20" l="1"/>
  <c r="V6" i="24"/>
  <c r="F23" i="22" l="1"/>
  <c r="F23" i="24"/>
  <c r="F26" i="24" l="1"/>
  <c r="F38" i="26" l="1"/>
  <c r="M38" i="22"/>
  <c r="F35" i="22" l="1"/>
  <c r="F16" i="25" l="1"/>
  <c r="J19" i="21" l="1"/>
  <c r="F18" i="22"/>
  <c r="F20" i="22" l="1"/>
  <c r="F19" i="22"/>
  <c r="K31" i="23"/>
  <c r="K32" i="23"/>
  <c r="K33" i="23"/>
  <c r="K34" i="23"/>
  <c r="K35" i="23"/>
  <c r="K36" i="23"/>
  <c r="K37" i="23"/>
  <c r="K38" i="23"/>
  <c r="K39" i="23"/>
  <c r="K40" i="23"/>
  <c r="K41" i="23"/>
  <c r="F22" i="26" l="1"/>
  <c r="J14" i="26" l="1"/>
  <c r="F24" i="23" l="1"/>
  <c r="F37" i="24" l="1"/>
  <c r="F39" i="24"/>
  <c r="F40" i="24"/>
  <c r="F41" i="24"/>
  <c r="F17" i="22" l="1"/>
  <c r="F27" i="20" l="1"/>
  <c r="M15" i="20" l="1"/>
  <c r="F35" i="24" l="1"/>
  <c r="J16" i="25" l="1"/>
  <c r="K16" i="25"/>
  <c r="L16" i="25"/>
  <c r="O16" i="25" s="1"/>
  <c r="M16" i="25"/>
  <c r="J17" i="25"/>
  <c r="K17" i="25"/>
  <c r="L17" i="25"/>
  <c r="O17" i="25" s="1"/>
  <c r="M17" i="25"/>
  <c r="J18" i="25"/>
  <c r="K18" i="25"/>
  <c r="L18" i="25"/>
  <c r="O18" i="25" s="1"/>
  <c r="M18" i="25"/>
  <c r="J19" i="25"/>
  <c r="K19" i="25"/>
  <c r="L19" i="25"/>
  <c r="O19" i="25" s="1"/>
  <c r="M19" i="25"/>
  <c r="S17" i="25" l="1"/>
  <c r="S18" i="25"/>
  <c r="S19" i="25"/>
  <c r="AA19" i="25" s="1"/>
  <c r="S16" i="25"/>
  <c r="G16" i="25" s="1"/>
  <c r="H16" i="25" s="1"/>
  <c r="G17" i="25" l="1"/>
  <c r="F17" i="25"/>
  <c r="F15" i="25"/>
  <c r="F19" i="25"/>
  <c r="H17" i="25" l="1"/>
  <c r="F18" i="25"/>
  <c r="Q17" i="25" l="1"/>
  <c r="G41" i="26"/>
  <c r="F40" i="22" l="1"/>
  <c r="K37" i="22" l="1"/>
  <c r="K38" i="22"/>
  <c r="K39" i="22"/>
  <c r="L24" i="22" l="1"/>
  <c r="O24" i="22" s="1"/>
  <c r="L25" i="22"/>
  <c r="O25" i="22" s="1"/>
  <c r="L26" i="22"/>
  <c r="O26" i="22" s="1"/>
  <c r="K24" i="22"/>
  <c r="K25" i="22"/>
  <c r="K26" i="22"/>
  <c r="J23" i="22"/>
  <c r="J24" i="22"/>
  <c r="J25" i="22"/>
  <c r="J26" i="22"/>
  <c r="S25" i="22" l="1"/>
  <c r="S24" i="22"/>
  <c r="G24" i="22" l="1"/>
  <c r="H24" i="22" s="1"/>
  <c r="G25" i="22"/>
  <c r="H25" i="22" s="1"/>
  <c r="R40" i="26"/>
  <c r="R39" i="26" s="1"/>
  <c r="R38" i="26" s="1"/>
  <c r="R37" i="26" s="1"/>
  <c r="R36" i="26" s="1"/>
  <c r="R35" i="26" s="1"/>
  <c r="R34" i="26" s="1"/>
  <c r="R33" i="26" s="1"/>
  <c r="R32" i="26" s="1"/>
  <c r="R31" i="26" s="1"/>
  <c r="R30" i="26" s="1"/>
  <c r="R29" i="26" s="1"/>
  <c r="R28" i="26" s="1"/>
  <c r="R27" i="26" s="1"/>
  <c r="R26" i="26" s="1"/>
  <c r="R25" i="26" s="1"/>
  <c r="R24" i="26" s="1"/>
  <c r="R23" i="26" s="1"/>
  <c r="R22" i="26" s="1"/>
  <c r="R21" i="26" s="1"/>
  <c r="R20" i="26" s="1"/>
  <c r="R19" i="26" s="1"/>
  <c r="R18" i="26" s="1"/>
  <c r="R17" i="26" s="1"/>
  <c r="R16" i="26" s="1"/>
  <c r="R15" i="26" s="1"/>
  <c r="R14" i="26" s="1"/>
  <c r="Q6" i="21" l="1"/>
  <c r="R40" i="23" l="1"/>
  <c r="R39" i="23" s="1"/>
  <c r="R38" i="23" s="1"/>
  <c r="R37" i="23" s="1"/>
  <c r="R36" i="23" s="1"/>
  <c r="R35" i="23" s="1"/>
  <c r="R34" i="23" s="1"/>
  <c r="R33" i="23" s="1"/>
  <c r="R32" i="23" s="1"/>
  <c r="R31" i="23" s="1"/>
  <c r="R30" i="23" s="1"/>
  <c r="R29" i="23" s="1"/>
  <c r="R28" i="23" s="1"/>
  <c r="R27" i="23" s="1"/>
  <c r="R26" i="23" s="1"/>
  <c r="R25" i="23" s="1"/>
  <c r="R24" i="23" s="1"/>
  <c r="R23" i="23" s="1"/>
  <c r="R22" i="23" s="1"/>
  <c r="R21" i="23" s="1"/>
  <c r="R20" i="23" s="1"/>
  <c r="R19" i="23" s="1"/>
  <c r="R18" i="23" s="1"/>
  <c r="R17" i="23" s="1"/>
  <c r="R16" i="23" s="1"/>
  <c r="R15" i="23" s="1"/>
  <c r="R14" i="23" s="1"/>
  <c r="R40" i="20" l="1"/>
  <c r="R39" i="20" s="1"/>
  <c r="R38" i="20" s="1"/>
  <c r="R37" i="20" s="1"/>
  <c r="R36" i="20" s="1"/>
  <c r="R35" i="20" s="1"/>
  <c r="R34" i="20" s="1"/>
  <c r="R33" i="20" s="1"/>
  <c r="R32" i="20" s="1"/>
  <c r="R31" i="20" s="1"/>
  <c r="R30" i="20" s="1"/>
  <c r="R29" i="20" s="1"/>
  <c r="R28" i="20" s="1"/>
  <c r="R27" i="20" s="1"/>
  <c r="R26" i="20" s="1"/>
  <c r="R25" i="20" s="1"/>
  <c r="R24" i="20" s="1"/>
  <c r="R23" i="20" s="1"/>
  <c r="R22" i="20" s="1"/>
  <c r="R21" i="20" s="1"/>
  <c r="R20" i="20" s="1"/>
  <c r="R19" i="20" s="1"/>
  <c r="R18" i="20" s="1"/>
  <c r="R17" i="20" s="1"/>
  <c r="R16" i="20" s="1"/>
  <c r="R15" i="20" s="1"/>
  <c r="R14" i="20" s="1"/>
  <c r="N4" i="20"/>
  <c r="F24" i="21" l="1"/>
  <c r="F24" i="22" l="1"/>
  <c r="F25" i="22"/>
  <c r="F26" i="22"/>
  <c r="F27" i="22"/>
  <c r="F14" i="26" l="1"/>
  <c r="Q6" i="22" l="1"/>
  <c r="J21" i="22" l="1"/>
  <c r="F27" i="23" l="1"/>
  <c r="F33" i="25" l="1"/>
  <c r="J31" i="22" l="1"/>
  <c r="X41" i="26" l="1"/>
  <c r="F28" i="26" l="1"/>
  <c r="F14" i="21" l="1"/>
  <c r="F15" i="21"/>
  <c r="F16" i="21"/>
  <c r="F17" i="21"/>
  <c r="F18" i="21"/>
  <c r="F19" i="21"/>
  <c r="F20" i="21"/>
  <c r="F21" i="21"/>
  <c r="F22" i="21"/>
  <c r="F23" i="21"/>
  <c r="F25" i="21"/>
  <c r="F26" i="21"/>
  <c r="F27" i="21"/>
  <c r="F28" i="21"/>
  <c r="F29" i="21"/>
  <c r="F30" i="21"/>
  <c r="F31" i="21"/>
  <c r="F32" i="21"/>
  <c r="F33" i="21"/>
  <c r="F34" i="21"/>
  <c r="F35" i="21"/>
  <c r="F36" i="21"/>
  <c r="F37" i="21"/>
  <c r="F38" i="21"/>
  <c r="F39" i="21"/>
  <c r="F40" i="21"/>
  <c r="F41" i="21"/>
  <c r="F28" i="23" l="1"/>
  <c r="R40" i="25" l="1"/>
  <c r="R39" i="25" s="1"/>
  <c r="R38" i="25" s="1"/>
  <c r="R37" i="25" s="1"/>
  <c r="R36" i="25" s="1"/>
  <c r="R35" i="25" s="1"/>
  <c r="R34" i="25" s="1"/>
  <c r="R33" i="25" s="1"/>
  <c r="R32" i="25" s="1"/>
  <c r="R31" i="25" s="1"/>
  <c r="R30" i="25" s="1"/>
  <c r="R29" i="25" s="1"/>
  <c r="R28" i="25" s="1"/>
  <c r="R27" i="25" s="1"/>
  <c r="R26" i="25" s="1"/>
  <c r="R25" i="25" s="1"/>
  <c r="R24" i="25" s="1"/>
  <c r="R23" i="25" s="1"/>
  <c r="R22" i="25" s="1"/>
  <c r="R21" i="25" s="1"/>
  <c r="R20" i="25" s="1"/>
  <c r="R40" i="24"/>
  <c r="R39" i="24" s="1"/>
  <c r="R38" i="24" s="1"/>
  <c r="R37" i="24" s="1"/>
  <c r="R36" i="24" s="1"/>
  <c r="R35" i="24" s="1"/>
  <c r="R34" i="24" s="1"/>
  <c r="R33" i="24" s="1"/>
  <c r="R32" i="24" s="1"/>
  <c r="R31" i="24" s="1"/>
  <c r="R30" i="24" s="1"/>
  <c r="R29" i="24" s="1"/>
  <c r="R28" i="24" s="1"/>
  <c r="R27" i="24" s="1"/>
  <c r="R26" i="24" s="1"/>
  <c r="R25" i="24" s="1"/>
  <c r="R24" i="24" s="1"/>
  <c r="R23" i="24" s="1"/>
  <c r="R22" i="24" s="1"/>
  <c r="R21" i="24" s="1"/>
  <c r="R20" i="24" s="1"/>
  <c r="R19" i="24" s="1"/>
  <c r="R18" i="24" s="1"/>
  <c r="R17" i="24" s="1"/>
  <c r="R16" i="24" s="1"/>
  <c r="R40" i="22"/>
  <c r="R39" i="22" s="1"/>
  <c r="R38" i="22" s="1"/>
  <c r="R37" i="22" s="1"/>
  <c r="R36" i="22" s="1"/>
  <c r="R35" i="22" s="1"/>
  <c r="R34" i="22" s="1"/>
  <c r="R33" i="22" s="1"/>
  <c r="R32" i="22" s="1"/>
  <c r="R31" i="22" s="1"/>
  <c r="R30" i="22" s="1"/>
  <c r="R29" i="22" s="1"/>
  <c r="R28" i="22" s="1"/>
  <c r="R27" i="22" s="1"/>
  <c r="R26" i="22" s="1"/>
  <c r="R40" i="21"/>
  <c r="R39" i="21" s="1"/>
  <c r="R38" i="21" s="1"/>
  <c r="R37" i="21" s="1"/>
  <c r="R36" i="21" s="1"/>
  <c r="R35" i="21" s="1"/>
  <c r="R34" i="21" s="1"/>
  <c r="R33" i="21" s="1"/>
  <c r="R32" i="21" s="1"/>
  <c r="R31" i="21" s="1"/>
  <c r="R30" i="21" s="1"/>
  <c r="R29" i="21" s="1"/>
  <c r="R28" i="21" s="1"/>
  <c r="R27" i="21" s="1"/>
  <c r="R26" i="21" s="1"/>
  <c r="R25" i="21" s="1"/>
  <c r="R24" i="21" s="1"/>
  <c r="R23" i="21" s="1"/>
  <c r="R22" i="21" s="1"/>
  <c r="R21" i="21" s="1"/>
  <c r="R20" i="21" s="1"/>
  <c r="R19" i="21" s="1"/>
  <c r="R18" i="21" s="1"/>
  <c r="R17" i="21" s="1"/>
  <c r="R16" i="21" l="1"/>
  <c r="R15" i="21" s="1"/>
  <c r="R14" i="21" s="1"/>
  <c r="R15" i="24"/>
  <c r="R14" i="24" s="1"/>
  <c r="R19" i="25"/>
  <c r="R25" i="22"/>
  <c r="L22" i="22"/>
  <c r="F29" i="26"/>
  <c r="R18" i="25" l="1"/>
  <c r="T19" i="25"/>
  <c r="R24" i="22"/>
  <c r="T25" i="22"/>
  <c r="M37" i="20"/>
  <c r="M36" i="20"/>
  <c r="K37" i="20"/>
  <c r="J37" i="20"/>
  <c r="L37" i="20"/>
  <c r="R17" i="25" l="1"/>
  <c r="T18" i="25"/>
  <c r="R23" i="22"/>
  <c r="T24" i="22"/>
  <c r="F17" i="26"/>
  <c r="R16" i="25" l="1"/>
  <c r="T17" i="25"/>
  <c r="R22" i="22"/>
  <c r="R21" i="22" s="1"/>
  <c r="R20" i="22" s="1"/>
  <c r="R19" i="22" s="1"/>
  <c r="R18" i="22" s="1"/>
  <c r="R17" i="22" s="1"/>
  <c r="R16" i="22" s="1"/>
  <c r="R15" i="22" s="1"/>
  <c r="R14" i="22" s="1"/>
  <c r="O6" i="26"/>
  <c r="N41" i="26" s="1"/>
  <c r="O6" i="25"/>
  <c r="N41" i="25" s="1"/>
  <c r="O6" i="24"/>
  <c r="N41" i="24" s="1"/>
  <c r="O6" i="23"/>
  <c r="N41" i="23" s="1"/>
  <c r="O6" i="22"/>
  <c r="N41" i="22" s="1"/>
  <c r="O6" i="21"/>
  <c r="N41" i="21" s="1"/>
  <c r="O6" i="20"/>
  <c r="N41" i="20" s="1"/>
  <c r="U41" i="24" l="1"/>
  <c r="T16" i="25"/>
  <c r="R15" i="25"/>
  <c r="R14" i="25" s="1"/>
  <c r="F33" i="22"/>
  <c r="F22" i="20" l="1"/>
  <c r="F28" i="25" l="1"/>
  <c r="J16" i="20" l="1"/>
  <c r="J16" i="23" l="1"/>
  <c r="J17" i="23"/>
  <c r="M41" i="26" l="1"/>
  <c r="L41" i="26"/>
  <c r="O41" i="26" s="1"/>
  <c r="V41" i="26" s="1"/>
  <c r="K41" i="26"/>
  <c r="H41" i="26" s="1"/>
  <c r="J41" i="26"/>
  <c r="F41" i="26"/>
  <c r="M40" i="26"/>
  <c r="L40" i="26"/>
  <c r="O40" i="26" s="1"/>
  <c r="K40" i="26"/>
  <c r="J40" i="26"/>
  <c r="F40" i="26"/>
  <c r="M39" i="26"/>
  <c r="L39" i="26"/>
  <c r="O39" i="26" s="1"/>
  <c r="K39" i="26"/>
  <c r="J39" i="26"/>
  <c r="F39" i="26"/>
  <c r="M38" i="26"/>
  <c r="L38" i="26"/>
  <c r="O38" i="26" s="1"/>
  <c r="K38" i="26"/>
  <c r="J38" i="26"/>
  <c r="M37" i="26"/>
  <c r="L37" i="26"/>
  <c r="O37" i="26" s="1"/>
  <c r="K37" i="26"/>
  <c r="J37" i="26"/>
  <c r="F37" i="26"/>
  <c r="M36" i="26"/>
  <c r="L36" i="26"/>
  <c r="O36" i="26" s="1"/>
  <c r="K36" i="26"/>
  <c r="J36" i="26"/>
  <c r="F36" i="26"/>
  <c r="M35" i="26"/>
  <c r="L35" i="26"/>
  <c r="O35" i="26" s="1"/>
  <c r="K35" i="26"/>
  <c r="J35" i="26"/>
  <c r="F35" i="26"/>
  <c r="M34" i="26"/>
  <c r="L34" i="26"/>
  <c r="O34" i="26" s="1"/>
  <c r="K34" i="26"/>
  <c r="J34" i="26"/>
  <c r="F34" i="26"/>
  <c r="M33" i="26"/>
  <c r="L33" i="26"/>
  <c r="O33" i="26" s="1"/>
  <c r="K33" i="26"/>
  <c r="J33" i="26"/>
  <c r="F33" i="26"/>
  <c r="M32" i="26"/>
  <c r="L32" i="26"/>
  <c r="O32" i="26" s="1"/>
  <c r="K32" i="26"/>
  <c r="J32" i="26"/>
  <c r="F32" i="26"/>
  <c r="M31" i="26"/>
  <c r="L31" i="26"/>
  <c r="O31" i="26" s="1"/>
  <c r="K31" i="26"/>
  <c r="J31" i="26"/>
  <c r="F31" i="26"/>
  <c r="M30" i="26"/>
  <c r="L30" i="26"/>
  <c r="O30" i="26" s="1"/>
  <c r="K30" i="26"/>
  <c r="J30" i="26"/>
  <c r="F30" i="26"/>
  <c r="M29" i="26"/>
  <c r="L29" i="26"/>
  <c r="O29" i="26" s="1"/>
  <c r="K29" i="26"/>
  <c r="J29" i="26"/>
  <c r="M28" i="26"/>
  <c r="L28" i="26"/>
  <c r="O28" i="26" s="1"/>
  <c r="K28" i="26"/>
  <c r="J28" i="26"/>
  <c r="M27" i="26"/>
  <c r="L27" i="26"/>
  <c r="O27" i="26" s="1"/>
  <c r="K27" i="26"/>
  <c r="J27" i="26"/>
  <c r="F27" i="26"/>
  <c r="M26" i="26"/>
  <c r="L26" i="26"/>
  <c r="O26" i="26" s="1"/>
  <c r="K26" i="26"/>
  <c r="J26" i="26"/>
  <c r="F26" i="26"/>
  <c r="M25" i="26"/>
  <c r="L25" i="26"/>
  <c r="O25" i="26" s="1"/>
  <c r="K25" i="26"/>
  <c r="J25" i="26"/>
  <c r="F25" i="26"/>
  <c r="M24" i="26"/>
  <c r="L24" i="26"/>
  <c r="O24" i="26" s="1"/>
  <c r="K24" i="26"/>
  <c r="J24" i="26"/>
  <c r="F24" i="26"/>
  <c r="M23" i="26"/>
  <c r="L23" i="26"/>
  <c r="O23" i="26" s="1"/>
  <c r="K23" i="26"/>
  <c r="J23" i="26"/>
  <c r="F23" i="26"/>
  <c r="M22" i="26"/>
  <c r="L22" i="26"/>
  <c r="O22" i="26" s="1"/>
  <c r="K22" i="26"/>
  <c r="J22" i="26"/>
  <c r="M21" i="26"/>
  <c r="L21" i="26"/>
  <c r="O21" i="26" s="1"/>
  <c r="K21" i="26"/>
  <c r="J21" i="26"/>
  <c r="F21" i="26"/>
  <c r="M20" i="26"/>
  <c r="L20" i="26"/>
  <c r="O20" i="26" s="1"/>
  <c r="K20" i="26"/>
  <c r="J20" i="26"/>
  <c r="F20" i="26"/>
  <c r="M19" i="26"/>
  <c r="L19" i="26"/>
  <c r="O19" i="26" s="1"/>
  <c r="K19" i="26"/>
  <c r="J19" i="26"/>
  <c r="F19" i="26"/>
  <c r="M18" i="26"/>
  <c r="L18" i="26"/>
  <c r="O18" i="26" s="1"/>
  <c r="K18" i="26"/>
  <c r="J18" i="26"/>
  <c r="F18" i="26"/>
  <c r="M17" i="26"/>
  <c r="L17" i="26"/>
  <c r="O17" i="26" s="1"/>
  <c r="K17" i="26"/>
  <c r="J17" i="26"/>
  <c r="M16" i="26"/>
  <c r="L16" i="26"/>
  <c r="O16" i="26" s="1"/>
  <c r="K16" i="26"/>
  <c r="J16" i="26"/>
  <c r="F16" i="26"/>
  <c r="M15" i="26"/>
  <c r="L15" i="26"/>
  <c r="O15" i="26" s="1"/>
  <c r="K15" i="26"/>
  <c r="J15" i="26"/>
  <c r="F15" i="26"/>
  <c r="M14" i="26"/>
  <c r="L14" i="26"/>
  <c r="O14" i="26" s="1"/>
  <c r="K14" i="26"/>
  <c r="Q6" i="26"/>
  <c r="U41" i="26"/>
  <c r="X41" i="25"/>
  <c r="M41" i="25"/>
  <c r="L41" i="25"/>
  <c r="O41" i="25" s="1"/>
  <c r="V41" i="25" s="1"/>
  <c r="K41" i="25"/>
  <c r="J41" i="25"/>
  <c r="F41" i="25"/>
  <c r="M40" i="25"/>
  <c r="L40" i="25"/>
  <c r="O40" i="25" s="1"/>
  <c r="K40" i="25"/>
  <c r="J40" i="25"/>
  <c r="F40" i="25"/>
  <c r="M39" i="25"/>
  <c r="L39" i="25"/>
  <c r="O39" i="25" s="1"/>
  <c r="K39" i="25"/>
  <c r="J39" i="25"/>
  <c r="F39" i="25"/>
  <c r="M38" i="25"/>
  <c r="L38" i="25"/>
  <c r="O38" i="25" s="1"/>
  <c r="K38" i="25"/>
  <c r="J38" i="25"/>
  <c r="F38" i="25"/>
  <c r="M37" i="25"/>
  <c r="L37" i="25"/>
  <c r="O37" i="25" s="1"/>
  <c r="K37" i="25"/>
  <c r="J37" i="25"/>
  <c r="F37" i="25"/>
  <c r="M36" i="25"/>
  <c r="L36" i="25"/>
  <c r="O36" i="25" s="1"/>
  <c r="K36" i="25"/>
  <c r="J36" i="25"/>
  <c r="F36" i="25"/>
  <c r="M35" i="25"/>
  <c r="L35" i="25"/>
  <c r="O35" i="25" s="1"/>
  <c r="K35" i="25"/>
  <c r="J35" i="25"/>
  <c r="F35" i="25"/>
  <c r="M34" i="25"/>
  <c r="L34" i="25"/>
  <c r="O34" i="25" s="1"/>
  <c r="K34" i="25"/>
  <c r="J34" i="25"/>
  <c r="F34" i="25"/>
  <c r="M33" i="25"/>
  <c r="L33" i="25"/>
  <c r="O33" i="25" s="1"/>
  <c r="K33" i="25"/>
  <c r="J33" i="25"/>
  <c r="M32" i="25"/>
  <c r="L32" i="25"/>
  <c r="O32" i="25" s="1"/>
  <c r="K32" i="25"/>
  <c r="J32" i="25"/>
  <c r="F32" i="25"/>
  <c r="M31" i="25"/>
  <c r="L31" i="25"/>
  <c r="O31" i="25" s="1"/>
  <c r="K31" i="25"/>
  <c r="J31" i="25"/>
  <c r="F31" i="25"/>
  <c r="M30" i="25"/>
  <c r="L30" i="25"/>
  <c r="O30" i="25" s="1"/>
  <c r="K30" i="25"/>
  <c r="J30" i="25"/>
  <c r="F30" i="25"/>
  <c r="M29" i="25"/>
  <c r="L29" i="25"/>
  <c r="O29" i="25" s="1"/>
  <c r="K29" i="25"/>
  <c r="J29" i="25"/>
  <c r="F29" i="25"/>
  <c r="M28" i="25"/>
  <c r="L28" i="25"/>
  <c r="O28" i="25" s="1"/>
  <c r="K28" i="25"/>
  <c r="J28" i="25"/>
  <c r="M27" i="25"/>
  <c r="L27" i="25"/>
  <c r="O27" i="25" s="1"/>
  <c r="K27" i="25"/>
  <c r="J27" i="25"/>
  <c r="F27" i="25"/>
  <c r="M26" i="25"/>
  <c r="L26" i="25"/>
  <c r="O26" i="25" s="1"/>
  <c r="K26" i="25"/>
  <c r="J26" i="25"/>
  <c r="F26" i="25"/>
  <c r="M25" i="25"/>
  <c r="L25" i="25"/>
  <c r="O25" i="25" s="1"/>
  <c r="K25" i="25"/>
  <c r="J25" i="25"/>
  <c r="F25" i="25"/>
  <c r="M24" i="25"/>
  <c r="L24" i="25"/>
  <c r="O24" i="25" s="1"/>
  <c r="K24" i="25"/>
  <c r="J24" i="25"/>
  <c r="F24" i="25"/>
  <c r="M23" i="25"/>
  <c r="L23" i="25"/>
  <c r="O23" i="25" s="1"/>
  <c r="K23" i="25"/>
  <c r="J23" i="25"/>
  <c r="F23" i="25"/>
  <c r="M22" i="25"/>
  <c r="L22" i="25"/>
  <c r="O22" i="25" s="1"/>
  <c r="K22" i="25"/>
  <c r="J22" i="25"/>
  <c r="F22" i="25"/>
  <c r="L21" i="25"/>
  <c r="O21" i="25" s="1"/>
  <c r="K21" i="25"/>
  <c r="J21" i="25"/>
  <c r="F21" i="25"/>
  <c r="L20" i="25"/>
  <c r="O20" i="25" s="1"/>
  <c r="K20" i="25"/>
  <c r="J20" i="25"/>
  <c r="F20" i="25"/>
  <c r="L15" i="25"/>
  <c r="O15" i="25" s="1"/>
  <c r="K15" i="25"/>
  <c r="J15" i="25"/>
  <c r="M14" i="25"/>
  <c r="L14" i="25"/>
  <c r="O14" i="25" s="1"/>
  <c r="K14" i="25"/>
  <c r="J14" i="25"/>
  <c r="Q6" i="25"/>
  <c r="L41" i="24"/>
  <c r="O41" i="24" s="1"/>
  <c r="V41" i="24" s="1"/>
  <c r="K41" i="24"/>
  <c r="J41" i="24"/>
  <c r="L40" i="24"/>
  <c r="O40" i="24" s="1"/>
  <c r="K40" i="24"/>
  <c r="J40" i="24"/>
  <c r="M39" i="24"/>
  <c r="L39" i="24"/>
  <c r="O39" i="24" s="1"/>
  <c r="K39" i="24"/>
  <c r="J39" i="24"/>
  <c r="M38" i="24"/>
  <c r="L38" i="24"/>
  <c r="O38" i="24" s="1"/>
  <c r="K38" i="24"/>
  <c r="J38" i="24"/>
  <c r="M37" i="24"/>
  <c r="L37" i="24"/>
  <c r="O37" i="24" s="1"/>
  <c r="K37" i="24"/>
  <c r="J37" i="24"/>
  <c r="M36" i="24"/>
  <c r="L36" i="24"/>
  <c r="O36" i="24" s="1"/>
  <c r="K36" i="24"/>
  <c r="J36" i="24"/>
  <c r="F36" i="24"/>
  <c r="M35" i="24"/>
  <c r="O35" i="24"/>
  <c r="K35" i="24"/>
  <c r="J35" i="24"/>
  <c r="M34" i="24"/>
  <c r="L34" i="24"/>
  <c r="O34" i="24" s="1"/>
  <c r="K34" i="24"/>
  <c r="J34" i="24"/>
  <c r="F34" i="24"/>
  <c r="M33" i="24"/>
  <c r="L33" i="24"/>
  <c r="O33" i="24" s="1"/>
  <c r="K33" i="24"/>
  <c r="J33" i="24"/>
  <c r="F33" i="24"/>
  <c r="M32" i="24"/>
  <c r="L32" i="24"/>
  <c r="O32" i="24" s="1"/>
  <c r="K32" i="24"/>
  <c r="J32" i="24"/>
  <c r="F32" i="24"/>
  <c r="M31" i="24"/>
  <c r="L31" i="24"/>
  <c r="O31" i="24" s="1"/>
  <c r="K31" i="24"/>
  <c r="J31" i="24"/>
  <c r="F31" i="24"/>
  <c r="M30" i="24"/>
  <c r="L30" i="24"/>
  <c r="O30" i="24" s="1"/>
  <c r="K30" i="24"/>
  <c r="J30" i="24"/>
  <c r="F30" i="24"/>
  <c r="M29" i="24"/>
  <c r="L29" i="24"/>
  <c r="O29" i="24" s="1"/>
  <c r="K29" i="24"/>
  <c r="J29" i="24"/>
  <c r="F29" i="24"/>
  <c r="M28" i="24"/>
  <c r="L28" i="24"/>
  <c r="O28" i="24" s="1"/>
  <c r="K28" i="24"/>
  <c r="J28" i="24"/>
  <c r="F28" i="24"/>
  <c r="M27" i="24"/>
  <c r="L27" i="24"/>
  <c r="O27" i="24" s="1"/>
  <c r="K27" i="24"/>
  <c r="J27" i="24"/>
  <c r="F27" i="24"/>
  <c r="M26" i="24"/>
  <c r="L26" i="24"/>
  <c r="O26" i="24" s="1"/>
  <c r="K26" i="24"/>
  <c r="J26" i="24"/>
  <c r="M25" i="24"/>
  <c r="L25" i="24"/>
  <c r="O25" i="24" s="1"/>
  <c r="K25" i="24"/>
  <c r="J25" i="24"/>
  <c r="F25" i="24"/>
  <c r="M24" i="24"/>
  <c r="L24" i="24"/>
  <c r="O24" i="24" s="1"/>
  <c r="K24" i="24"/>
  <c r="J24" i="24"/>
  <c r="F24" i="24"/>
  <c r="M23" i="24"/>
  <c r="L23" i="24"/>
  <c r="O23" i="24" s="1"/>
  <c r="K23" i="24"/>
  <c r="J23" i="24"/>
  <c r="M22" i="24"/>
  <c r="L22" i="24"/>
  <c r="O22" i="24" s="1"/>
  <c r="K22" i="24"/>
  <c r="J22" i="24"/>
  <c r="F22" i="24"/>
  <c r="M21" i="24"/>
  <c r="L21" i="24"/>
  <c r="O21" i="24" s="1"/>
  <c r="K21" i="24"/>
  <c r="J21" i="24"/>
  <c r="F21" i="24"/>
  <c r="M20" i="24"/>
  <c r="L20" i="24"/>
  <c r="O20" i="24" s="1"/>
  <c r="K20" i="24"/>
  <c r="J20" i="24"/>
  <c r="F20" i="24"/>
  <c r="M19" i="24"/>
  <c r="L19" i="24"/>
  <c r="O19" i="24" s="1"/>
  <c r="K19" i="24"/>
  <c r="J19" i="24"/>
  <c r="F19" i="24"/>
  <c r="M18" i="24"/>
  <c r="L18" i="24"/>
  <c r="O18" i="24" s="1"/>
  <c r="K18" i="24"/>
  <c r="J18" i="24"/>
  <c r="F18" i="24"/>
  <c r="M17" i="24"/>
  <c r="L17" i="24"/>
  <c r="O17" i="24" s="1"/>
  <c r="K17" i="24"/>
  <c r="J17" i="24"/>
  <c r="F17" i="24"/>
  <c r="M16" i="24"/>
  <c r="L16" i="24"/>
  <c r="O16" i="24" s="1"/>
  <c r="K16" i="24"/>
  <c r="J16" i="24"/>
  <c r="F16" i="24"/>
  <c r="M15" i="24"/>
  <c r="L15" i="24"/>
  <c r="O15" i="24" s="1"/>
  <c r="K15" i="24"/>
  <c r="J15" i="24"/>
  <c r="F15" i="24"/>
  <c r="M14" i="24"/>
  <c r="L14" i="24"/>
  <c r="O14" i="24" s="1"/>
  <c r="K14" i="24"/>
  <c r="J14" i="24"/>
  <c r="F14" i="24"/>
  <c r="Q6" i="24"/>
  <c r="M41" i="23"/>
  <c r="L41" i="23"/>
  <c r="O41" i="23" s="1"/>
  <c r="V41" i="23" s="1"/>
  <c r="J41" i="23"/>
  <c r="F41" i="23"/>
  <c r="M40" i="23"/>
  <c r="L40" i="23"/>
  <c r="O40" i="23" s="1"/>
  <c r="J40" i="23"/>
  <c r="F40" i="23"/>
  <c r="M39" i="23"/>
  <c r="L39" i="23"/>
  <c r="O39" i="23" s="1"/>
  <c r="J39" i="23"/>
  <c r="F39" i="23"/>
  <c r="M38" i="23"/>
  <c r="L38" i="23"/>
  <c r="O38" i="23" s="1"/>
  <c r="J38" i="23"/>
  <c r="F38" i="23"/>
  <c r="M37" i="23"/>
  <c r="L37" i="23"/>
  <c r="O37" i="23" s="1"/>
  <c r="J37" i="23"/>
  <c r="F37" i="23"/>
  <c r="M36" i="23"/>
  <c r="L36" i="23"/>
  <c r="O36" i="23" s="1"/>
  <c r="J36" i="23"/>
  <c r="F36" i="23"/>
  <c r="M35" i="23"/>
  <c r="L35" i="23"/>
  <c r="O35" i="23" s="1"/>
  <c r="J35" i="23"/>
  <c r="F35" i="23"/>
  <c r="M34" i="23"/>
  <c r="L34" i="23"/>
  <c r="O34" i="23" s="1"/>
  <c r="J34" i="23"/>
  <c r="F34" i="23"/>
  <c r="M33" i="23"/>
  <c r="L33" i="23"/>
  <c r="O33" i="23" s="1"/>
  <c r="J33" i="23"/>
  <c r="F33" i="23"/>
  <c r="M32" i="23"/>
  <c r="L32" i="23"/>
  <c r="O32" i="23" s="1"/>
  <c r="J32" i="23"/>
  <c r="F32" i="23"/>
  <c r="M31" i="23"/>
  <c r="L31" i="23"/>
  <c r="O31" i="23" s="1"/>
  <c r="J31" i="23"/>
  <c r="F31" i="23"/>
  <c r="M30" i="23"/>
  <c r="L30" i="23"/>
  <c r="O30" i="23" s="1"/>
  <c r="K30" i="23"/>
  <c r="J30" i="23"/>
  <c r="F30" i="23"/>
  <c r="M29" i="23"/>
  <c r="L29" i="23"/>
  <c r="O29" i="23" s="1"/>
  <c r="K29" i="23"/>
  <c r="J29" i="23"/>
  <c r="F29" i="23"/>
  <c r="M28" i="23"/>
  <c r="L28" i="23"/>
  <c r="O28" i="23" s="1"/>
  <c r="K28" i="23"/>
  <c r="J28" i="23"/>
  <c r="M27" i="23"/>
  <c r="L27" i="23"/>
  <c r="O27" i="23" s="1"/>
  <c r="K27" i="23"/>
  <c r="J27" i="23"/>
  <c r="M26" i="23"/>
  <c r="L26" i="23"/>
  <c r="O26" i="23" s="1"/>
  <c r="K26" i="23"/>
  <c r="J26" i="23"/>
  <c r="F26" i="23"/>
  <c r="M25" i="23"/>
  <c r="L25" i="23"/>
  <c r="O25" i="23" s="1"/>
  <c r="K25" i="23"/>
  <c r="J25" i="23"/>
  <c r="F25" i="23"/>
  <c r="M24" i="23"/>
  <c r="L24" i="23"/>
  <c r="O24" i="23" s="1"/>
  <c r="K24" i="23"/>
  <c r="J24" i="23"/>
  <c r="M23" i="23"/>
  <c r="L23" i="23"/>
  <c r="O23" i="23" s="1"/>
  <c r="K23" i="23"/>
  <c r="J23" i="23"/>
  <c r="F23" i="23"/>
  <c r="M22" i="23"/>
  <c r="L22" i="23"/>
  <c r="O22" i="23" s="1"/>
  <c r="K22" i="23"/>
  <c r="J22" i="23"/>
  <c r="F22" i="23"/>
  <c r="M21" i="23"/>
  <c r="L21" i="23"/>
  <c r="O21" i="23" s="1"/>
  <c r="K21" i="23"/>
  <c r="J21" i="23"/>
  <c r="F21" i="23"/>
  <c r="M20" i="23"/>
  <c r="L20" i="23"/>
  <c r="O20" i="23" s="1"/>
  <c r="K20" i="23"/>
  <c r="J20" i="23"/>
  <c r="F20" i="23"/>
  <c r="M19" i="23"/>
  <c r="L19" i="23"/>
  <c r="O19" i="23" s="1"/>
  <c r="K19" i="23"/>
  <c r="J19" i="23"/>
  <c r="F19" i="23"/>
  <c r="M18" i="23"/>
  <c r="L18" i="23"/>
  <c r="O18" i="23" s="1"/>
  <c r="K18" i="23"/>
  <c r="J18" i="23"/>
  <c r="F18" i="23"/>
  <c r="M17" i="23"/>
  <c r="L17" i="23"/>
  <c r="O17" i="23" s="1"/>
  <c r="K17" i="23"/>
  <c r="F17" i="23"/>
  <c r="M16" i="23"/>
  <c r="L16" i="23"/>
  <c r="O16" i="23" s="1"/>
  <c r="K16" i="23"/>
  <c r="F16" i="23"/>
  <c r="M15" i="23"/>
  <c r="L15" i="23"/>
  <c r="O15" i="23" s="1"/>
  <c r="K15" i="23"/>
  <c r="J15" i="23"/>
  <c r="F15" i="23"/>
  <c r="M14" i="23"/>
  <c r="L14" i="23"/>
  <c r="O14" i="23" s="1"/>
  <c r="K14" i="23"/>
  <c r="J14" i="23"/>
  <c r="F14" i="23"/>
  <c r="Q6" i="23"/>
  <c r="M41" i="22"/>
  <c r="L41" i="22"/>
  <c r="O41" i="22" s="1"/>
  <c r="V41" i="22" s="1"/>
  <c r="K41" i="22"/>
  <c r="J41" i="22"/>
  <c r="F41" i="22"/>
  <c r="M40" i="22"/>
  <c r="L40" i="22"/>
  <c r="O40" i="22" s="1"/>
  <c r="K40" i="22"/>
  <c r="J40" i="22"/>
  <c r="M39" i="22"/>
  <c r="L39" i="22"/>
  <c r="O39" i="22" s="1"/>
  <c r="J39" i="22"/>
  <c r="F39" i="22"/>
  <c r="L38" i="22"/>
  <c r="O38" i="22" s="1"/>
  <c r="J38" i="22"/>
  <c r="F38" i="22"/>
  <c r="M37" i="22"/>
  <c r="L37" i="22"/>
  <c r="O37" i="22" s="1"/>
  <c r="J37" i="22"/>
  <c r="F37" i="22"/>
  <c r="M36" i="22"/>
  <c r="L36" i="22"/>
  <c r="O36" i="22" s="1"/>
  <c r="K36" i="22"/>
  <c r="J36" i="22"/>
  <c r="F36" i="22"/>
  <c r="M35" i="22"/>
  <c r="L35" i="22"/>
  <c r="O35" i="22" s="1"/>
  <c r="K35" i="22"/>
  <c r="J35" i="22"/>
  <c r="M34" i="22"/>
  <c r="L34" i="22"/>
  <c r="O34" i="22" s="1"/>
  <c r="K34" i="22"/>
  <c r="J34" i="22"/>
  <c r="F34" i="22"/>
  <c r="M33" i="22"/>
  <c r="L33" i="22"/>
  <c r="O33" i="22" s="1"/>
  <c r="K33" i="22"/>
  <c r="J33" i="22"/>
  <c r="M32" i="22"/>
  <c r="L32" i="22"/>
  <c r="O32" i="22" s="1"/>
  <c r="K32" i="22"/>
  <c r="J32" i="22"/>
  <c r="F32" i="22"/>
  <c r="M31" i="22"/>
  <c r="L31" i="22"/>
  <c r="O31" i="22" s="1"/>
  <c r="K31" i="22"/>
  <c r="F31" i="22"/>
  <c r="M30" i="22"/>
  <c r="L30" i="22"/>
  <c r="O30" i="22" s="1"/>
  <c r="K30" i="22"/>
  <c r="J30" i="22"/>
  <c r="F30" i="22"/>
  <c r="M29" i="22"/>
  <c r="L29" i="22"/>
  <c r="O29" i="22" s="1"/>
  <c r="K29" i="22"/>
  <c r="J29" i="22"/>
  <c r="F29" i="22"/>
  <c r="M28" i="22"/>
  <c r="L28" i="22"/>
  <c r="O28" i="22" s="1"/>
  <c r="K28" i="22"/>
  <c r="J28" i="22"/>
  <c r="F28" i="22"/>
  <c r="M27" i="22"/>
  <c r="L27" i="22"/>
  <c r="O27" i="22" s="1"/>
  <c r="K27" i="22"/>
  <c r="J27" i="22"/>
  <c r="M26" i="22"/>
  <c r="M25" i="22"/>
  <c r="AA25" i="22" s="1"/>
  <c r="M24" i="22"/>
  <c r="AA24" i="22" s="1"/>
  <c r="M23" i="22"/>
  <c r="L23" i="22"/>
  <c r="O23" i="22" s="1"/>
  <c r="K23" i="22"/>
  <c r="M22" i="22"/>
  <c r="O22" i="22"/>
  <c r="K22" i="22"/>
  <c r="J22" i="22"/>
  <c r="F22" i="22"/>
  <c r="M21" i="22"/>
  <c r="L21" i="22"/>
  <c r="O21" i="22" s="1"/>
  <c r="K21" i="22"/>
  <c r="F21" i="22"/>
  <c r="M20" i="22"/>
  <c r="L20" i="22"/>
  <c r="O20" i="22" s="1"/>
  <c r="K20" i="22"/>
  <c r="J20" i="22"/>
  <c r="M19" i="22"/>
  <c r="L19" i="22"/>
  <c r="O19" i="22" s="1"/>
  <c r="K19" i="22"/>
  <c r="J19" i="22"/>
  <c r="M18" i="22"/>
  <c r="L18" i="22"/>
  <c r="O18" i="22" s="1"/>
  <c r="K18" i="22"/>
  <c r="J18" i="22"/>
  <c r="M17" i="22"/>
  <c r="L17" i="22"/>
  <c r="O17" i="22" s="1"/>
  <c r="K17" i="22"/>
  <c r="J17" i="22"/>
  <c r="M16" i="22"/>
  <c r="L16" i="22"/>
  <c r="O16" i="22" s="1"/>
  <c r="K16" i="22"/>
  <c r="J16" i="22"/>
  <c r="F16" i="22"/>
  <c r="M15" i="22"/>
  <c r="L15" i="22"/>
  <c r="O15" i="22" s="1"/>
  <c r="K15" i="22"/>
  <c r="J15" i="22"/>
  <c r="F15" i="22"/>
  <c r="M14" i="22"/>
  <c r="L14" i="22"/>
  <c r="O14" i="22" s="1"/>
  <c r="J14" i="22"/>
  <c r="M41" i="21"/>
  <c r="L41" i="21"/>
  <c r="O41" i="21" s="1"/>
  <c r="V41" i="21" s="1"/>
  <c r="K41" i="21"/>
  <c r="J41" i="21"/>
  <c r="M40" i="21"/>
  <c r="L40" i="21"/>
  <c r="O40" i="21" s="1"/>
  <c r="K40" i="21"/>
  <c r="J40" i="21"/>
  <c r="M39" i="21"/>
  <c r="L39" i="21"/>
  <c r="O39" i="21" s="1"/>
  <c r="K39" i="21"/>
  <c r="J39" i="21"/>
  <c r="M38" i="21"/>
  <c r="L38" i="21"/>
  <c r="O38" i="21" s="1"/>
  <c r="K38" i="21"/>
  <c r="J38" i="21"/>
  <c r="M37" i="21"/>
  <c r="L37" i="21"/>
  <c r="O37" i="21" s="1"/>
  <c r="K37" i="21"/>
  <c r="J37" i="21"/>
  <c r="M36" i="21"/>
  <c r="L36" i="21"/>
  <c r="O36" i="21" s="1"/>
  <c r="K36" i="21"/>
  <c r="J36" i="21"/>
  <c r="M35" i="21"/>
  <c r="L35" i="21"/>
  <c r="O35" i="21" s="1"/>
  <c r="K35" i="21"/>
  <c r="J35" i="21"/>
  <c r="M34" i="21"/>
  <c r="L34" i="21"/>
  <c r="O34" i="21" s="1"/>
  <c r="K34" i="21"/>
  <c r="J34" i="21"/>
  <c r="M33" i="21"/>
  <c r="L33" i="21"/>
  <c r="O33" i="21" s="1"/>
  <c r="K33" i="21"/>
  <c r="J33" i="21"/>
  <c r="M32" i="21"/>
  <c r="L32" i="21"/>
  <c r="O32" i="21" s="1"/>
  <c r="K32" i="21"/>
  <c r="J32" i="21"/>
  <c r="M31" i="21"/>
  <c r="L31" i="21"/>
  <c r="O31" i="21" s="1"/>
  <c r="K31" i="21"/>
  <c r="J31" i="21"/>
  <c r="M30" i="21"/>
  <c r="L30" i="21"/>
  <c r="O30" i="21" s="1"/>
  <c r="K30" i="21"/>
  <c r="J30" i="21"/>
  <c r="M29" i="21"/>
  <c r="L29" i="21"/>
  <c r="O29" i="21" s="1"/>
  <c r="K29" i="21"/>
  <c r="J29" i="21"/>
  <c r="M28" i="21"/>
  <c r="L28" i="21"/>
  <c r="O28" i="21" s="1"/>
  <c r="K28" i="21"/>
  <c r="J28" i="21"/>
  <c r="M27" i="21"/>
  <c r="L27" i="21"/>
  <c r="O27" i="21" s="1"/>
  <c r="K27" i="21"/>
  <c r="J27" i="21"/>
  <c r="M26" i="21"/>
  <c r="L26" i="21"/>
  <c r="O26" i="21" s="1"/>
  <c r="K26" i="21"/>
  <c r="J26" i="21"/>
  <c r="M25" i="21"/>
  <c r="L25" i="21"/>
  <c r="O25" i="21" s="1"/>
  <c r="K25" i="21"/>
  <c r="J25" i="21"/>
  <c r="M24" i="21"/>
  <c r="L24" i="21"/>
  <c r="O24" i="21" s="1"/>
  <c r="K24" i="21"/>
  <c r="J24" i="21"/>
  <c r="M23" i="21"/>
  <c r="L23" i="21"/>
  <c r="O23" i="21" s="1"/>
  <c r="K23" i="21"/>
  <c r="J23" i="21"/>
  <c r="M22" i="21"/>
  <c r="L22" i="21"/>
  <c r="O22" i="21" s="1"/>
  <c r="K22" i="21"/>
  <c r="J22" i="21"/>
  <c r="M21" i="21"/>
  <c r="L21" i="21"/>
  <c r="O21" i="21" s="1"/>
  <c r="K21" i="21"/>
  <c r="J21" i="21"/>
  <c r="M20" i="21"/>
  <c r="L20" i="21"/>
  <c r="O20" i="21" s="1"/>
  <c r="K20" i="21"/>
  <c r="J20" i="21"/>
  <c r="M19" i="21"/>
  <c r="L19" i="21"/>
  <c r="O19" i="21" s="1"/>
  <c r="K19" i="21"/>
  <c r="M18" i="21"/>
  <c r="L18" i="21"/>
  <c r="O18" i="21" s="1"/>
  <c r="K18" i="21"/>
  <c r="J18" i="21"/>
  <c r="M17" i="21"/>
  <c r="L17" i="21"/>
  <c r="O17" i="21" s="1"/>
  <c r="K17" i="21"/>
  <c r="J17" i="21"/>
  <c r="M16" i="21"/>
  <c r="L16" i="21"/>
  <c r="O16" i="21" s="1"/>
  <c r="K16" i="21"/>
  <c r="J16" i="21"/>
  <c r="M15" i="21"/>
  <c r="L15" i="21"/>
  <c r="O15" i="21" s="1"/>
  <c r="K15" i="21"/>
  <c r="J15" i="21"/>
  <c r="M14" i="21"/>
  <c r="L14" i="21"/>
  <c r="O14" i="21" s="1"/>
  <c r="K14" i="21"/>
  <c r="J14" i="21"/>
  <c r="M42" i="23" l="1"/>
  <c r="M42" i="21"/>
  <c r="M42" i="22"/>
  <c r="M42" i="26"/>
  <c r="S20" i="24"/>
  <c r="G20" i="24" s="1"/>
  <c r="S16" i="24"/>
  <c r="G16" i="24" s="1"/>
  <c r="S24" i="24"/>
  <c r="S28" i="24"/>
  <c r="S17" i="24"/>
  <c r="G17" i="24" s="1"/>
  <c r="S21" i="24"/>
  <c r="G21" i="24" s="1"/>
  <c r="S25" i="24"/>
  <c r="G25" i="24" s="1"/>
  <c r="S29" i="24"/>
  <c r="G29" i="24" s="1"/>
  <c r="S14" i="24"/>
  <c r="G14" i="24" s="1"/>
  <c r="S18" i="24"/>
  <c r="G18" i="24" s="1"/>
  <c r="S22" i="24"/>
  <c r="G22" i="24" s="1"/>
  <c r="S26" i="24"/>
  <c r="G26" i="24" s="1"/>
  <c r="S15" i="24"/>
  <c r="G15" i="24" s="1"/>
  <c r="S19" i="24"/>
  <c r="S23" i="24"/>
  <c r="S27" i="24"/>
  <c r="G27" i="24" s="1"/>
  <c r="S31" i="24"/>
  <c r="G31" i="24" s="1"/>
  <c r="S36" i="24"/>
  <c r="S37" i="24"/>
  <c r="G37" i="24" s="1"/>
  <c r="S38" i="24"/>
  <c r="G38" i="24" s="1"/>
  <c r="S39" i="24"/>
  <c r="G39" i="24" s="1"/>
  <c r="S40" i="24"/>
  <c r="G40" i="24" s="1"/>
  <c r="S41" i="24"/>
  <c r="G41" i="24" s="1"/>
  <c r="S32" i="24"/>
  <c r="S33" i="24"/>
  <c r="G33" i="24" s="1"/>
  <c r="S30" i="24"/>
  <c r="S34" i="24"/>
  <c r="G34" i="24" s="1"/>
  <c r="S35" i="24"/>
  <c r="G35" i="24" s="1"/>
  <c r="S23" i="22"/>
  <c r="S18" i="26"/>
  <c r="S17" i="23"/>
  <c r="G17" i="23" s="1"/>
  <c r="H17" i="23" s="1"/>
  <c r="S37" i="26"/>
  <c r="S39" i="23"/>
  <c r="G39" i="23" s="1"/>
  <c r="S19" i="26"/>
  <c r="S19" i="22"/>
  <c r="S31" i="23"/>
  <c r="G31" i="23" s="1"/>
  <c r="S33" i="25"/>
  <c r="G33" i="25" s="1"/>
  <c r="S33" i="21"/>
  <c r="G33" i="21" s="1"/>
  <c r="S34" i="22"/>
  <c r="G34" i="22" s="1"/>
  <c r="S36" i="21"/>
  <c r="S40" i="25"/>
  <c r="G40" i="25" s="1"/>
  <c r="H40" i="25" s="1"/>
  <c r="S40" i="21"/>
  <c r="G40" i="21" s="1"/>
  <c r="V40" i="26"/>
  <c r="V39" i="26" s="1"/>
  <c r="V38" i="26" s="1"/>
  <c r="V37" i="26" s="1"/>
  <c r="V36" i="26" s="1"/>
  <c r="V35" i="26" s="1"/>
  <c r="V34" i="26" s="1"/>
  <c r="V33" i="26" s="1"/>
  <c r="V32" i="26" s="1"/>
  <c r="V31" i="26" s="1"/>
  <c r="V30" i="26" s="1"/>
  <c r="V29" i="26" s="1"/>
  <c r="V28" i="26" s="1"/>
  <c r="V27" i="26" s="1"/>
  <c r="V26" i="26" s="1"/>
  <c r="V25" i="26" s="1"/>
  <c r="V24" i="26" s="1"/>
  <c r="V23" i="26" s="1"/>
  <c r="V22" i="26" s="1"/>
  <c r="V21" i="26" s="1"/>
  <c r="V20" i="26" s="1"/>
  <c r="V19" i="26" s="1"/>
  <c r="V18" i="26" s="1"/>
  <c r="V17" i="26" s="1"/>
  <c r="V16" i="26" s="1"/>
  <c r="V15" i="26" s="1"/>
  <c r="V14" i="26" s="1"/>
  <c r="S27" i="26"/>
  <c r="G26" i="26" s="1"/>
  <c r="S41" i="26"/>
  <c r="G40" i="26" s="1"/>
  <c r="H40" i="26" s="1"/>
  <c r="S32" i="25"/>
  <c r="S36" i="23"/>
  <c r="G36" i="23" s="1"/>
  <c r="S34" i="23"/>
  <c r="S41" i="23"/>
  <c r="G41" i="23" s="1"/>
  <c r="H41" i="23" s="1"/>
  <c r="S35" i="22"/>
  <c r="G35" i="22" s="1"/>
  <c r="S40" i="22"/>
  <c r="G40" i="22" s="1"/>
  <c r="V40" i="22"/>
  <c r="V39" i="22" s="1"/>
  <c r="V38" i="22" s="1"/>
  <c r="V37" i="22" s="1"/>
  <c r="V36" i="22" s="1"/>
  <c r="V35" i="22" s="1"/>
  <c r="V34" i="22" s="1"/>
  <c r="V33" i="22" s="1"/>
  <c r="V32" i="22" s="1"/>
  <c r="V31" i="22" s="1"/>
  <c r="V30" i="22" s="1"/>
  <c r="V29" i="22" s="1"/>
  <c r="V28" i="22" s="1"/>
  <c r="V27" i="22" s="1"/>
  <c r="V26" i="22" s="1"/>
  <c r="V25" i="22" s="1"/>
  <c r="V24" i="22" s="1"/>
  <c r="V23" i="22" s="1"/>
  <c r="V22" i="22" s="1"/>
  <c r="V21" i="22" s="1"/>
  <c r="V20" i="22" s="1"/>
  <c r="V19" i="22" s="1"/>
  <c r="V18" i="22" s="1"/>
  <c r="V17" i="22" s="1"/>
  <c r="V16" i="22" s="1"/>
  <c r="V15" i="22" s="1"/>
  <c r="V14" i="22" s="1"/>
  <c r="S36" i="22"/>
  <c r="S19" i="21"/>
  <c r="G19" i="21" s="1"/>
  <c r="S27" i="21"/>
  <c r="S37" i="21"/>
  <c r="G37" i="21" s="1"/>
  <c r="S35" i="21"/>
  <c r="G35" i="21" s="1"/>
  <c r="S14" i="23"/>
  <c r="G14" i="23" s="1"/>
  <c r="H14" i="23" s="1"/>
  <c r="S14" i="26"/>
  <c r="S15" i="26"/>
  <c r="G14" i="26" s="1"/>
  <c r="S15" i="25"/>
  <c r="G15" i="25" s="1"/>
  <c r="H15" i="25" s="1"/>
  <c r="S16" i="23"/>
  <c r="G16" i="23" s="1"/>
  <c r="H16" i="23" s="1"/>
  <c r="S15" i="23"/>
  <c r="G15" i="23" s="1"/>
  <c r="H15" i="23" s="1"/>
  <c r="S15" i="22"/>
  <c r="G15" i="22" s="1"/>
  <c r="H15" i="22" s="1"/>
  <c r="S14" i="21"/>
  <c r="G14" i="21" s="1"/>
  <c r="S16" i="26"/>
  <c r="G15" i="26" s="1"/>
  <c r="S16" i="22"/>
  <c r="G16" i="22" s="1"/>
  <c r="H16" i="22" s="1"/>
  <c r="S16" i="21"/>
  <c r="G16" i="21" s="1"/>
  <c r="H16" i="21" s="1"/>
  <c r="S17" i="26"/>
  <c r="G16" i="26" s="1"/>
  <c r="S17" i="22"/>
  <c r="G17" i="22" s="1"/>
  <c r="H17" i="22" s="1"/>
  <c r="S17" i="21"/>
  <c r="G17" i="21" s="1"/>
  <c r="S20" i="22"/>
  <c r="S21" i="22"/>
  <c r="G21" i="22" s="1"/>
  <c r="S20" i="23"/>
  <c r="S20" i="26"/>
  <c r="G19" i="26" s="1"/>
  <c r="S18" i="22"/>
  <c r="G18" i="22" s="1"/>
  <c r="S18" i="21"/>
  <c r="S21" i="26"/>
  <c r="G20" i="26" s="1"/>
  <c r="S21" i="21"/>
  <c r="G21" i="21" s="1"/>
  <c r="S22" i="26"/>
  <c r="S22" i="25"/>
  <c r="G22" i="25" s="1"/>
  <c r="H22" i="25" s="1"/>
  <c r="S22" i="22"/>
  <c r="G22" i="22" s="1"/>
  <c r="H22" i="22" s="1"/>
  <c r="S24" i="26"/>
  <c r="S23" i="25"/>
  <c r="G23" i="25" s="1"/>
  <c r="H23" i="25" s="1"/>
  <c r="S23" i="23"/>
  <c r="S24" i="21"/>
  <c r="S23" i="21"/>
  <c r="S24" i="25"/>
  <c r="S25" i="26"/>
  <c r="S26" i="26"/>
  <c r="G25" i="26" s="1"/>
  <c r="H25" i="26" s="1"/>
  <c r="S27" i="25"/>
  <c r="G27" i="25" s="1"/>
  <c r="S28" i="25"/>
  <c r="S25" i="23"/>
  <c r="S26" i="23"/>
  <c r="G26" i="23" s="1"/>
  <c r="S28" i="22"/>
  <c r="G28" i="22" s="1"/>
  <c r="S28" i="21"/>
  <c r="S25" i="21"/>
  <c r="S29" i="26"/>
  <c r="S28" i="23"/>
  <c r="G28" i="23" s="1"/>
  <c r="S29" i="25"/>
  <c r="S29" i="22"/>
  <c r="G29" i="22" s="1"/>
  <c r="S29" i="21"/>
  <c r="G29" i="21" s="1"/>
  <c r="S32" i="26"/>
  <c r="S31" i="26"/>
  <c r="G30" i="26" s="1"/>
  <c r="S30" i="25"/>
  <c r="G30" i="25" s="1"/>
  <c r="S31" i="22"/>
  <c r="S32" i="21"/>
  <c r="S31" i="21"/>
  <c r="G31" i="21" s="1"/>
  <c r="H31" i="21" s="1"/>
  <c r="S30" i="21"/>
  <c r="G30" i="21" s="1"/>
  <c r="H30" i="21" s="1"/>
  <c r="S33" i="26"/>
  <c r="G32" i="26" s="1"/>
  <c r="H32" i="26" s="1"/>
  <c r="S35" i="26"/>
  <c r="G34" i="26" s="1"/>
  <c r="S38" i="26"/>
  <c r="G37" i="26" s="1"/>
  <c r="S40" i="26"/>
  <c r="G39" i="26" s="1"/>
  <c r="H39" i="26" s="1"/>
  <c r="S38" i="25"/>
  <c r="G38" i="25" s="1"/>
  <c r="H38" i="25" s="1"/>
  <c r="S34" i="25"/>
  <c r="S35" i="25"/>
  <c r="G35" i="25" s="1"/>
  <c r="H35" i="25" s="1"/>
  <c r="S39" i="25"/>
  <c r="G39" i="25" s="1"/>
  <c r="H39" i="25" s="1"/>
  <c r="S41" i="25"/>
  <c r="G41" i="25" s="1"/>
  <c r="S33" i="23"/>
  <c r="G33" i="23" s="1"/>
  <c r="S33" i="22"/>
  <c r="G33" i="22" s="1"/>
  <c r="S37" i="22"/>
  <c r="G37" i="22" s="1"/>
  <c r="S32" i="22"/>
  <c r="S39" i="22"/>
  <c r="S38" i="21"/>
  <c r="G38" i="21" s="1"/>
  <c r="V40" i="21"/>
  <c r="V39" i="21" s="1"/>
  <c r="V38" i="21" s="1"/>
  <c r="V37" i="21" s="1"/>
  <c r="V36" i="21" s="1"/>
  <c r="V35" i="21" s="1"/>
  <c r="V34" i="21" s="1"/>
  <c r="V33" i="21" s="1"/>
  <c r="V32" i="21" s="1"/>
  <c r="V31" i="21" s="1"/>
  <c r="V30" i="21" s="1"/>
  <c r="V29" i="21" s="1"/>
  <c r="V28" i="21" s="1"/>
  <c r="V27" i="21" s="1"/>
  <c r="V26" i="21" s="1"/>
  <c r="V25" i="21" s="1"/>
  <c r="V24" i="21" s="1"/>
  <c r="V23" i="21" s="1"/>
  <c r="V22" i="21" s="1"/>
  <c r="V21" i="21" s="1"/>
  <c r="V20" i="21" s="1"/>
  <c r="V19" i="21" s="1"/>
  <c r="V18" i="21" s="1"/>
  <c r="V17" i="21" s="1"/>
  <c r="N40" i="26"/>
  <c r="U40" i="26" s="1"/>
  <c r="S23" i="26"/>
  <c r="G22" i="26" s="1"/>
  <c r="S30" i="26"/>
  <c r="G29" i="26" s="1"/>
  <c r="H29" i="26" s="1"/>
  <c r="S28" i="26"/>
  <c r="S36" i="26"/>
  <c r="S39" i="26"/>
  <c r="G38" i="26" s="1"/>
  <c r="H38" i="26" s="1"/>
  <c r="W41" i="26"/>
  <c r="P41" i="26"/>
  <c r="S34" i="26"/>
  <c r="G33" i="26" s="1"/>
  <c r="H33" i="26" s="1"/>
  <c r="V40" i="25"/>
  <c r="V39" i="25" s="1"/>
  <c r="V38" i="25" s="1"/>
  <c r="V37" i="25" s="1"/>
  <c r="V36" i="25" s="1"/>
  <c r="V35" i="25" s="1"/>
  <c r="V34" i="25" s="1"/>
  <c r="V33" i="25" s="1"/>
  <c r="V32" i="25" s="1"/>
  <c r="V31" i="25" s="1"/>
  <c r="V30" i="25" s="1"/>
  <c r="V29" i="25" s="1"/>
  <c r="V28" i="25" s="1"/>
  <c r="V27" i="25" s="1"/>
  <c r="V26" i="25" s="1"/>
  <c r="V25" i="25" s="1"/>
  <c r="V24" i="25" s="1"/>
  <c r="V23" i="25" s="1"/>
  <c r="V22" i="25" s="1"/>
  <c r="V21" i="25" s="1"/>
  <c r="V20" i="25" s="1"/>
  <c r="N40" i="25"/>
  <c r="U41" i="25"/>
  <c r="P41" i="25"/>
  <c r="S14" i="25"/>
  <c r="G14" i="25" s="1"/>
  <c r="H14" i="25" s="1"/>
  <c r="S31" i="25"/>
  <c r="G31" i="25" s="1"/>
  <c r="H31" i="25" s="1"/>
  <c r="S36" i="25"/>
  <c r="S20" i="25"/>
  <c r="S26" i="25"/>
  <c r="G26" i="25" s="1"/>
  <c r="H26" i="25" s="1"/>
  <c r="G19" i="25"/>
  <c r="S25" i="25"/>
  <c r="G18" i="25"/>
  <c r="X40" i="25"/>
  <c r="S21" i="25"/>
  <c r="G21" i="25" s="1"/>
  <c r="H21" i="25" s="1"/>
  <c r="S37" i="25"/>
  <c r="G37" i="25" s="1"/>
  <c r="V40" i="24"/>
  <c r="V39" i="24" s="1"/>
  <c r="V38" i="24" s="1"/>
  <c r="V37" i="24" s="1"/>
  <c r="V36" i="24" s="1"/>
  <c r="V35" i="24" s="1"/>
  <c r="V34" i="24" s="1"/>
  <c r="V33" i="24" s="1"/>
  <c r="V32" i="24" s="1"/>
  <c r="V31" i="24" s="1"/>
  <c r="V30" i="24" s="1"/>
  <c r="V29" i="24" s="1"/>
  <c r="V28" i="24" s="1"/>
  <c r="V27" i="24" s="1"/>
  <c r="V26" i="24" s="1"/>
  <c r="V25" i="24" s="1"/>
  <c r="V24" i="24" s="1"/>
  <c r="V23" i="24" s="1"/>
  <c r="V22" i="24" s="1"/>
  <c r="V21" i="24" s="1"/>
  <c r="V20" i="24" s="1"/>
  <c r="V19" i="24" s="1"/>
  <c r="V18" i="24" s="1"/>
  <c r="V17" i="24" s="1"/>
  <c r="V16" i="24" s="1"/>
  <c r="V15" i="24" s="1"/>
  <c r="V14" i="24" s="1"/>
  <c r="P41" i="24"/>
  <c r="N40" i="24"/>
  <c r="X41" i="24"/>
  <c r="V40" i="23"/>
  <c r="V39" i="23" s="1"/>
  <c r="V38" i="23" s="1"/>
  <c r="V37" i="23" s="1"/>
  <c r="V36" i="23" s="1"/>
  <c r="V35" i="23" s="1"/>
  <c r="V34" i="23" s="1"/>
  <c r="V33" i="23" s="1"/>
  <c r="V32" i="23" s="1"/>
  <c r="V31" i="23" s="1"/>
  <c r="V30" i="23" s="1"/>
  <c r="V29" i="23" s="1"/>
  <c r="V28" i="23" s="1"/>
  <c r="V27" i="23" s="1"/>
  <c r="V26" i="23" s="1"/>
  <c r="V25" i="23" s="1"/>
  <c r="V24" i="23" s="1"/>
  <c r="V23" i="23" s="1"/>
  <c r="V22" i="23" s="1"/>
  <c r="V21" i="23" s="1"/>
  <c r="V20" i="23" s="1"/>
  <c r="V19" i="23" s="1"/>
  <c r="V18" i="23" s="1"/>
  <c r="V17" i="23" s="1"/>
  <c r="V16" i="23" s="1"/>
  <c r="V15" i="23" s="1"/>
  <c r="V14" i="23" s="1"/>
  <c r="X41" i="23"/>
  <c r="X40" i="23" s="1"/>
  <c r="X39" i="23" s="1"/>
  <c r="U41" i="23"/>
  <c r="N40" i="23"/>
  <c r="P41" i="23"/>
  <c r="S19" i="23"/>
  <c r="S18" i="23"/>
  <c r="G18" i="23" s="1"/>
  <c r="H18" i="23" s="1"/>
  <c r="S24" i="23"/>
  <c r="S32" i="23"/>
  <c r="S22" i="23"/>
  <c r="G22" i="23" s="1"/>
  <c r="S40" i="23"/>
  <c r="G40" i="23" s="1"/>
  <c r="H40" i="23" s="1"/>
  <c r="S21" i="23"/>
  <c r="G21" i="23" s="1"/>
  <c r="S29" i="23"/>
  <c r="G29" i="23" s="1"/>
  <c r="S30" i="23"/>
  <c r="G30" i="23" s="1"/>
  <c r="S37" i="23"/>
  <c r="G37" i="23" s="1"/>
  <c r="S38" i="23"/>
  <c r="G38" i="23" s="1"/>
  <c r="S27" i="23"/>
  <c r="S35" i="23"/>
  <c r="G35" i="23" s="1"/>
  <c r="S41" i="22"/>
  <c r="G41" i="22" s="1"/>
  <c r="P41" i="22"/>
  <c r="N40" i="22"/>
  <c r="U41" i="22"/>
  <c r="S27" i="22"/>
  <c r="S26" i="22"/>
  <c r="G26" i="22" s="1"/>
  <c r="S30" i="22"/>
  <c r="X41" i="22"/>
  <c r="S39" i="21"/>
  <c r="G39" i="21" s="1"/>
  <c r="S41" i="21"/>
  <c r="G41" i="21" s="1"/>
  <c r="S15" i="21"/>
  <c r="G15" i="21" s="1"/>
  <c r="H15" i="21" s="1"/>
  <c r="S20" i="21"/>
  <c r="P41" i="21"/>
  <c r="U41" i="21"/>
  <c r="N40" i="21"/>
  <c r="S26" i="21"/>
  <c r="G26" i="21" s="1"/>
  <c r="X41" i="21"/>
  <c r="S22" i="21"/>
  <c r="G22" i="21" s="1"/>
  <c r="H22" i="21" s="1"/>
  <c r="S34" i="21"/>
  <c r="U41" i="20"/>
  <c r="Q6" i="20"/>
  <c r="F14" i="20"/>
  <c r="J14" i="20"/>
  <c r="K14" i="20"/>
  <c r="L14" i="20"/>
  <c r="O14" i="20" s="1"/>
  <c r="M14" i="20"/>
  <c r="F15" i="20"/>
  <c r="J15" i="20"/>
  <c r="K15" i="20"/>
  <c r="L15" i="20"/>
  <c r="O15" i="20" s="1"/>
  <c r="F16" i="20"/>
  <c r="K16" i="20"/>
  <c r="L16" i="20"/>
  <c r="O16" i="20" s="1"/>
  <c r="M16" i="20"/>
  <c r="F17" i="20"/>
  <c r="J17" i="20"/>
  <c r="K17" i="20"/>
  <c r="L17" i="20"/>
  <c r="O17" i="20" s="1"/>
  <c r="M17" i="20"/>
  <c r="F18" i="20"/>
  <c r="J18" i="20"/>
  <c r="K18" i="20"/>
  <c r="L18" i="20"/>
  <c r="O18" i="20" s="1"/>
  <c r="M18" i="20"/>
  <c r="F19" i="20"/>
  <c r="J19" i="20"/>
  <c r="K19" i="20"/>
  <c r="L19" i="20"/>
  <c r="O19" i="20" s="1"/>
  <c r="M19" i="20"/>
  <c r="F20" i="20"/>
  <c r="J20" i="20"/>
  <c r="K20" i="20"/>
  <c r="L20" i="20"/>
  <c r="O20" i="20" s="1"/>
  <c r="M20" i="20"/>
  <c r="F21" i="20"/>
  <c r="J21" i="20"/>
  <c r="K21" i="20"/>
  <c r="L21" i="20"/>
  <c r="O21" i="20" s="1"/>
  <c r="M21" i="20"/>
  <c r="J22" i="20"/>
  <c r="K22" i="20"/>
  <c r="L22" i="20"/>
  <c r="O22" i="20" s="1"/>
  <c r="M22" i="20"/>
  <c r="F23" i="20"/>
  <c r="J23" i="20"/>
  <c r="K23" i="20"/>
  <c r="L23" i="20"/>
  <c r="O23" i="20" s="1"/>
  <c r="M23" i="20"/>
  <c r="F24" i="20"/>
  <c r="J24" i="20"/>
  <c r="K24" i="20"/>
  <c r="L24" i="20"/>
  <c r="O24" i="20" s="1"/>
  <c r="M24" i="20"/>
  <c r="F25" i="20"/>
  <c r="J25" i="20"/>
  <c r="K25" i="20"/>
  <c r="L25" i="20"/>
  <c r="O25" i="20" s="1"/>
  <c r="M25" i="20"/>
  <c r="F26" i="20"/>
  <c r="J26" i="20"/>
  <c r="K26" i="20"/>
  <c r="L26" i="20"/>
  <c r="O26" i="20" s="1"/>
  <c r="M26" i="20"/>
  <c r="J27" i="20"/>
  <c r="K27" i="20"/>
  <c r="L27" i="20"/>
  <c r="O27" i="20" s="1"/>
  <c r="M27" i="20"/>
  <c r="F28" i="20"/>
  <c r="J28" i="20"/>
  <c r="K28" i="20"/>
  <c r="L28" i="20"/>
  <c r="O28" i="20" s="1"/>
  <c r="M28" i="20"/>
  <c r="F29" i="20"/>
  <c r="J29" i="20"/>
  <c r="K29" i="20"/>
  <c r="L29" i="20"/>
  <c r="O29" i="20" s="1"/>
  <c r="M29" i="20"/>
  <c r="F30" i="20"/>
  <c r="J30" i="20"/>
  <c r="K30" i="20"/>
  <c r="L30" i="20"/>
  <c r="O30" i="20" s="1"/>
  <c r="M30" i="20"/>
  <c r="F31" i="20"/>
  <c r="J31" i="20"/>
  <c r="K31" i="20"/>
  <c r="L31" i="20"/>
  <c r="O31" i="20" s="1"/>
  <c r="M31" i="20"/>
  <c r="F32" i="20"/>
  <c r="J32" i="20"/>
  <c r="K32" i="20"/>
  <c r="L32" i="20"/>
  <c r="O32" i="20" s="1"/>
  <c r="M32" i="20"/>
  <c r="F33" i="20"/>
  <c r="J33" i="20"/>
  <c r="K33" i="20"/>
  <c r="L33" i="20"/>
  <c r="O33" i="20" s="1"/>
  <c r="M33" i="20"/>
  <c r="F34" i="20"/>
  <c r="J34" i="20"/>
  <c r="K34" i="20"/>
  <c r="L34" i="20"/>
  <c r="O34" i="20" s="1"/>
  <c r="M34" i="20"/>
  <c r="F35" i="20"/>
  <c r="J35" i="20"/>
  <c r="K35" i="20"/>
  <c r="L35" i="20"/>
  <c r="O35" i="20" s="1"/>
  <c r="M35" i="20"/>
  <c r="F36" i="20"/>
  <c r="J36" i="20"/>
  <c r="K36" i="20"/>
  <c r="L36" i="20"/>
  <c r="O36" i="20" s="1"/>
  <c r="F37" i="20"/>
  <c r="O37" i="20"/>
  <c r="F38" i="20"/>
  <c r="J38" i="20"/>
  <c r="K38" i="20"/>
  <c r="L38" i="20"/>
  <c r="O38" i="20" s="1"/>
  <c r="M38" i="20"/>
  <c r="F39" i="20"/>
  <c r="J39" i="20"/>
  <c r="K39" i="20"/>
  <c r="L39" i="20"/>
  <c r="O39" i="20" s="1"/>
  <c r="M39" i="20"/>
  <c r="F40" i="20"/>
  <c r="J40" i="20"/>
  <c r="K40" i="20"/>
  <c r="L40" i="20"/>
  <c r="O40" i="20" s="1"/>
  <c r="M40" i="20"/>
  <c r="F41" i="20"/>
  <c r="J41" i="20"/>
  <c r="K41" i="20"/>
  <c r="L41" i="20"/>
  <c r="O41" i="20" s="1"/>
  <c r="V41" i="20" s="1"/>
  <c r="M41" i="20"/>
  <c r="M42" i="20" l="1"/>
  <c r="G24" i="26"/>
  <c r="H24" i="26" s="1"/>
  <c r="AA25" i="26"/>
  <c r="G23" i="26"/>
  <c r="AA24" i="26"/>
  <c r="G24" i="23"/>
  <c r="H24" i="23" s="1"/>
  <c r="Q24" i="23" s="1"/>
  <c r="AA24" i="23"/>
  <c r="G23" i="23"/>
  <c r="H23" i="23" s="1"/>
  <c r="Q23" i="23" s="1"/>
  <c r="AA23" i="23"/>
  <c r="G23" i="22"/>
  <c r="H23" i="22" s="1"/>
  <c r="AA23" i="22"/>
  <c r="G25" i="25"/>
  <c r="H25" i="25" s="1"/>
  <c r="AA25" i="25"/>
  <c r="G24" i="25"/>
  <c r="H24" i="25" s="1"/>
  <c r="AA24" i="25"/>
  <c r="G24" i="21"/>
  <c r="H24" i="21" s="1"/>
  <c r="AA24" i="21"/>
  <c r="G23" i="21"/>
  <c r="H23" i="21" s="1"/>
  <c r="AA23" i="21"/>
  <c r="G24" i="24"/>
  <c r="H24" i="24" s="1"/>
  <c r="Q24" i="24" s="1"/>
  <c r="AA24" i="24"/>
  <c r="G23" i="24"/>
  <c r="AA23" i="24"/>
  <c r="H14" i="21"/>
  <c r="H17" i="21"/>
  <c r="G18" i="21"/>
  <c r="H19" i="21"/>
  <c r="H16" i="26"/>
  <c r="H15" i="26"/>
  <c r="H19" i="26"/>
  <c r="H14" i="26"/>
  <c r="G27" i="23"/>
  <c r="H27" i="23" s="1"/>
  <c r="H28" i="22"/>
  <c r="H29" i="22"/>
  <c r="G27" i="22"/>
  <c r="H26" i="22"/>
  <c r="H29" i="21"/>
  <c r="G27" i="21"/>
  <c r="H39" i="23"/>
  <c r="Q39" i="23" s="1"/>
  <c r="H36" i="23"/>
  <c r="Q36" i="23" s="1"/>
  <c r="H35" i="23"/>
  <c r="G34" i="23"/>
  <c r="H35" i="21"/>
  <c r="G34" i="21"/>
  <c r="G34" i="25"/>
  <c r="H15" i="24"/>
  <c r="Q15" i="24" s="1"/>
  <c r="H16" i="24"/>
  <c r="H17" i="24"/>
  <c r="H18" i="24"/>
  <c r="Q18" i="24" s="1"/>
  <c r="H21" i="24"/>
  <c r="Q21" i="24" s="1"/>
  <c r="H22" i="24"/>
  <c r="Q22" i="24" s="1"/>
  <c r="H23" i="24"/>
  <c r="Q23" i="24" s="1"/>
  <c r="H25" i="24"/>
  <c r="Q25" i="24" s="1"/>
  <c r="H26" i="24"/>
  <c r="H27" i="24"/>
  <c r="Q27" i="24" s="1"/>
  <c r="H34" i="24"/>
  <c r="H35" i="24"/>
  <c r="H14" i="24"/>
  <c r="Q14" i="24" s="1"/>
  <c r="H37" i="24"/>
  <c r="H38" i="24"/>
  <c r="H39" i="24"/>
  <c r="H40" i="24"/>
  <c r="H41" i="24"/>
  <c r="G18" i="26"/>
  <c r="H30" i="26"/>
  <c r="G31" i="26"/>
  <c r="G32" i="23"/>
  <c r="H32" i="23" s="1"/>
  <c r="G32" i="25"/>
  <c r="H33" i="25"/>
  <c r="H35" i="22"/>
  <c r="H34" i="22"/>
  <c r="G32" i="22"/>
  <c r="H33" i="22"/>
  <c r="H33" i="21"/>
  <c r="G32" i="21"/>
  <c r="G32" i="24"/>
  <c r="H33" i="24"/>
  <c r="G28" i="26"/>
  <c r="G29" i="25"/>
  <c r="H30" i="25"/>
  <c r="G30" i="22"/>
  <c r="H30" i="22" s="1"/>
  <c r="G30" i="24"/>
  <c r="H31" i="24"/>
  <c r="G31" i="22"/>
  <c r="G17" i="26"/>
  <c r="H22" i="23"/>
  <c r="Q22" i="23" s="1"/>
  <c r="G19" i="23"/>
  <c r="G19" i="24"/>
  <c r="H20" i="24"/>
  <c r="H18" i="22"/>
  <c r="G19" i="22"/>
  <c r="G20" i="23"/>
  <c r="H21" i="23"/>
  <c r="G20" i="22"/>
  <c r="H21" i="22"/>
  <c r="G25" i="23"/>
  <c r="H25" i="23" s="1"/>
  <c r="H26" i="21"/>
  <c r="G25" i="21"/>
  <c r="H37" i="23"/>
  <c r="H38" i="23"/>
  <c r="H21" i="21"/>
  <c r="G20" i="21"/>
  <c r="G20" i="25"/>
  <c r="H26" i="26"/>
  <c r="G27" i="26"/>
  <c r="G28" i="24"/>
  <c r="H29" i="24"/>
  <c r="G28" i="21"/>
  <c r="H27" i="25"/>
  <c r="G28" i="25"/>
  <c r="H37" i="26"/>
  <c r="G35" i="26"/>
  <c r="H34" i="26"/>
  <c r="G36" i="24"/>
  <c r="H37" i="25"/>
  <c r="G36" i="25"/>
  <c r="H37" i="22"/>
  <c r="G36" i="22"/>
  <c r="H41" i="21"/>
  <c r="H38" i="21"/>
  <c r="H39" i="21"/>
  <c r="H40" i="21"/>
  <c r="H37" i="21"/>
  <c r="G36" i="21"/>
  <c r="G36" i="26"/>
  <c r="H41" i="22"/>
  <c r="H40" i="22"/>
  <c r="G39" i="22"/>
  <c r="V19" i="25"/>
  <c r="H18" i="25"/>
  <c r="H19" i="25"/>
  <c r="H30" i="23"/>
  <c r="H33" i="23"/>
  <c r="H31" i="23"/>
  <c r="Q31" i="23" s="1"/>
  <c r="H29" i="23"/>
  <c r="H28" i="23"/>
  <c r="H26" i="23"/>
  <c r="H41" i="25"/>
  <c r="G21" i="26"/>
  <c r="H20" i="26"/>
  <c r="H22" i="26"/>
  <c r="H23" i="26"/>
  <c r="T23" i="22"/>
  <c r="Q26" i="25"/>
  <c r="Q31" i="25"/>
  <c r="Q35" i="25"/>
  <c r="Q38" i="25"/>
  <c r="Q39" i="25"/>
  <c r="T26" i="22"/>
  <c r="Q14" i="23"/>
  <c r="Q15" i="23"/>
  <c r="Q17" i="23"/>
  <c r="Q18" i="23"/>
  <c r="Q21" i="25"/>
  <c r="AA28" i="26"/>
  <c r="AA32" i="26"/>
  <c r="Y41" i="26"/>
  <c r="Y40" i="26" s="1"/>
  <c r="AA14" i="26"/>
  <c r="AA28" i="25"/>
  <c r="AA30" i="24"/>
  <c r="AA22" i="21"/>
  <c r="AA21" i="24"/>
  <c r="AA41" i="21"/>
  <c r="T41" i="22"/>
  <c r="T41" i="25"/>
  <c r="AA27" i="24"/>
  <c r="AA19" i="23"/>
  <c r="S27" i="20"/>
  <c r="G27" i="20" s="1"/>
  <c r="AA31" i="26"/>
  <c r="AA33" i="26"/>
  <c r="AA34" i="22"/>
  <c r="AA39" i="26"/>
  <c r="AA40" i="26"/>
  <c r="AA17" i="26"/>
  <c r="AA18" i="26"/>
  <c r="AA19" i="26"/>
  <c r="AA37" i="26"/>
  <c r="AA35" i="21"/>
  <c r="AA39" i="25"/>
  <c r="AA21" i="26"/>
  <c r="AA34" i="26"/>
  <c r="AA35" i="26"/>
  <c r="AA29" i="26"/>
  <c r="AA26" i="26"/>
  <c r="AA36" i="26"/>
  <c r="AA30" i="26"/>
  <c r="AA38" i="26"/>
  <c r="AA27" i="26"/>
  <c r="AA41" i="26"/>
  <c r="AA31" i="25"/>
  <c r="AA35" i="25"/>
  <c r="AA38" i="25"/>
  <c r="AA29" i="25"/>
  <c r="AA27" i="25"/>
  <c r="AA32" i="25"/>
  <c r="AA37" i="25"/>
  <c r="AA26" i="25"/>
  <c r="AA36" i="25"/>
  <c r="AA34" i="25"/>
  <c r="AA30" i="25"/>
  <c r="T40" i="25"/>
  <c r="AA40" i="25"/>
  <c r="AA33" i="25"/>
  <c r="AA41" i="25"/>
  <c r="AA38" i="24"/>
  <c r="AA35" i="24"/>
  <c r="AA32" i="24"/>
  <c r="AA28" i="24"/>
  <c r="AA37" i="24"/>
  <c r="AA36" i="24"/>
  <c r="AA39" i="24"/>
  <c r="AA33" i="24"/>
  <c r="AA31" i="24"/>
  <c r="AA29" i="24"/>
  <c r="AA25" i="24"/>
  <c r="AA34" i="24"/>
  <c r="AA26" i="24"/>
  <c r="AA35" i="23"/>
  <c r="AA38" i="23"/>
  <c r="AA30" i="23"/>
  <c r="AA25" i="23"/>
  <c r="AA34" i="23"/>
  <c r="AA31" i="23"/>
  <c r="AA39" i="23"/>
  <c r="AA27" i="23"/>
  <c r="AA37" i="23"/>
  <c r="AA29" i="23"/>
  <c r="AA40" i="23"/>
  <c r="AA32" i="23"/>
  <c r="AA33" i="23"/>
  <c r="AA28" i="23"/>
  <c r="AA26" i="23"/>
  <c r="AA36" i="23"/>
  <c r="AA41" i="23"/>
  <c r="AA30" i="22"/>
  <c r="AA27" i="22"/>
  <c r="AA32" i="22"/>
  <c r="AA33" i="22"/>
  <c r="AA31" i="22"/>
  <c r="AA28" i="22"/>
  <c r="AA35" i="22"/>
  <c r="AA26" i="22"/>
  <c r="AA39" i="22"/>
  <c r="AA37" i="22"/>
  <c r="AA29" i="22"/>
  <c r="AA36" i="22"/>
  <c r="AA40" i="22"/>
  <c r="AA41" i="22"/>
  <c r="AA34" i="21"/>
  <c r="AA30" i="21"/>
  <c r="AA32" i="21"/>
  <c r="AA28" i="21"/>
  <c r="AA27" i="21"/>
  <c r="AA36" i="21"/>
  <c r="AA26" i="21"/>
  <c r="AA39" i="21"/>
  <c r="AA38" i="21"/>
  <c r="AA31" i="21"/>
  <c r="AA29" i="21"/>
  <c r="AA25" i="21"/>
  <c r="AA37" i="21"/>
  <c r="AA40" i="21"/>
  <c r="AA33" i="21"/>
  <c r="AA14" i="25"/>
  <c r="AA14" i="24"/>
  <c r="AA14" i="23"/>
  <c r="AA15" i="26"/>
  <c r="AA15" i="24"/>
  <c r="AA15" i="23"/>
  <c r="AA15" i="22"/>
  <c r="AA16" i="26"/>
  <c r="AA14" i="21"/>
  <c r="AA16" i="24"/>
  <c r="AA17" i="24"/>
  <c r="AA18" i="24"/>
  <c r="AA16" i="23"/>
  <c r="AA17" i="23"/>
  <c r="AA18" i="23"/>
  <c r="AA16" i="22"/>
  <c r="AA17" i="22"/>
  <c r="AA18" i="22"/>
  <c r="AA15" i="21"/>
  <c r="AA16" i="21"/>
  <c r="AA17" i="21"/>
  <c r="AA18" i="21"/>
  <c r="AA19" i="24"/>
  <c r="AA19" i="22"/>
  <c r="AA19" i="21"/>
  <c r="AA20" i="26"/>
  <c r="AA20" i="24"/>
  <c r="AA20" i="23"/>
  <c r="AA20" i="22"/>
  <c r="AA20" i="21"/>
  <c r="AA21" i="23"/>
  <c r="AA21" i="22"/>
  <c r="AA21" i="21"/>
  <c r="AA23" i="26"/>
  <c r="AA22" i="26"/>
  <c r="AA23" i="25"/>
  <c r="AA22" i="25"/>
  <c r="AA22" i="24"/>
  <c r="AA22" i="23"/>
  <c r="AA22" i="22"/>
  <c r="S20" i="20"/>
  <c r="T39" i="23"/>
  <c r="P40" i="26"/>
  <c r="T40" i="22"/>
  <c r="T40" i="21"/>
  <c r="T40" i="26"/>
  <c r="Y41" i="24"/>
  <c r="T41" i="24"/>
  <c r="T40" i="23"/>
  <c r="T41" i="23"/>
  <c r="Y41" i="23"/>
  <c r="Y40" i="23" s="1"/>
  <c r="T41" i="26"/>
  <c r="T40" i="24"/>
  <c r="T38" i="23"/>
  <c r="S35" i="20"/>
  <c r="G35" i="20" s="1"/>
  <c r="S37" i="20"/>
  <c r="S41" i="20"/>
  <c r="G41" i="20" s="1"/>
  <c r="H41" i="20" s="1"/>
  <c r="S14" i="20"/>
  <c r="G14" i="20" s="1"/>
  <c r="H14" i="20" s="1"/>
  <c r="S16" i="20"/>
  <c r="G16" i="20" s="1"/>
  <c r="H16" i="20" s="1"/>
  <c r="S19" i="20"/>
  <c r="G19" i="20" s="1"/>
  <c r="H19" i="20" s="1"/>
  <c r="S21" i="20"/>
  <c r="S22" i="20"/>
  <c r="G22" i="20" s="1"/>
  <c r="S23" i="20"/>
  <c r="S25" i="20"/>
  <c r="S28" i="20"/>
  <c r="S31" i="20"/>
  <c r="S32" i="20"/>
  <c r="Y41" i="25"/>
  <c r="Y41" i="22"/>
  <c r="Y40" i="22" s="1"/>
  <c r="Y41" i="21"/>
  <c r="Y40" i="21" s="1"/>
  <c r="S40" i="20"/>
  <c r="G40" i="20" s="1"/>
  <c r="H40" i="20" s="1"/>
  <c r="V40" i="20"/>
  <c r="V39" i="20" s="1"/>
  <c r="V38" i="20" s="1"/>
  <c r="V37" i="20" s="1"/>
  <c r="V36" i="20" s="1"/>
  <c r="V35" i="20" s="1"/>
  <c r="V34" i="20" s="1"/>
  <c r="V33" i="20" s="1"/>
  <c r="V32" i="20" s="1"/>
  <c r="V31" i="20" s="1"/>
  <c r="V30" i="20" s="1"/>
  <c r="V29" i="20" s="1"/>
  <c r="V28" i="20" s="1"/>
  <c r="V27" i="20" s="1"/>
  <c r="V26" i="20" s="1"/>
  <c r="V25" i="20" s="1"/>
  <c r="V24" i="20" s="1"/>
  <c r="V23" i="20" s="1"/>
  <c r="V22" i="20" s="1"/>
  <c r="V21" i="20" s="1"/>
  <c r="V20" i="20" s="1"/>
  <c r="V19" i="20" s="1"/>
  <c r="V18" i="20" s="1"/>
  <c r="V17" i="20" s="1"/>
  <c r="V16" i="20" s="1"/>
  <c r="V15" i="20" s="1"/>
  <c r="V14" i="20" s="1"/>
  <c r="S36" i="20"/>
  <c r="G36" i="20" s="1"/>
  <c r="S34" i="20"/>
  <c r="N39" i="26"/>
  <c r="U39" i="26" s="1"/>
  <c r="W40" i="26"/>
  <c r="X40" i="26"/>
  <c r="T39" i="26"/>
  <c r="T39" i="25"/>
  <c r="X39" i="25"/>
  <c r="W41" i="25"/>
  <c r="U40" i="25"/>
  <c r="P40" i="25"/>
  <c r="N39" i="25"/>
  <c r="N39" i="24"/>
  <c r="P40" i="24"/>
  <c r="T39" i="24"/>
  <c r="U40" i="24"/>
  <c r="W41" i="24"/>
  <c r="X40" i="24"/>
  <c r="T37" i="23"/>
  <c r="X38" i="23"/>
  <c r="P40" i="23"/>
  <c r="N39" i="23"/>
  <c r="T36" i="23"/>
  <c r="W41" i="23"/>
  <c r="U40" i="23"/>
  <c r="U40" i="22"/>
  <c r="W41" i="22"/>
  <c r="X40" i="22"/>
  <c r="N39" i="22"/>
  <c r="P40" i="22"/>
  <c r="T39" i="22"/>
  <c r="T41" i="21"/>
  <c r="N39" i="21"/>
  <c r="P40" i="21"/>
  <c r="U40" i="21"/>
  <c r="W41" i="21"/>
  <c r="V16" i="21"/>
  <c r="V15" i="21" s="1"/>
  <c r="V14" i="21" s="1"/>
  <c r="T39" i="21"/>
  <c r="X40" i="21"/>
  <c r="N40" i="20"/>
  <c r="N39" i="20" s="1"/>
  <c r="N38" i="20" s="1"/>
  <c r="P38" i="20" s="1"/>
  <c r="W41" i="20"/>
  <c r="X41" i="20"/>
  <c r="S24" i="20"/>
  <c r="S18" i="20"/>
  <c r="G18" i="20" s="1"/>
  <c r="H18" i="20" s="1"/>
  <c r="S15" i="20"/>
  <c r="G15" i="20" s="1"/>
  <c r="H15" i="20" s="1"/>
  <c r="S39" i="20"/>
  <c r="G39" i="20" s="1"/>
  <c r="S38" i="20"/>
  <c r="G38" i="20" s="1"/>
  <c r="P41" i="20"/>
  <c r="S30" i="20"/>
  <c r="G30" i="20" s="1"/>
  <c r="S26" i="20"/>
  <c r="G26" i="20" s="1"/>
  <c r="S33" i="20"/>
  <c r="G33" i="20" s="1"/>
  <c r="S17" i="20"/>
  <c r="G17" i="20" s="1"/>
  <c r="H17" i="20" s="1"/>
  <c r="S29" i="20"/>
  <c r="G29" i="20" s="1"/>
  <c r="G24" i="20" l="1"/>
  <c r="H24" i="20" s="1"/>
  <c r="AA24" i="20"/>
  <c r="G23" i="20"/>
  <c r="H23" i="20" s="1"/>
  <c r="AA23" i="20"/>
  <c r="AA42" i="26"/>
  <c r="G21" i="20"/>
  <c r="H39" i="20"/>
  <c r="Q39" i="20" s="1"/>
  <c r="H18" i="21"/>
  <c r="Q18" i="21" s="1"/>
  <c r="H27" i="22"/>
  <c r="Q29" i="21"/>
  <c r="H27" i="21"/>
  <c r="Q27" i="21" s="1"/>
  <c r="H34" i="23"/>
  <c r="Q38" i="23"/>
  <c r="Q37" i="23"/>
  <c r="Q35" i="23"/>
  <c r="H34" i="21"/>
  <c r="H38" i="20"/>
  <c r="H35" i="20"/>
  <c r="G34" i="20"/>
  <c r="H34" i="25"/>
  <c r="Q34" i="25" s="1"/>
  <c r="Q38" i="24"/>
  <c r="Q35" i="24"/>
  <c r="Q34" i="24"/>
  <c r="Q26" i="24"/>
  <c r="Q16" i="24"/>
  <c r="Q17" i="24"/>
  <c r="Q29" i="24"/>
  <c r="Q39" i="24"/>
  <c r="H17" i="26"/>
  <c r="H18" i="26"/>
  <c r="H31" i="26"/>
  <c r="Q33" i="23"/>
  <c r="Q32" i="23"/>
  <c r="H32" i="25"/>
  <c r="Q32" i="25" s="1"/>
  <c r="H32" i="22"/>
  <c r="H32" i="21"/>
  <c r="G32" i="20"/>
  <c r="H33" i="20"/>
  <c r="Q33" i="24"/>
  <c r="H32" i="24"/>
  <c r="H28" i="26"/>
  <c r="H29" i="25"/>
  <c r="Q31" i="24"/>
  <c r="H30" i="24"/>
  <c r="H31" i="22"/>
  <c r="G31" i="20"/>
  <c r="H19" i="23"/>
  <c r="Q20" i="24"/>
  <c r="H19" i="24"/>
  <c r="H19" i="22"/>
  <c r="H20" i="23"/>
  <c r="H20" i="22"/>
  <c r="H22" i="20"/>
  <c r="H27" i="20"/>
  <c r="H26" i="20"/>
  <c r="G25" i="20"/>
  <c r="H25" i="21"/>
  <c r="Q25" i="21" s="1"/>
  <c r="G20" i="20"/>
  <c r="H20" i="21"/>
  <c r="H20" i="25"/>
  <c r="H27" i="26"/>
  <c r="H30" i="20"/>
  <c r="H29" i="20"/>
  <c r="G28" i="20"/>
  <c r="H28" i="24"/>
  <c r="H28" i="21"/>
  <c r="H28" i="25"/>
  <c r="H36" i="26"/>
  <c r="H35" i="26"/>
  <c r="Q37" i="24"/>
  <c r="H36" i="24"/>
  <c r="H36" i="25"/>
  <c r="Q36" i="25" s="1"/>
  <c r="H36" i="22"/>
  <c r="H36" i="21"/>
  <c r="H39" i="22"/>
  <c r="V18" i="25"/>
  <c r="Q16" i="25"/>
  <c r="Q19" i="25"/>
  <c r="Q18" i="25"/>
  <c r="Q25" i="23"/>
  <c r="Q26" i="23"/>
  <c r="Q24" i="25"/>
  <c r="Q37" i="25"/>
  <c r="Q33" i="25"/>
  <c r="Q25" i="25"/>
  <c r="G37" i="20"/>
  <c r="H36" i="20"/>
  <c r="H21" i="26"/>
  <c r="Q17" i="20"/>
  <c r="Q18" i="20"/>
  <c r="Q19" i="20"/>
  <c r="Q14" i="20"/>
  <c r="Q15" i="20"/>
  <c r="Q16" i="20"/>
  <c r="Q16" i="23"/>
  <c r="Q14" i="25"/>
  <c r="Q21" i="23"/>
  <c r="Z41" i="26"/>
  <c r="AA25" i="20"/>
  <c r="AA41" i="20"/>
  <c r="AA30" i="20"/>
  <c r="AA32" i="20"/>
  <c r="AA20" i="20"/>
  <c r="AA31" i="20"/>
  <c r="Y39" i="23"/>
  <c r="Y38" i="23" s="1"/>
  <c r="Y39" i="21"/>
  <c r="Y38" i="21" s="1"/>
  <c r="T28" i="20"/>
  <c r="AA36" i="20"/>
  <c r="Q37" i="21"/>
  <c r="Q26" i="21"/>
  <c r="AA33" i="20"/>
  <c r="AA34" i="20"/>
  <c r="Q22" i="21"/>
  <c r="Q35" i="21"/>
  <c r="AA35" i="20"/>
  <c r="AA37" i="20"/>
  <c r="AA38" i="20"/>
  <c r="Y39" i="22"/>
  <c r="AA39" i="20"/>
  <c r="Q14" i="21"/>
  <c r="AA14" i="20"/>
  <c r="Q41" i="23"/>
  <c r="AA28" i="20"/>
  <c r="AA27" i="20"/>
  <c r="AA26" i="20"/>
  <c r="AA29" i="20"/>
  <c r="AA40" i="20"/>
  <c r="AA15" i="20"/>
  <c r="AA16" i="20"/>
  <c r="AA17" i="20"/>
  <c r="AA18" i="20"/>
  <c r="AA19" i="20"/>
  <c r="AA21" i="20"/>
  <c r="AA22" i="20"/>
  <c r="Y39" i="26"/>
  <c r="Y40" i="24"/>
  <c r="Z41" i="22"/>
  <c r="T41" i="20"/>
  <c r="Y41" i="20"/>
  <c r="Z41" i="24"/>
  <c r="Z41" i="23"/>
  <c r="Z40" i="23"/>
  <c r="N38" i="26"/>
  <c r="U38" i="26" s="1"/>
  <c r="P39" i="26"/>
  <c r="P40" i="20"/>
  <c r="U40" i="20"/>
  <c r="U39" i="20" s="1"/>
  <c r="Y40" i="25"/>
  <c r="Z41" i="25"/>
  <c r="Z41" i="21"/>
  <c r="W39" i="26"/>
  <c r="T38" i="26"/>
  <c r="Z40" i="26"/>
  <c r="X39" i="26"/>
  <c r="N38" i="25"/>
  <c r="P39" i="25"/>
  <c r="X38" i="25"/>
  <c r="T38" i="25"/>
  <c r="U39" i="25"/>
  <c r="W40" i="25"/>
  <c r="U39" i="24"/>
  <c r="W40" i="24"/>
  <c r="X39" i="24"/>
  <c r="T38" i="24"/>
  <c r="N38" i="24"/>
  <c r="P39" i="24"/>
  <c r="N38" i="23"/>
  <c r="P39" i="23"/>
  <c r="T35" i="23"/>
  <c r="U39" i="23"/>
  <c r="W40" i="23"/>
  <c r="X37" i="23"/>
  <c r="Z40" i="22"/>
  <c r="X39" i="22"/>
  <c r="P39" i="22"/>
  <c r="N38" i="22"/>
  <c r="U39" i="22"/>
  <c r="W40" i="22"/>
  <c r="Z40" i="21"/>
  <c r="X39" i="21"/>
  <c r="U39" i="21"/>
  <c r="W40" i="21"/>
  <c r="T38" i="21"/>
  <c r="N38" i="21"/>
  <c r="P39" i="21"/>
  <c r="N37" i="20"/>
  <c r="N36" i="20" s="1"/>
  <c r="P39" i="20"/>
  <c r="T40" i="20"/>
  <c r="X40" i="20"/>
  <c r="AA42" i="20" l="1"/>
  <c r="Q24" i="20"/>
  <c r="H21" i="20"/>
  <c r="Q23" i="20"/>
  <c r="Q38" i="20"/>
  <c r="H31" i="20"/>
  <c r="Q35" i="20"/>
  <c r="Q34" i="23"/>
  <c r="Q15" i="25"/>
  <c r="Q23" i="25"/>
  <c r="H34" i="20"/>
  <c r="Q33" i="20"/>
  <c r="H32" i="20"/>
  <c r="Q32" i="24"/>
  <c r="Q30" i="24"/>
  <c r="Q19" i="23"/>
  <c r="Q19" i="24"/>
  <c r="Q20" i="23"/>
  <c r="H25" i="20"/>
  <c r="Q26" i="20"/>
  <c r="H20" i="20"/>
  <c r="Q20" i="25"/>
  <c r="H28" i="20"/>
  <c r="Q28" i="24"/>
  <c r="Q28" i="21"/>
  <c r="Q36" i="24"/>
  <c r="V17" i="25"/>
  <c r="Q22" i="25"/>
  <c r="Q36" i="20"/>
  <c r="H37" i="20"/>
  <c r="Q27" i="25"/>
  <c r="Q28" i="25"/>
  <c r="Q30" i="25"/>
  <c r="Q29" i="25"/>
  <c r="Q29" i="23"/>
  <c r="Q30" i="23"/>
  <c r="Q28" i="23"/>
  <c r="Q27" i="23"/>
  <c r="Q22" i="20"/>
  <c r="Y37" i="23"/>
  <c r="Y36" i="23" s="1"/>
  <c r="Q30" i="21"/>
  <c r="Z39" i="23"/>
  <c r="Q38" i="21"/>
  <c r="Q40" i="20"/>
  <c r="Q36" i="21"/>
  <c r="Q31" i="21"/>
  <c r="Q32" i="21"/>
  <c r="Q15" i="21"/>
  <c r="Q16" i="21"/>
  <c r="Q17" i="21"/>
  <c r="Q19" i="21"/>
  <c r="Q21" i="21"/>
  <c r="Q20" i="21"/>
  <c r="Q33" i="21"/>
  <c r="Q34" i="21"/>
  <c r="Y37" i="21"/>
  <c r="Z38" i="23"/>
  <c r="Q33" i="26"/>
  <c r="Q34" i="26"/>
  <c r="Q28" i="26"/>
  <c r="Q25" i="26"/>
  <c r="Q23" i="26"/>
  <c r="Q35" i="26"/>
  <c r="Q29" i="26"/>
  <c r="Q37" i="26"/>
  <c r="Q26" i="26"/>
  <c r="Q14" i="26"/>
  <c r="Q15" i="26"/>
  <c r="Q17" i="26"/>
  <c r="Q36" i="26"/>
  <c r="Q20" i="26"/>
  <c r="Q39" i="26"/>
  <c r="Q24" i="26"/>
  <c r="Q18" i="26"/>
  <c r="Q31" i="26"/>
  <c r="Q19" i="26"/>
  <c r="Q22" i="26"/>
  <c r="Q21" i="26"/>
  <c r="Q27" i="26"/>
  <c r="Q38" i="26"/>
  <c r="Q30" i="26"/>
  <c r="Q32" i="26"/>
  <c r="Q16" i="26"/>
  <c r="Q40" i="26"/>
  <c r="Q41" i="25"/>
  <c r="Q40" i="25"/>
  <c r="Q41" i="24"/>
  <c r="Q40" i="24"/>
  <c r="Q40" i="23"/>
  <c r="Q15" i="22"/>
  <c r="Q16" i="22"/>
  <c r="Q17" i="22"/>
  <c r="Q33" i="22"/>
  <c r="Q29" i="22"/>
  <c r="Q26" i="22"/>
  <c r="Q31" i="22"/>
  <c r="Q32" i="22"/>
  <c r="Q30" i="22"/>
  <c r="Q27" i="22"/>
  <c r="Q23" i="22"/>
  <c r="Q34" i="22"/>
  <c r="Q37" i="22"/>
  <c r="Q36" i="22"/>
  <c r="Q28" i="22"/>
  <c r="Q35" i="22"/>
  <c r="Q39" i="22"/>
  <c r="Q18" i="22"/>
  <c r="Q19" i="22"/>
  <c r="Q20" i="22"/>
  <c r="Q21" i="22"/>
  <c r="Q41" i="22"/>
  <c r="Q40" i="22"/>
  <c r="Q39" i="21"/>
  <c r="Q40" i="21"/>
  <c r="Q41" i="21"/>
  <c r="Y38" i="26"/>
  <c r="Y39" i="24"/>
  <c r="Z40" i="24"/>
  <c r="W40" i="20"/>
  <c r="Z41" i="20"/>
  <c r="Q41" i="26"/>
  <c r="N37" i="26"/>
  <c r="N36" i="26" s="1"/>
  <c r="Y40" i="20"/>
  <c r="P38" i="26"/>
  <c r="P37" i="20"/>
  <c r="Y39" i="25"/>
  <c r="Z40" i="25"/>
  <c r="W38" i="26"/>
  <c r="T37" i="26"/>
  <c r="Z39" i="26"/>
  <c r="X38" i="26"/>
  <c r="W39" i="25"/>
  <c r="U38" i="25"/>
  <c r="X37" i="25"/>
  <c r="T37" i="25"/>
  <c r="N37" i="25"/>
  <c r="P38" i="25"/>
  <c r="T37" i="24"/>
  <c r="X38" i="24"/>
  <c r="P38" i="24"/>
  <c r="N37" i="24"/>
  <c r="W39" i="24"/>
  <c r="U38" i="24"/>
  <c r="X36" i="23"/>
  <c r="T34" i="23"/>
  <c r="W39" i="23"/>
  <c r="U38" i="23"/>
  <c r="P38" i="23"/>
  <c r="N37" i="23"/>
  <c r="Z39" i="22"/>
  <c r="X38" i="22"/>
  <c r="U38" i="22"/>
  <c r="W39" i="22"/>
  <c r="N37" i="22"/>
  <c r="P38" i="22"/>
  <c r="T37" i="22"/>
  <c r="N37" i="21"/>
  <c r="P38" i="21"/>
  <c r="U38" i="21"/>
  <c r="W39" i="21"/>
  <c r="T37" i="21"/>
  <c r="Z39" i="21"/>
  <c r="X38" i="21"/>
  <c r="N35" i="20"/>
  <c r="P36" i="20"/>
  <c r="T39" i="20"/>
  <c r="W39" i="20"/>
  <c r="U38" i="20"/>
  <c r="X39" i="20"/>
  <c r="Q21" i="20" l="1"/>
  <c r="Q31" i="20"/>
  <c r="Q34" i="20"/>
  <c r="Q32" i="20"/>
  <c r="Q25" i="20"/>
  <c r="Q20" i="20"/>
  <c r="V16" i="25"/>
  <c r="Q37" i="20"/>
  <c r="Q29" i="20"/>
  <c r="Q30" i="20"/>
  <c r="Q27" i="20"/>
  <c r="Q28" i="20"/>
  <c r="Z37" i="23"/>
  <c r="Y39" i="20"/>
  <c r="Z39" i="20" s="1"/>
  <c r="Y35" i="23"/>
  <c r="Y34" i="23" s="1"/>
  <c r="Y36" i="21"/>
  <c r="Y37" i="26"/>
  <c r="Y38" i="24"/>
  <c r="Z39" i="24"/>
  <c r="P37" i="26"/>
  <c r="Q41" i="20"/>
  <c r="U37" i="26"/>
  <c r="U36" i="26" s="1"/>
  <c r="Z40" i="20"/>
  <c r="Y38" i="25"/>
  <c r="Z39" i="25"/>
  <c r="X37" i="26"/>
  <c r="Z38" i="26"/>
  <c r="N35" i="26"/>
  <c r="P36" i="26"/>
  <c r="T36" i="26"/>
  <c r="T36" i="25"/>
  <c r="W38" i="25"/>
  <c r="U37" i="25"/>
  <c r="X36" i="25"/>
  <c r="N36" i="25"/>
  <c r="P37" i="25"/>
  <c r="W38" i="24"/>
  <c r="U37" i="24"/>
  <c r="X37" i="24"/>
  <c r="P37" i="24"/>
  <c r="N36" i="24"/>
  <c r="T36" i="24"/>
  <c r="N36" i="23"/>
  <c r="P37" i="23"/>
  <c r="T33" i="23"/>
  <c r="U37" i="23"/>
  <c r="W38" i="23"/>
  <c r="Z36" i="23"/>
  <c r="X35" i="23"/>
  <c r="T36" i="22"/>
  <c r="W38" i="22"/>
  <c r="U37" i="22"/>
  <c r="X37" i="22"/>
  <c r="P37" i="22"/>
  <c r="N36" i="22"/>
  <c r="X37" i="21"/>
  <c r="Z38" i="21"/>
  <c r="W38" i="21"/>
  <c r="U37" i="21"/>
  <c r="T36" i="21"/>
  <c r="P37" i="21"/>
  <c r="N36" i="21"/>
  <c r="X38" i="20"/>
  <c r="T38" i="20"/>
  <c r="W38" i="20"/>
  <c r="U37" i="20"/>
  <c r="N34" i="20"/>
  <c r="P35" i="20"/>
  <c r="Y33" i="23" l="1"/>
  <c r="Y32" i="23" s="1"/>
  <c r="Y36" i="26"/>
  <c r="V15" i="25"/>
  <c r="V14" i="25" s="1"/>
  <c r="Y37" i="24"/>
  <c r="Z37" i="24" s="1"/>
  <c r="Y38" i="20"/>
  <c r="Y35" i="21"/>
  <c r="Y34" i="21" s="1"/>
  <c r="Z38" i="24"/>
  <c r="W37" i="26"/>
  <c r="Y37" i="25"/>
  <c r="Z38" i="25"/>
  <c r="T35" i="26"/>
  <c r="W36" i="26"/>
  <c r="U35" i="26"/>
  <c r="N34" i="26"/>
  <c r="P35" i="26"/>
  <c r="Z37" i="26"/>
  <c r="X36" i="26"/>
  <c r="P36" i="25"/>
  <c r="N35" i="25"/>
  <c r="T35" i="25"/>
  <c r="X35" i="25"/>
  <c r="W37" i="25"/>
  <c r="U36" i="25"/>
  <c r="T35" i="24"/>
  <c r="X36" i="24"/>
  <c r="N35" i="24"/>
  <c r="P36" i="24"/>
  <c r="U36" i="24"/>
  <c r="W37" i="24"/>
  <c r="X34" i="23"/>
  <c r="Z35" i="23"/>
  <c r="T32" i="23"/>
  <c r="W37" i="23"/>
  <c r="U36" i="23"/>
  <c r="P36" i="23"/>
  <c r="N35" i="23"/>
  <c r="N35" i="22"/>
  <c r="P36" i="22"/>
  <c r="U36" i="22"/>
  <c r="W37" i="22"/>
  <c r="X36" i="22"/>
  <c r="T35" i="22"/>
  <c r="N35" i="21"/>
  <c r="P36" i="21"/>
  <c r="U36" i="21"/>
  <c r="W37" i="21"/>
  <c r="T35" i="21"/>
  <c r="X36" i="21"/>
  <c r="Z37" i="21"/>
  <c r="T37" i="20"/>
  <c r="N33" i="20"/>
  <c r="P34" i="20"/>
  <c r="U36" i="20"/>
  <c r="W37" i="20"/>
  <c r="X37" i="20"/>
  <c r="Y33" i="21" l="1"/>
  <c r="Y32" i="21" s="1"/>
  <c r="Y31" i="23"/>
  <c r="Y30" i="23" s="1"/>
  <c r="Y29" i="23" s="1"/>
  <c r="Y28" i="23" s="1"/>
  <c r="Y35" i="26"/>
  <c r="Y34" i="26" s="1"/>
  <c r="Y33" i="26" s="1"/>
  <c r="Y36" i="24"/>
  <c r="Y37" i="20"/>
  <c r="Z38" i="20"/>
  <c r="Y36" i="25"/>
  <c r="Z37" i="25"/>
  <c r="T34" i="26"/>
  <c r="P34" i="26"/>
  <c r="N33" i="26"/>
  <c r="X35" i="26"/>
  <c r="Z36" i="26"/>
  <c r="U34" i="26"/>
  <c r="W35" i="26"/>
  <c r="N34" i="25"/>
  <c r="P35" i="25"/>
  <c r="X34" i="25"/>
  <c r="U35" i="25"/>
  <c r="W36" i="25"/>
  <c r="T34" i="25"/>
  <c r="U35" i="24"/>
  <c r="W36" i="24"/>
  <c r="X35" i="24"/>
  <c r="N34" i="24"/>
  <c r="P35" i="24"/>
  <c r="T34" i="24"/>
  <c r="N34" i="23"/>
  <c r="P35" i="23"/>
  <c r="U35" i="23"/>
  <c r="W36" i="23"/>
  <c r="T31" i="23"/>
  <c r="Z34" i="23"/>
  <c r="X33" i="23"/>
  <c r="T34" i="22"/>
  <c r="U35" i="22"/>
  <c r="W36" i="22"/>
  <c r="X35" i="22"/>
  <c r="P35" i="22"/>
  <c r="N34" i="22"/>
  <c r="X35" i="21"/>
  <c r="Z36" i="21"/>
  <c r="U35" i="21"/>
  <c r="W36" i="21"/>
  <c r="T34" i="21"/>
  <c r="N34" i="21"/>
  <c r="P35" i="21"/>
  <c r="X36" i="20"/>
  <c r="N32" i="20"/>
  <c r="P33" i="20"/>
  <c r="T36" i="20"/>
  <c r="W36" i="20"/>
  <c r="U35" i="20"/>
  <c r="Y31" i="21" l="1"/>
  <c r="Y30" i="21" s="1"/>
  <c r="Y29" i="21" s="1"/>
  <c r="Y28" i="21" s="1"/>
  <c r="Y35" i="24"/>
  <c r="Y34" i="24" s="1"/>
  <c r="Y33" i="24" s="1"/>
  <c r="Y32" i="24" s="1"/>
  <c r="Y36" i="20"/>
  <c r="Z36" i="20" s="1"/>
  <c r="Y27" i="23"/>
  <c r="Z36" i="24"/>
  <c r="Z37" i="20"/>
  <c r="Y32" i="26"/>
  <c r="Y35" i="25"/>
  <c r="Z36" i="25"/>
  <c r="W34" i="26"/>
  <c r="U33" i="26"/>
  <c r="T33" i="26"/>
  <c r="Z35" i="26"/>
  <c r="X34" i="26"/>
  <c r="P33" i="26"/>
  <c r="N32" i="26"/>
  <c r="U34" i="25"/>
  <c r="W35" i="25"/>
  <c r="P34" i="25"/>
  <c r="N33" i="25"/>
  <c r="T33" i="25"/>
  <c r="X33" i="25"/>
  <c r="T33" i="24"/>
  <c r="X34" i="24"/>
  <c r="N33" i="24"/>
  <c r="P34" i="24"/>
  <c r="U34" i="24"/>
  <c r="W35" i="24"/>
  <c r="W35" i="23"/>
  <c r="U34" i="23"/>
  <c r="X32" i="23"/>
  <c r="Z33" i="23"/>
  <c r="T30" i="23"/>
  <c r="P34" i="23"/>
  <c r="N33" i="23"/>
  <c r="N33" i="22"/>
  <c r="P34" i="22"/>
  <c r="W35" i="22"/>
  <c r="U34" i="22"/>
  <c r="X34" i="22"/>
  <c r="T33" i="22"/>
  <c r="P34" i="21"/>
  <c r="N33" i="21"/>
  <c r="U34" i="21"/>
  <c r="W35" i="21"/>
  <c r="T33" i="21"/>
  <c r="Z35" i="21"/>
  <c r="X34" i="21"/>
  <c r="U34" i="20"/>
  <c r="W35" i="20"/>
  <c r="P32" i="20"/>
  <c r="N31" i="20"/>
  <c r="X35" i="20"/>
  <c r="T35" i="20"/>
  <c r="Y26" i="23" l="1"/>
  <c r="Y25" i="23" s="1"/>
  <c r="Y24" i="23" s="1"/>
  <c r="Y23" i="23" s="1"/>
  <c r="Y22" i="23" s="1"/>
  <c r="Y21" i="23" s="1"/>
  <c r="Y20" i="23" s="1"/>
  <c r="Y31" i="26"/>
  <c r="Y30" i="26" s="1"/>
  <c r="Y29" i="26" s="1"/>
  <c r="Y31" i="24"/>
  <c r="Y30" i="24" s="1"/>
  <c r="Y27" i="21"/>
  <c r="Z35" i="24"/>
  <c r="Y35" i="20"/>
  <c r="Y34" i="20" s="1"/>
  <c r="Y34" i="25"/>
  <c r="Z35" i="25"/>
  <c r="X33" i="26"/>
  <c r="Z34" i="26"/>
  <c r="U32" i="26"/>
  <c r="W33" i="26"/>
  <c r="N31" i="26"/>
  <c r="P32" i="26"/>
  <c r="T32" i="26"/>
  <c r="T32" i="25"/>
  <c r="U33" i="25"/>
  <c r="W34" i="25"/>
  <c r="X32" i="25"/>
  <c r="P33" i="25"/>
  <c r="N32" i="25"/>
  <c r="T32" i="24"/>
  <c r="X33" i="24"/>
  <c r="Z34" i="24"/>
  <c r="W34" i="24"/>
  <c r="U33" i="24"/>
  <c r="P33" i="24"/>
  <c r="N32" i="24"/>
  <c r="N31" i="24" s="1"/>
  <c r="Z32" i="23"/>
  <c r="X31" i="23"/>
  <c r="T29" i="23"/>
  <c r="U33" i="23"/>
  <c r="W34" i="23"/>
  <c r="N32" i="23"/>
  <c r="P33" i="23"/>
  <c r="T32" i="22"/>
  <c r="W34" i="22"/>
  <c r="U33" i="22"/>
  <c r="X33" i="22"/>
  <c r="P33" i="22"/>
  <c r="N32" i="22"/>
  <c r="X33" i="21"/>
  <c r="Z34" i="21"/>
  <c r="W34" i="21"/>
  <c r="U33" i="21"/>
  <c r="T32" i="21"/>
  <c r="P33" i="21"/>
  <c r="N32" i="21"/>
  <c r="T34" i="20"/>
  <c r="N30" i="20"/>
  <c r="P31" i="20"/>
  <c r="X34" i="20"/>
  <c r="W34" i="20"/>
  <c r="U33" i="20"/>
  <c r="Y26" i="21" l="1"/>
  <c r="Y25" i="21" s="1"/>
  <c r="Y24" i="21" s="1"/>
  <c r="Y23" i="21" s="1"/>
  <c r="Y22" i="21" s="1"/>
  <c r="Y21" i="21" s="1"/>
  <c r="Y20" i="21" s="1"/>
  <c r="Y33" i="20"/>
  <c r="Y32" i="20" s="1"/>
  <c r="Y29" i="24"/>
  <c r="Y28" i="24" s="1"/>
  <c r="Y27" i="24" s="1"/>
  <c r="Y26" i="24" s="1"/>
  <c r="Y25" i="24" s="1"/>
  <c r="Y24" i="24" s="1"/>
  <c r="Y23" i="24" s="1"/>
  <c r="Y22" i="24" s="1"/>
  <c r="Y21" i="24" s="1"/>
  <c r="Y20" i="24" s="1"/>
  <c r="Y19" i="24" s="1"/>
  <c r="Y19" i="23"/>
  <c r="Z35" i="20"/>
  <c r="Y28" i="26"/>
  <c r="Y33" i="25"/>
  <c r="Z34" i="25"/>
  <c r="T31" i="26"/>
  <c r="U31" i="26"/>
  <c r="W32" i="26"/>
  <c r="N30" i="26"/>
  <c r="P31" i="26"/>
  <c r="X32" i="26"/>
  <c r="Z33" i="26"/>
  <c r="W33" i="25"/>
  <c r="U32" i="25"/>
  <c r="T31" i="25"/>
  <c r="X31" i="25"/>
  <c r="P32" i="25"/>
  <c r="N31" i="25"/>
  <c r="U32" i="24"/>
  <c r="W33" i="24"/>
  <c r="P32" i="24"/>
  <c r="X32" i="24"/>
  <c r="Z33" i="24"/>
  <c r="T31" i="24"/>
  <c r="P32" i="23"/>
  <c r="N31" i="23"/>
  <c r="T28" i="23"/>
  <c r="X30" i="23"/>
  <c r="Z31" i="23"/>
  <c r="W33" i="23"/>
  <c r="U32" i="23"/>
  <c r="N31" i="22"/>
  <c r="P32" i="22"/>
  <c r="U32" i="22"/>
  <c r="W33" i="22"/>
  <c r="X32" i="22"/>
  <c r="T31" i="22"/>
  <c r="N31" i="21"/>
  <c r="P32" i="21"/>
  <c r="U32" i="21"/>
  <c r="W33" i="21"/>
  <c r="T31" i="21"/>
  <c r="X32" i="21"/>
  <c r="Z33" i="21"/>
  <c r="W33" i="20"/>
  <c r="U32" i="20"/>
  <c r="N29" i="20"/>
  <c r="P30" i="20"/>
  <c r="X33" i="20"/>
  <c r="Z34" i="20"/>
  <c r="T33" i="20"/>
  <c r="Y31" i="20" l="1"/>
  <c r="Y30" i="20" s="1"/>
  <c r="Y29" i="20" s="1"/>
  <c r="Y28" i="20" s="1"/>
  <c r="Y18" i="23"/>
  <c r="Y17" i="23" s="1"/>
  <c r="Y16" i="23" s="1"/>
  <c r="Y15" i="23" s="1"/>
  <c r="Y14" i="23" s="1"/>
  <c r="Y18" i="24"/>
  <c r="Y17" i="24" s="1"/>
  <c r="Y16" i="24" s="1"/>
  <c r="Y15" i="24" s="1"/>
  <c r="Y14" i="24" s="1"/>
  <c r="Y19" i="21"/>
  <c r="Y18" i="21" s="1"/>
  <c r="Y27" i="26"/>
  <c r="Y32" i="25"/>
  <c r="Z33" i="25"/>
  <c r="T30" i="26"/>
  <c r="P30" i="26"/>
  <c r="N29" i="26"/>
  <c r="Z32" i="26"/>
  <c r="X31" i="26"/>
  <c r="U30" i="26"/>
  <c r="W31" i="26"/>
  <c r="X30" i="25"/>
  <c r="U31" i="25"/>
  <c r="W32" i="25"/>
  <c r="N30" i="25"/>
  <c r="P31" i="25"/>
  <c r="T30" i="25"/>
  <c r="T30" i="24"/>
  <c r="N30" i="24"/>
  <c r="P31" i="24"/>
  <c r="X31" i="24"/>
  <c r="Z32" i="24"/>
  <c r="U31" i="24"/>
  <c r="W32" i="24"/>
  <c r="T27" i="23"/>
  <c r="N30" i="23"/>
  <c r="P31" i="23"/>
  <c r="U31" i="23"/>
  <c r="W32" i="23"/>
  <c r="Z30" i="23"/>
  <c r="X29" i="23"/>
  <c r="T30" i="22"/>
  <c r="W32" i="22"/>
  <c r="U31" i="22"/>
  <c r="X31" i="22"/>
  <c r="N30" i="22"/>
  <c r="P31" i="22"/>
  <c r="Z32" i="21"/>
  <c r="X31" i="21"/>
  <c r="U31" i="21"/>
  <c r="W32" i="21"/>
  <c r="T30" i="21"/>
  <c r="N30" i="21"/>
  <c r="P31" i="21"/>
  <c r="T32" i="20"/>
  <c r="P29" i="20"/>
  <c r="N28" i="20"/>
  <c r="U31" i="20"/>
  <c r="W32" i="20"/>
  <c r="X32" i="20"/>
  <c r="Z33" i="20"/>
  <c r="Y17" i="21" l="1"/>
  <c r="Y16" i="21" s="1"/>
  <c r="Y15" i="21" s="1"/>
  <c r="Y14" i="21" s="1"/>
  <c r="Y26" i="26"/>
  <c r="Y25" i="26" s="1"/>
  <c r="Y27" i="20"/>
  <c r="Y26" i="20" s="1"/>
  <c r="Y25" i="20" s="1"/>
  <c r="Y31" i="25"/>
  <c r="Z32" i="25"/>
  <c r="W30" i="26"/>
  <c r="U29" i="26"/>
  <c r="Z31" i="26"/>
  <c r="X30" i="26"/>
  <c r="T29" i="26"/>
  <c r="P29" i="26"/>
  <c r="N28" i="26"/>
  <c r="T29" i="25"/>
  <c r="U30" i="25"/>
  <c r="W31" i="25"/>
  <c r="X29" i="25"/>
  <c r="P30" i="25"/>
  <c r="N29" i="25"/>
  <c r="W31" i="24"/>
  <c r="U30" i="24"/>
  <c r="N29" i="24"/>
  <c r="P30" i="24"/>
  <c r="T29" i="24"/>
  <c r="Z31" i="24"/>
  <c r="X30" i="24"/>
  <c r="P30" i="23"/>
  <c r="N29" i="23"/>
  <c r="X28" i="23"/>
  <c r="Z29" i="23"/>
  <c r="W31" i="23"/>
  <c r="U30" i="23"/>
  <c r="T26" i="23"/>
  <c r="W31" i="22"/>
  <c r="U30" i="22"/>
  <c r="P30" i="22"/>
  <c r="N29" i="22"/>
  <c r="T29" i="22"/>
  <c r="X30" i="22"/>
  <c r="N29" i="21"/>
  <c r="P30" i="21"/>
  <c r="U30" i="21"/>
  <c r="W31" i="21"/>
  <c r="T29" i="21"/>
  <c r="Z31" i="21"/>
  <c r="X30" i="21"/>
  <c r="P28" i="20"/>
  <c r="N27" i="20"/>
  <c r="Z32" i="20"/>
  <c r="X31" i="20"/>
  <c r="T31" i="20"/>
  <c r="W31" i="20"/>
  <c r="U30" i="20"/>
  <c r="Y24" i="20" l="1"/>
  <c r="Y23" i="20" s="1"/>
  <c r="Y22" i="20" s="1"/>
  <c r="Y21" i="20" s="1"/>
  <c r="Y24" i="26"/>
  <c r="Y23" i="26" s="1"/>
  <c r="Y22" i="26" s="1"/>
  <c r="Y30" i="25"/>
  <c r="Z31" i="25"/>
  <c r="T28" i="26"/>
  <c r="U28" i="26"/>
  <c r="W29" i="26"/>
  <c r="N27" i="26"/>
  <c r="P28" i="26"/>
  <c r="X29" i="26"/>
  <c r="Z30" i="26"/>
  <c r="X28" i="25"/>
  <c r="T28" i="25"/>
  <c r="N28" i="25"/>
  <c r="P29" i="25"/>
  <c r="U29" i="25"/>
  <c r="W30" i="25"/>
  <c r="W30" i="24"/>
  <c r="U29" i="24"/>
  <c r="X29" i="24"/>
  <c r="Z30" i="24"/>
  <c r="P29" i="24"/>
  <c r="N28" i="24"/>
  <c r="T28" i="24"/>
  <c r="Z28" i="23"/>
  <c r="X27" i="23"/>
  <c r="U29" i="23"/>
  <c r="W30" i="23"/>
  <c r="N28" i="23"/>
  <c r="P29" i="23"/>
  <c r="T25" i="23"/>
  <c r="X29" i="22"/>
  <c r="P29" i="22"/>
  <c r="N28" i="22"/>
  <c r="T28" i="22"/>
  <c r="W30" i="22"/>
  <c r="U29" i="22"/>
  <c r="X29" i="21"/>
  <c r="Z30" i="21"/>
  <c r="W30" i="21"/>
  <c r="U29" i="21"/>
  <c r="T28" i="21"/>
  <c r="P29" i="21"/>
  <c r="N28" i="21"/>
  <c r="U29" i="20"/>
  <c r="W30" i="20"/>
  <c r="Z31" i="20"/>
  <c r="N26" i="20"/>
  <c r="P27" i="20"/>
  <c r="Y20" i="20" l="1"/>
  <c r="Y19" i="20" s="1"/>
  <c r="Y18" i="20" s="1"/>
  <c r="Y17" i="20" s="1"/>
  <c r="Y16" i="20" s="1"/>
  <c r="Y15" i="20" s="1"/>
  <c r="Y14" i="20" s="1"/>
  <c r="Y21" i="26"/>
  <c r="Y20" i="26" s="1"/>
  <c r="Y19" i="26" s="1"/>
  <c r="Y29" i="25"/>
  <c r="Z30" i="25"/>
  <c r="Z29" i="26"/>
  <c r="X28" i="26"/>
  <c r="U27" i="26"/>
  <c r="W28" i="26"/>
  <c r="P27" i="26"/>
  <c r="N26" i="26"/>
  <c r="T27" i="26"/>
  <c r="W29" i="25"/>
  <c r="U28" i="25"/>
  <c r="P28" i="25"/>
  <c r="N27" i="25"/>
  <c r="X27" i="25"/>
  <c r="T27" i="25"/>
  <c r="T27" i="24"/>
  <c r="X28" i="24"/>
  <c r="Z29" i="24"/>
  <c r="N27" i="24"/>
  <c r="P28" i="24"/>
  <c r="U28" i="24"/>
  <c r="W29" i="24"/>
  <c r="W29" i="23"/>
  <c r="U28" i="23"/>
  <c r="X26" i="23"/>
  <c r="Z27" i="23"/>
  <c r="T24" i="23"/>
  <c r="P28" i="23"/>
  <c r="N27" i="23"/>
  <c r="U28" i="22"/>
  <c r="W29" i="22"/>
  <c r="N27" i="22"/>
  <c r="P28" i="22"/>
  <c r="T27" i="22"/>
  <c r="X28" i="22"/>
  <c r="N27" i="21"/>
  <c r="P28" i="21"/>
  <c r="U28" i="21"/>
  <c r="W29" i="21"/>
  <c r="T27" i="21"/>
  <c r="X28" i="21"/>
  <c r="Z29" i="21"/>
  <c r="P26" i="20"/>
  <c r="N25" i="20"/>
  <c r="W29" i="20"/>
  <c r="U28" i="20"/>
  <c r="Y18" i="26" l="1"/>
  <c r="Y17" i="26" s="1"/>
  <c r="Y28" i="25"/>
  <c r="Z29" i="25"/>
  <c r="N25" i="26"/>
  <c r="P26" i="26"/>
  <c r="Z28" i="26"/>
  <c r="X27" i="26"/>
  <c r="T26" i="26"/>
  <c r="W27" i="26"/>
  <c r="U26" i="26"/>
  <c r="U27" i="25"/>
  <c r="W28" i="25"/>
  <c r="X26" i="25"/>
  <c r="N26" i="25"/>
  <c r="P27" i="25"/>
  <c r="T26" i="25"/>
  <c r="U27" i="24"/>
  <c r="W28" i="24"/>
  <c r="X27" i="24"/>
  <c r="Z28" i="24"/>
  <c r="N26" i="24"/>
  <c r="P27" i="24"/>
  <c r="T26" i="24"/>
  <c r="N26" i="23"/>
  <c r="P27" i="23"/>
  <c r="Z26" i="23"/>
  <c r="X25" i="23"/>
  <c r="T23" i="23"/>
  <c r="U27" i="23"/>
  <c r="W28" i="23"/>
  <c r="X27" i="22"/>
  <c r="N26" i="22"/>
  <c r="P27" i="22"/>
  <c r="W28" i="22"/>
  <c r="U27" i="22"/>
  <c r="X27" i="21"/>
  <c r="Z28" i="21"/>
  <c r="U27" i="21"/>
  <c r="W28" i="21"/>
  <c r="T26" i="21"/>
  <c r="N26" i="21"/>
  <c r="P27" i="21"/>
  <c r="U27" i="20"/>
  <c r="W28" i="20"/>
  <c r="P25" i="20"/>
  <c r="N24" i="20"/>
  <c r="P24" i="20" s="1"/>
  <c r="Y16" i="26" l="1"/>
  <c r="Y27" i="25"/>
  <c r="Z28" i="25"/>
  <c r="T25" i="26"/>
  <c r="P25" i="26"/>
  <c r="N24" i="26"/>
  <c r="P24" i="26" s="1"/>
  <c r="W26" i="26"/>
  <c r="U25" i="26"/>
  <c r="Z27" i="26"/>
  <c r="X26" i="26"/>
  <c r="T25" i="25"/>
  <c r="N25" i="25"/>
  <c r="P26" i="25"/>
  <c r="U26" i="25"/>
  <c r="W27" i="25"/>
  <c r="X25" i="25"/>
  <c r="T25" i="24"/>
  <c r="Z27" i="24"/>
  <c r="X26" i="24"/>
  <c r="N25" i="24"/>
  <c r="P26" i="24"/>
  <c r="W27" i="24"/>
  <c r="U26" i="24"/>
  <c r="X24" i="23"/>
  <c r="Z25" i="23"/>
  <c r="W27" i="23"/>
  <c r="U26" i="23"/>
  <c r="T22" i="23"/>
  <c r="P26" i="23"/>
  <c r="N25" i="23"/>
  <c r="U26" i="22"/>
  <c r="W27" i="22"/>
  <c r="P26" i="22"/>
  <c r="N25" i="22"/>
  <c r="X26" i="22"/>
  <c r="N25" i="21"/>
  <c r="P26" i="21"/>
  <c r="W27" i="21"/>
  <c r="U26" i="21"/>
  <c r="T25" i="21"/>
  <c r="Z27" i="21"/>
  <c r="X26" i="21"/>
  <c r="N23" i="20"/>
  <c r="P23" i="20" s="1"/>
  <c r="U26" i="20"/>
  <c r="W27" i="20"/>
  <c r="Y15" i="26" l="1"/>
  <c r="Y14" i="26" s="1"/>
  <c r="Y26" i="25"/>
  <c r="Z27" i="25"/>
  <c r="U24" i="26"/>
  <c r="W25" i="26"/>
  <c r="T24" i="26"/>
  <c r="X25" i="26"/>
  <c r="Z26" i="26"/>
  <c r="N23" i="26"/>
  <c r="P23" i="26" s="1"/>
  <c r="T24" i="25"/>
  <c r="W26" i="25"/>
  <c r="U25" i="25"/>
  <c r="X24" i="25"/>
  <c r="N24" i="25"/>
  <c r="P24" i="25" s="1"/>
  <c r="P25" i="25"/>
  <c r="T24" i="24"/>
  <c r="W26" i="24"/>
  <c r="U25" i="24"/>
  <c r="X25" i="24"/>
  <c r="Z26" i="24"/>
  <c r="P25" i="24"/>
  <c r="N24" i="24"/>
  <c r="P24" i="24" s="1"/>
  <c r="N24" i="23"/>
  <c r="P24" i="23" s="1"/>
  <c r="P25" i="23"/>
  <c r="U25" i="23"/>
  <c r="W26" i="23"/>
  <c r="T21" i="23"/>
  <c r="Z24" i="23"/>
  <c r="X23" i="23"/>
  <c r="X25" i="22"/>
  <c r="P25" i="22"/>
  <c r="N24" i="22"/>
  <c r="P24" i="22" s="1"/>
  <c r="W26" i="22"/>
  <c r="U25" i="22"/>
  <c r="X25" i="21"/>
  <c r="Z26" i="21"/>
  <c r="W26" i="21"/>
  <c r="U25" i="21"/>
  <c r="T24" i="21"/>
  <c r="P25" i="21"/>
  <c r="N24" i="21"/>
  <c r="P24" i="21" s="1"/>
  <c r="U25" i="20"/>
  <c r="W26" i="20"/>
  <c r="N22" i="20"/>
  <c r="P22" i="20" s="1"/>
  <c r="Y25" i="25" l="1"/>
  <c r="Z26" i="25"/>
  <c r="N22" i="26"/>
  <c r="P22" i="26" s="1"/>
  <c r="T23" i="26"/>
  <c r="Z25" i="26"/>
  <c r="X24" i="26"/>
  <c r="W24" i="26"/>
  <c r="U23" i="26"/>
  <c r="N23" i="25"/>
  <c r="P23" i="25" s="1"/>
  <c r="T23" i="25"/>
  <c r="X23" i="25"/>
  <c r="W25" i="25"/>
  <c r="U24" i="25"/>
  <c r="N23" i="24"/>
  <c r="P23" i="24" s="1"/>
  <c r="U24" i="24"/>
  <c r="W25" i="24"/>
  <c r="X24" i="24"/>
  <c r="Z25" i="24"/>
  <c r="T23" i="24"/>
  <c r="W25" i="23"/>
  <c r="U24" i="23"/>
  <c r="X22" i="23"/>
  <c r="Z23" i="23"/>
  <c r="T20" i="23"/>
  <c r="N23" i="23"/>
  <c r="P23" i="23" s="1"/>
  <c r="U24" i="22"/>
  <c r="W25" i="22"/>
  <c r="N23" i="22"/>
  <c r="P23" i="22" s="1"/>
  <c r="X24" i="22"/>
  <c r="N23" i="21"/>
  <c r="P23" i="21" s="1"/>
  <c r="U24" i="21"/>
  <c r="W25" i="21"/>
  <c r="T23" i="21"/>
  <c r="X24" i="21"/>
  <c r="Z25" i="21"/>
  <c r="N21" i="20"/>
  <c r="P21" i="20" s="1"/>
  <c r="W25" i="20"/>
  <c r="U24" i="20"/>
  <c r="Y24" i="25" l="1"/>
  <c r="Z25" i="25"/>
  <c r="Z24" i="26"/>
  <c r="X23" i="26"/>
  <c r="N21" i="26"/>
  <c r="P21" i="26" s="1"/>
  <c r="W23" i="26"/>
  <c r="U22" i="26"/>
  <c r="T22" i="26"/>
  <c r="X22" i="25"/>
  <c r="N22" i="25"/>
  <c r="P22" i="25" s="1"/>
  <c r="U23" i="25"/>
  <c r="W24" i="25"/>
  <c r="T22" i="25"/>
  <c r="T22" i="24"/>
  <c r="W24" i="24"/>
  <c r="U23" i="24"/>
  <c r="X23" i="24"/>
  <c r="Z24" i="24"/>
  <c r="N22" i="24"/>
  <c r="P22" i="24" s="1"/>
  <c r="T19" i="23"/>
  <c r="N22" i="23"/>
  <c r="P22" i="23" s="1"/>
  <c r="Z22" i="23"/>
  <c r="X21" i="23"/>
  <c r="U23" i="23"/>
  <c r="W24" i="23"/>
  <c r="X23" i="22"/>
  <c r="N22" i="22"/>
  <c r="P22" i="22" s="1"/>
  <c r="T22" i="22"/>
  <c r="U23" i="22"/>
  <c r="W24" i="22"/>
  <c r="Z24" i="21"/>
  <c r="X23" i="21"/>
  <c r="U23" i="21"/>
  <c r="W24" i="21"/>
  <c r="T22" i="21"/>
  <c r="N22" i="21"/>
  <c r="P22" i="21" s="1"/>
  <c r="U23" i="20"/>
  <c r="W24" i="20"/>
  <c r="N20" i="20"/>
  <c r="P20" i="20" s="1"/>
  <c r="Y23" i="25" l="1"/>
  <c r="Z24" i="25"/>
  <c r="N20" i="26"/>
  <c r="P20" i="26" s="1"/>
  <c r="W22" i="26"/>
  <c r="U21" i="26"/>
  <c r="Z23" i="26"/>
  <c r="X22" i="26"/>
  <c r="T21" i="26"/>
  <c r="N21" i="25"/>
  <c r="P21" i="25" s="1"/>
  <c r="W23" i="25"/>
  <c r="U22" i="25"/>
  <c r="X21" i="25"/>
  <c r="T21" i="25"/>
  <c r="T21" i="24"/>
  <c r="W23" i="24"/>
  <c r="U22" i="24"/>
  <c r="N21" i="24"/>
  <c r="P21" i="24" s="1"/>
  <c r="Z23" i="24"/>
  <c r="X22" i="24"/>
  <c r="N21" i="23"/>
  <c r="P21" i="23" s="1"/>
  <c r="X20" i="23"/>
  <c r="Z21" i="23"/>
  <c r="W23" i="23"/>
  <c r="U22" i="23"/>
  <c r="T18" i="23"/>
  <c r="N21" i="22"/>
  <c r="P21" i="22" s="1"/>
  <c r="U22" i="22"/>
  <c r="W23" i="22"/>
  <c r="X22" i="22"/>
  <c r="T21" i="22"/>
  <c r="N21" i="21"/>
  <c r="P21" i="21" s="1"/>
  <c r="W23" i="21"/>
  <c r="U22" i="21"/>
  <c r="T21" i="21"/>
  <c r="Z23" i="21"/>
  <c r="X22" i="21"/>
  <c r="N19" i="20"/>
  <c r="P19" i="20" s="1"/>
  <c r="U22" i="20"/>
  <c r="W23" i="20"/>
  <c r="Y22" i="25" l="1"/>
  <c r="Z23" i="25"/>
  <c r="X21" i="26"/>
  <c r="Z22" i="26"/>
  <c r="N19" i="26"/>
  <c r="P19" i="26" s="1"/>
  <c r="T20" i="26"/>
  <c r="U20" i="26"/>
  <c r="W21" i="26"/>
  <c r="X20" i="25"/>
  <c r="X19" i="25" s="1"/>
  <c r="N20" i="25"/>
  <c r="T20" i="25"/>
  <c r="W22" i="25"/>
  <c r="U21" i="25"/>
  <c r="T20" i="24"/>
  <c r="X21" i="24"/>
  <c r="Z22" i="24"/>
  <c r="W22" i="24"/>
  <c r="U21" i="24"/>
  <c r="N20" i="24"/>
  <c r="P20" i="24" s="1"/>
  <c r="T17" i="23"/>
  <c r="Z20" i="23"/>
  <c r="X19" i="23"/>
  <c r="U21" i="23"/>
  <c r="W22" i="23"/>
  <c r="N20" i="23"/>
  <c r="P20" i="23" s="1"/>
  <c r="T20" i="22"/>
  <c r="W22" i="22"/>
  <c r="U21" i="22"/>
  <c r="X21" i="22"/>
  <c r="N20" i="22"/>
  <c r="P20" i="22" s="1"/>
  <c r="X21" i="21"/>
  <c r="Z22" i="21"/>
  <c r="W22" i="21"/>
  <c r="U21" i="21"/>
  <c r="T20" i="21"/>
  <c r="N20" i="21"/>
  <c r="P20" i="21" s="1"/>
  <c r="W22" i="20"/>
  <c r="U21" i="20"/>
  <c r="N18" i="20"/>
  <c r="P18" i="20" s="1"/>
  <c r="X18" i="25" l="1"/>
  <c r="X17" i="25" s="1"/>
  <c r="X16" i="25" s="1"/>
  <c r="P20" i="25"/>
  <c r="N19" i="25"/>
  <c r="Y21" i="25"/>
  <c r="Z22" i="25"/>
  <c r="W20" i="26"/>
  <c r="U19" i="26"/>
  <c r="N18" i="26"/>
  <c r="P18" i="26" s="1"/>
  <c r="T19" i="26"/>
  <c r="Z21" i="26"/>
  <c r="X20" i="26"/>
  <c r="W21" i="25"/>
  <c r="U20" i="25"/>
  <c r="U20" i="24"/>
  <c r="W21" i="24"/>
  <c r="N19" i="24"/>
  <c r="P19" i="24" s="1"/>
  <c r="X20" i="24"/>
  <c r="Z21" i="24"/>
  <c r="T19" i="24"/>
  <c r="Z19" i="23"/>
  <c r="X18" i="23"/>
  <c r="N19" i="23"/>
  <c r="P19" i="23" s="1"/>
  <c r="T16" i="23"/>
  <c r="W21" i="23"/>
  <c r="U20" i="23"/>
  <c r="N19" i="22"/>
  <c r="P19" i="22" s="1"/>
  <c r="U20" i="22"/>
  <c r="W21" i="22"/>
  <c r="X20" i="22"/>
  <c r="T19" i="22"/>
  <c r="N19" i="21"/>
  <c r="P19" i="21" s="1"/>
  <c r="U20" i="21"/>
  <c r="W21" i="21"/>
  <c r="T19" i="21"/>
  <c r="X20" i="21"/>
  <c r="Z21" i="21"/>
  <c r="W21" i="20"/>
  <c r="U20" i="20"/>
  <c r="N17" i="20"/>
  <c r="P17" i="20" s="1"/>
  <c r="U19" i="25" l="1"/>
  <c r="W19" i="25" s="1"/>
  <c r="N18" i="25"/>
  <c r="P19" i="25"/>
  <c r="Y20" i="25"/>
  <c r="Z21" i="25"/>
  <c r="T18" i="26"/>
  <c r="U18" i="26"/>
  <c r="W19" i="26"/>
  <c r="X19" i="26"/>
  <c r="Z20" i="26"/>
  <c r="N17" i="26"/>
  <c r="P17" i="26" s="1"/>
  <c r="W20" i="25"/>
  <c r="T18" i="24"/>
  <c r="N18" i="24"/>
  <c r="P18" i="24" s="1"/>
  <c r="X19" i="24"/>
  <c r="Z20" i="24"/>
  <c r="W20" i="24"/>
  <c r="U19" i="24"/>
  <c r="U19" i="23"/>
  <c r="W20" i="23"/>
  <c r="N18" i="23"/>
  <c r="P18" i="23" s="1"/>
  <c r="X17" i="23"/>
  <c r="Z18" i="23"/>
  <c r="T15" i="23"/>
  <c r="T18" i="22"/>
  <c r="U19" i="22"/>
  <c r="W20" i="22"/>
  <c r="N18" i="22"/>
  <c r="P18" i="22" s="1"/>
  <c r="X19" i="22"/>
  <c r="X19" i="21"/>
  <c r="Z20" i="21"/>
  <c r="W20" i="21"/>
  <c r="U19" i="21"/>
  <c r="T18" i="21"/>
  <c r="N18" i="21"/>
  <c r="P18" i="21" s="1"/>
  <c r="N16" i="20"/>
  <c r="P16" i="20" s="1"/>
  <c r="U19" i="20"/>
  <c r="W20" i="20"/>
  <c r="Y19" i="25" l="1"/>
  <c r="Y18" i="25" s="1"/>
  <c r="N17" i="25"/>
  <c r="P18" i="25"/>
  <c r="U18" i="25"/>
  <c r="Z20" i="25"/>
  <c r="W18" i="26"/>
  <c r="U17" i="26"/>
  <c r="T17" i="26"/>
  <c r="Z19" i="26"/>
  <c r="X18" i="26"/>
  <c r="N16" i="26"/>
  <c r="P16" i="26" s="1"/>
  <c r="T17" i="24"/>
  <c r="U18" i="24"/>
  <c r="W19" i="24"/>
  <c r="N17" i="24"/>
  <c r="N16" i="24" s="1"/>
  <c r="Z19" i="24"/>
  <c r="X18" i="24"/>
  <c r="T14" i="23"/>
  <c r="N17" i="23"/>
  <c r="P17" i="23" s="1"/>
  <c r="X16" i="23"/>
  <c r="Z17" i="23"/>
  <c r="W19" i="23"/>
  <c r="U18" i="23"/>
  <c r="X18" i="22"/>
  <c r="W19" i="22"/>
  <c r="U18" i="22"/>
  <c r="N17" i="22"/>
  <c r="P17" i="22" s="1"/>
  <c r="T17" i="22"/>
  <c r="N17" i="21"/>
  <c r="W19" i="21"/>
  <c r="U18" i="21"/>
  <c r="T17" i="21"/>
  <c r="Z19" i="21"/>
  <c r="X18" i="21"/>
  <c r="W19" i="20"/>
  <c r="U18" i="20"/>
  <c r="N15" i="20"/>
  <c r="P15" i="20" s="1"/>
  <c r="P17" i="21" l="1"/>
  <c r="N16" i="21"/>
  <c r="N15" i="21" s="1"/>
  <c r="N14" i="21" s="1"/>
  <c r="P17" i="24"/>
  <c r="N15" i="24"/>
  <c r="N14" i="24" s="1"/>
  <c r="Z19" i="25"/>
  <c r="U17" i="25"/>
  <c r="W18" i="25"/>
  <c r="P17" i="25"/>
  <c r="N16" i="25"/>
  <c r="P16" i="25" s="1"/>
  <c r="Y17" i="25"/>
  <c r="Z18" i="25"/>
  <c r="X17" i="26"/>
  <c r="Z18" i="26"/>
  <c r="U16" i="26"/>
  <c r="W17" i="26"/>
  <c r="N15" i="26"/>
  <c r="P15" i="26" s="1"/>
  <c r="T16" i="26"/>
  <c r="X17" i="24"/>
  <c r="Z18" i="24"/>
  <c r="U17" i="24"/>
  <c r="W18" i="24"/>
  <c r="T16" i="24"/>
  <c r="N16" i="23"/>
  <c r="P16" i="23" s="1"/>
  <c r="W18" i="23"/>
  <c r="U17" i="23"/>
  <c r="Z16" i="23"/>
  <c r="X15" i="23"/>
  <c r="T16" i="22"/>
  <c r="U17" i="22"/>
  <c r="W18" i="22"/>
  <c r="X17" i="22"/>
  <c r="N16" i="22"/>
  <c r="P16" i="22" s="1"/>
  <c r="X17" i="21"/>
  <c r="Z18" i="21"/>
  <c r="U17" i="21"/>
  <c r="W18" i="21"/>
  <c r="P16" i="21"/>
  <c r="T16" i="21"/>
  <c r="N14" i="20"/>
  <c r="P14" i="20" s="1"/>
  <c r="W18" i="20"/>
  <c r="U17" i="20"/>
  <c r="P16" i="24" l="1"/>
  <c r="U16" i="25"/>
  <c r="W16" i="25" s="1"/>
  <c r="W17" i="25"/>
  <c r="Y16" i="25"/>
  <c r="Z16" i="25" s="1"/>
  <c r="Z17" i="25"/>
  <c r="T15" i="26"/>
  <c r="U15" i="26"/>
  <c r="W16" i="26"/>
  <c r="N14" i="26"/>
  <c r="P14" i="26" s="1"/>
  <c r="X16" i="26"/>
  <c r="Z17" i="26"/>
  <c r="X15" i="25"/>
  <c r="N15" i="25"/>
  <c r="P15" i="25" s="1"/>
  <c r="T15" i="25"/>
  <c r="T15" i="24"/>
  <c r="Z17" i="24"/>
  <c r="X16" i="24"/>
  <c r="U16" i="24"/>
  <c r="W17" i="24"/>
  <c r="P15" i="24"/>
  <c r="Z15" i="23"/>
  <c r="X14" i="23"/>
  <c r="N15" i="23"/>
  <c r="P15" i="23" s="1"/>
  <c r="U16" i="23"/>
  <c r="W17" i="23"/>
  <c r="N15" i="22"/>
  <c r="P15" i="22" s="1"/>
  <c r="W17" i="22"/>
  <c r="U16" i="22"/>
  <c r="X16" i="22"/>
  <c r="T15" i="22"/>
  <c r="T15" i="21"/>
  <c r="U16" i="21"/>
  <c r="W17" i="21"/>
  <c r="P15" i="21"/>
  <c r="X16" i="21"/>
  <c r="Z17" i="21"/>
  <c r="W17" i="20"/>
  <c r="U16" i="20"/>
  <c r="T14" i="26" l="1"/>
  <c r="Z16" i="26"/>
  <c r="X15" i="26"/>
  <c r="U14" i="26"/>
  <c r="W15" i="26"/>
  <c r="T14" i="25"/>
  <c r="X14" i="25"/>
  <c r="U15" i="25"/>
  <c r="N14" i="25"/>
  <c r="P14" i="25" s="1"/>
  <c r="T14" i="24"/>
  <c r="Z16" i="24"/>
  <c r="X15" i="24"/>
  <c r="P14" i="24"/>
  <c r="W16" i="24"/>
  <c r="U15" i="24"/>
  <c r="N14" i="23"/>
  <c r="P14" i="23" s="1"/>
  <c r="Z14" i="23"/>
  <c r="U15" i="23"/>
  <c r="W16" i="23"/>
  <c r="U15" i="22"/>
  <c r="W16" i="22"/>
  <c r="N14" i="22"/>
  <c r="P14" i="22" s="1"/>
  <c r="X15" i="22"/>
  <c r="Z16" i="21"/>
  <c r="X15" i="21"/>
  <c r="U15" i="21"/>
  <c r="W16" i="21"/>
  <c r="P14" i="21"/>
  <c r="T14" i="21"/>
  <c r="U15" i="20"/>
  <c r="W16" i="20"/>
  <c r="Y15" i="25" l="1"/>
  <c r="W14" i="26"/>
  <c r="Z15" i="26"/>
  <c r="X14" i="26"/>
  <c r="U14" i="25"/>
  <c r="W15" i="25"/>
  <c r="W15" i="24"/>
  <c r="U14" i="24"/>
  <c r="X14" i="24"/>
  <c r="Z15" i="24"/>
  <c r="U14" i="23"/>
  <c r="W15" i="23"/>
  <c r="X14" i="22"/>
  <c r="W15" i="22"/>
  <c r="U14" i="22"/>
  <c r="W15" i="21"/>
  <c r="U14" i="21"/>
  <c r="X14" i="21"/>
  <c r="Z15" i="21"/>
  <c r="W15" i="20"/>
  <c r="U14" i="20"/>
  <c r="Y14" i="25" l="1"/>
  <c r="Z15" i="25"/>
  <c r="Z14" i="26"/>
  <c r="W14" i="25"/>
  <c r="Z14" i="24"/>
  <c r="W14" i="24"/>
  <c r="W14" i="23"/>
  <c r="W14" i="22"/>
  <c r="Z14" i="21"/>
  <c r="W14" i="21"/>
  <c r="W14" i="20"/>
  <c r="Z14" i="25" l="1"/>
  <c r="T30" i="20" l="1"/>
  <c r="T29" i="20"/>
  <c r="X30" i="20"/>
  <c r="Z30" i="20" s="1"/>
  <c r="X29" i="20" l="1"/>
  <c r="Z29" i="20" l="1"/>
  <c r="X28" i="20"/>
  <c r="T27" i="20" l="1"/>
  <c r="Z28" i="20"/>
  <c r="X27" i="20"/>
  <c r="X26" i="20" l="1"/>
  <c r="Z27" i="20"/>
  <c r="T26" i="20"/>
  <c r="T25" i="20" l="1"/>
  <c r="X25" i="20"/>
  <c r="Z26" i="20"/>
  <c r="X24" i="20" l="1"/>
  <c r="Z25" i="20"/>
  <c r="T24" i="20"/>
  <c r="T23" i="20" l="1"/>
  <c r="X23" i="20"/>
  <c r="Z24" i="20"/>
  <c r="Z23" i="20" l="1"/>
  <c r="X22" i="20"/>
  <c r="T22" i="20"/>
  <c r="T21" i="20" l="1"/>
  <c r="X21" i="20"/>
  <c r="Z22" i="20"/>
  <c r="X20" i="20" l="1"/>
  <c r="Z21" i="20"/>
  <c r="T20" i="20"/>
  <c r="T19" i="20" l="1"/>
  <c r="Z20" i="20"/>
  <c r="X19" i="20"/>
  <c r="Z19" i="20" l="1"/>
  <c r="X18" i="20"/>
  <c r="T18" i="20"/>
  <c r="T17" i="20" l="1"/>
  <c r="X17" i="20"/>
  <c r="Z18" i="20"/>
  <c r="Z17" i="20" l="1"/>
  <c r="X16" i="20"/>
  <c r="T16" i="20"/>
  <c r="T15" i="20" l="1"/>
  <c r="Z16" i="20"/>
  <c r="X15" i="20"/>
  <c r="Z15" i="20" l="1"/>
  <c r="X14" i="20"/>
  <c r="T14" i="20"/>
  <c r="Z14" i="20" l="1"/>
  <c r="N4" i="26" l="1"/>
  <c r="N4" i="22"/>
  <c r="N4" i="21"/>
  <c r="N4" i="23"/>
  <c r="N4" i="25"/>
  <c r="S38" i="22" l="1"/>
  <c r="G38" i="22" s="1"/>
  <c r="H38" i="22" l="1"/>
  <c r="Q38" i="22" s="1"/>
  <c r="Y38" i="22"/>
  <c r="Z38" i="22" s="1"/>
  <c r="T38" i="22"/>
  <c r="AA38" i="22"/>
  <c r="Y37" i="22" l="1"/>
  <c r="Y36" i="22" s="1"/>
  <c r="Z37" i="22" l="1"/>
  <c r="Y35" i="22"/>
  <c r="Z36" i="22"/>
  <c r="Y34" i="22" l="1"/>
  <c r="Z35" i="22"/>
  <c r="Z34" i="22" l="1"/>
  <c r="Y33" i="22"/>
  <c r="Y32" i="22" l="1"/>
  <c r="Z33" i="22"/>
  <c r="Y31" i="22" l="1"/>
  <c r="Z32" i="22"/>
  <c r="Y30" i="22" l="1"/>
  <c r="Z31" i="22"/>
  <c r="Z30" i="22" l="1"/>
  <c r="Y29" i="22"/>
  <c r="Z29" i="22" l="1"/>
  <c r="Y28" i="22"/>
  <c r="Y27" i="22" l="1"/>
  <c r="Z28" i="22"/>
  <c r="Y26" i="22" l="1"/>
  <c r="Z27" i="22"/>
  <c r="Z26" i="22" l="1"/>
  <c r="Y25" i="22"/>
  <c r="Y24" i="22" l="1"/>
  <c r="Z25" i="22"/>
  <c r="Z24" i="22" l="1"/>
  <c r="Y23" i="22"/>
  <c r="Z23" i="22" l="1"/>
  <c r="Y22" i="22"/>
  <c r="Z22" i="22" l="1"/>
  <c r="Y21" i="22"/>
  <c r="Z21" i="22" l="1"/>
  <c r="Y20" i="22"/>
  <c r="Z20" i="22" l="1"/>
  <c r="Y19" i="22"/>
  <c r="Z19" i="22" l="1"/>
  <c r="Y18" i="22"/>
  <c r="Y17" i="22" l="1"/>
  <c r="Z18" i="22"/>
  <c r="Z17" i="22" l="1"/>
  <c r="Y16" i="22"/>
  <c r="Z16" i="22" l="1"/>
  <c r="Y15" i="22"/>
  <c r="Z15" i="22" l="1"/>
  <c r="K14" i="22"/>
  <c r="S14" i="22" s="1"/>
  <c r="T14" i="22" l="1"/>
  <c r="AA14" i="22"/>
  <c r="G14" i="22"/>
  <c r="H14" i="22" s="1"/>
  <c r="Q14" i="22" s="1"/>
  <c r="Y14" i="22"/>
  <c r="Z14" i="22" l="1"/>
  <c r="M40" i="24" l="1"/>
  <c r="M42" i="24" s="1"/>
  <c r="M41" i="24"/>
  <c r="AA41" i="24" l="1"/>
  <c r="AA40" i="24"/>
  <c r="M21" i="25"/>
  <c r="AA21" i="25" s="1"/>
  <c r="M20" i="25"/>
  <c r="M42" i="25" l="1"/>
  <c r="AA20" i="25"/>
  <c r="AA42" i="25"/>
</calcChain>
</file>

<file path=xl/comments1.xml><?xml version="1.0" encoding="utf-8"?>
<comments xmlns="http://schemas.openxmlformats.org/spreadsheetml/2006/main">
  <authors>
    <author>Jorge Gomez Fernandez</author>
  </authors>
  <commentList>
    <comment ref="M42" authorId="0">
      <text>
        <r>
          <rPr>
            <b/>
            <sz val="9"/>
            <color indexed="81"/>
            <rFont val="Tahoma"/>
            <family val="2"/>
          </rPr>
          <t>Jorge Gomez Fernandez:</t>
        </r>
        <r>
          <rPr>
            <sz val="9"/>
            <color indexed="81"/>
            <rFont val="Tahoma"/>
            <family val="2"/>
          </rPr>
          <t xml:space="preserve">
Formula para las pérdidas</t>
        </r>
      </text>
    </comment>
  </commentList>
</comments>
</file>

<file path=xl/sharedStrings.xml><?xml version="1.0" encoding="utf-8"?>
<sst xmlns="http://schemas.openxmlformats.org/spreadsheetml/2006/main" count="338" uniqueCount="46">
  <si>
    <t>DIA</t>
  </si>
  <si>
    <t>MAD</t>
  </si>
  <si>
    <t>PICO</t>
  </si>
  <si>
    <t>REACT</t>
  </si>
  <si>
    <t>Plan Pico</t>
  </si>
  <si>
    <t>Real Pico</t>
  </si>
  <si>
    <t>Plan</t>
  </si>
  <si>
    <t>FP</t>
  </si>
  <si>
    <t>Firma Responsable</t>
  </si>
  <si>
    <t>Lectura del contador</t>
  </si>
  <si>
    <t>Consumo acumulado Pico kWh</t>
  </si>
  <si>
    <t>Consumo acumulado Total kWh</t>
  </si>
  <si>
    <t>Universidad Camaguey</t>
  </si>
  <si>
    <t>cierre mes anterior</t>
  </si>
  <si>
    <t>Plan   - Real</t>
  </si>
  <si>
    <t>Real</t>
  </si>
  <si>
    <t>Plan - Real</t>
  </si>
  <si>
    <t>Pico Diurno 1 pm</t>
  </si>
  <si>
    <t>Pico Diurno 11 am</t>
  </si>
  <si>
    <t>TOTAL</t>
  </si>
  <si>
    <t>Consumo diario total kWh</t>
  </si>
  <si>
    <t>Consumo diario pico Diurno kWh</t>
  </si>
  <si>
    <t>Consumo diario Pico nocturno kWh</t>
  </si>
  <si>
    <t>Consumo diario kWh y kvarh</t>
  </si>
  <si>
    <t>Día</t>
  </si>
  <si>
    <t>PLAN MES</t>
  </si>
  <si>
    <t>Plan Pico D</t>
  </si>
  <si>
    <t>Plan Pico N</t>
  </si>
  <si>
    <t xml:space="preserve">                                                                  TABLA 1A</t>
  </si>
  <si>
    <t xml:space="preserve">                                                                        ANEXO No. 1.</t>
  </si>
  <si>
    <t xml:space="preserve">Cumplimiento del plan de consumo de energía eléctrica total, mes: </t>
  </si>
  <si>
    <t>SERVICIO: PREPARATORIA</t>
  </si>
  <si>
    <t>SERVICIO: CIENCIA ANIMAL</t>
  </si>
  <si>
    <t>SRVICIO: AREA CULTURAL</t>
  </si>
  <si>
    <t>SERVICIO: LABORATORIO TECNICO</t>
  </si>
  <si>
    <t>SERVICIO: COCINA COMEDOR</t>
  </si>
  <si>
    <t>SERVICIO: JOSE MARTÍ</t>
  </si>
  <si>
    <t>SERVICIO: MANUEL FAJARDO</t>
  </si>
  <si>
    <t>Aprobado:</t>
  </si>
  <si>
    <t xml:space="preserve"> </t>
  </si>
  <si>
    <t xml:space="preserve">  </t>
  </si>
  <si>
    <t>Perdidas:</t>
  </si>
  <si>
    <t>total</t>
  </si>
  <si>
    <t>diaria</t>
  </si>
  <si>
    <t>Ms.C. Jorge Luis García Santana</t>
  </si>
  <si>
    <t>Director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</si>
</sst>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Tahoma"/>
      <family val="2"/>
    </font>
    <font>
      <b/>
      <sz val="12"/>
      <color theme="1"/>
      <name val="Arial"/>
      <family val="2"/>
    </font>
    <font>
      <b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rgb="FF000000"/>
      <name val="Arial"/>
      <family val="2"/>
    </font>
    <font>
      <b/>
      <sz val="14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9"/>
      <name val="Tahoma"/>
      <family val="2"/>
    </font>
    <font>
      <sz val="14"/>
      <name val="Arial"/>
      <family val="2"/>
    </font>
    <font>
      <b/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1" fontId="10" fillId="0" borderId="2" xfId="0" applyNumberFormat="1" applyFont="1" applyBorder="1" applyAlignment="1">
      <alignment horizontal="center" vertical="center" wrapText="1"/>
    </xf>
    <xf numFmtId="0" fontId="9" fillId="0" borderId="0" xfId="0" applyFont="1"/>
    <xf numFmtId="0" fontId="14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4" fillId="0" borderId="0" xfId="0" applyFont="1"/>
    <xf numFmtId="0" fontId="2" fillId="0" borderId="1" xfId="0" applyFont="1" applyBorder="1" applyAlignment="1">
      <alignment horizontal="center" vertical="center" wrapText="1"/>
    </xf>
    <xf numFmtId="0" fontId="8" fillId="0" borderId="0" xfId="0" applyFont="1"/>
    <xf numFmtId="0" fontId="18" fillId="0" borderId="0" xfId="0" applyFont="1"/>
    <xf numFmtId="0" fontId="19" fillId="0" borderId="0" xfId="0" applyFont="1"/>
    <xf numFmtId="0" fontId="18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1" fontId="21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1" fontId="9" fillId="0" borderId="2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 vertical="top" wrapText="1"/>
    </xf>
    <xf numFmtId="2" fontId="10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5" fillId="0" borderId="0" xfId="0" applyFont="1" applyAlignment="1">
      <alignment horizontal="center" vertical="center"/>
    </xf>
    <xf numFmtId="0" fontId="5" fillId="0" borderId="0" xfId="0" applyFont="1"/>
    <xf numFmtId="17" fontId="8" fillId="0" borderId="0" xfId="0" applyNumberFormat="1" applyFont="1"/>
    <xf numFmtId="1" fontId="14" fillId="0" borderId="0" xfId="0" applyNumberFormat="1" applyFont="1" applyAlignment="1">
      <alignment horizontal="left"/>
    </xf>
    <xf numFmtId="0" fontId="14" fillId="0" borderId="0" xfId="0" applyFont="1" applyAlignment="1">
      <alignment horizontal="right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wrapText="1"/>
    </xf>
    <xf numFmtId="0" fontId="9" fillId="0" borderId="0" xfId="0" applyFont="1" applyAlignment="1">
      <alignment wrapText="1"/>
    </xf>
    <xf numFmtId="1" fontId="0" fillId="0" borderId="0" xfId="0" applyNumberFormat="1"/>
    <xf numFmtId="17" fontId="7" fillId="0" borderId="0" xfId="0" applyNumberFormat="1" applyFont="1"/>
    <xf numFmtId="1" fontId="8" fillId="0" borderId="0" xfId="0" applyNumberFormat="1" applyFont="1" applyAlignment="1">
      <alignment horizontal="left"/>
    </xf>
    <xf numFmtId="0" fontId="8" fillId="0" borderId="0" xfId="0" applyFont="1" applyAlignment="1">
      <alignment horizontal="right"/>
    </xf>
    <xf numFmtId="0" fontId="12" fillId="0" borderId="0" xfId="0" applyFont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9" fillId="0" borderId="0" xfId="0" applyNumberFormat="1" applyFont="1"/>
    <xf numFmtId="14" fontId="0" fillId="0" borderId="0" xfId="0" applyNumberFormat="1"/>
    <xf numFmtId="1" fontId="9" fillId="2" borderId="1" xfId="0" applyNumberFormat="1" applyFont="1" applyFill="1" applyBorder="1" applyAlignment="1">
      <alignment horizontal="center" vertical="center" wrapText="1"/>
    </xf>
    <xf numFmtId="0" fontId="15" fillId="2" borderId="0" xfId="0" applyFont="1" applyFill="1"/>
    <xf numFmtId="1" fontId="10" fillId="2" borderId="1" xfId="0" applyNumberFormat="1" applyFont="1" applyFill="1" applyBorder="1" applyAlignment="1">
      <alignment horizontal="center" vertical="center" wrapText="1"/>
    </xf>
    <xf numFmtId="0" fontId="9" fillId="2" borderId="0" xfId="0" applyFont="1" applyFill="1"/>
    <xf numFmtId="1" fontId="2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2" fontId="8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9" fillId="0" borderId="2" xfId="0" applyNumberFormat="1" applyFont="1" applyBorder="1" applyAlignment="1">
      <alignment horizontal="center" vertical="center"/>
    </xf>
    <xf numFmtId="1" fontId="21" fillId="0" borderId="2" xfId="0" applyNumberFormat="1" applyFont="1" applyBorder="1" applyAlignment="1">
      <alignment horizontal="center" vertical="center" wrapText="1"/>
    </xf>
    <xf numFmtId="1" fontId="21" fillId="0" borderId="2" xfId="0" applyNumberFormat="1" applyFont="1" applyBorder="1" applyAlignment="1">
      <alignment horizontal="center" vertical="center"/>
    </xf>
    <xf numFmtId="2" fontId="10" fillId="0" borderId="4" xfId="0" applyNumberFormat="1" applyFont="1" applyBorder="1" applyAlignment="1">
      <alignment horizontal="center" vertical="center" wrapText="1"/>
    </xf>
    <xf numFmtId="2" fontId="9" fillId="0" borderId="3" xfId="0" applyNumberFormat="1" applyFont="1" applyBorder="1" applyAlignment="1">
      <alignment horizontal="center"/>
    </xf>
    <xf numFmtId="164" fontId="9" fillId="0" borderId="3" xfId="0" applyNumberFormat="1" applyFont="1" applyBorder="1" applyAlignment="1">
      <alignment horizontal="center"/>
    </xf>
    <xf numFmtId="0" fontId="9" fillId="0" borderId="1" xfId="0" applyFont="1" applyFill="1" applyBorder="1" applyAlignment="1">
      <alignment horizontal="center" vertical="center" wrapText="1"/>
    </xf>
    <xf numFmtId="1" fontId="10" fillId="0" borderId="1" xfId="0" applyNumberFormat="1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1" fontId="9" fillId="0" borderId="2" xfId="0" applyNumberFormat="1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 vertical="center" wrapText="1"/>
    </xf>
    <xf numFmtId="1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top" wrapText="1"/>
    </xf>
    <xf numFmtId="2" fontId="10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top" wrapText="1"/>
    </xf>
    <xf numFmtId="0" fontId="0" fillId="0" borderId="0" xfId="0" applyFill="1"/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1" fillId="0" borderId="2" xfId="0" applyFont="1" applyBorder="1" applyAlignment="1">
      <alignment horizontal="center" vertical="center" wrapText="1"/>
    </xf>
    <xf numFmtId="1" fontId="21" fillId="0" borderId="2" xfId="0" applyNumberFormat="1" applyFont="1" applyBorder="1" applyAlignment="1">
      <alignment horizontal="center"/>
    </xf>
    <xf numFmtId="1" fontId="21" fillId="0" borderId="1" xfId="0" applyNumberFormat="1" applyFont="1" applyFill="1" applyBorder="1" applyAlignment="1">
      <alignment horizontal="center" vertical="center" wrapText="1"/>
    </xf>
    <xf numFmtId="0" fontId="21" fillId="0" borderId="2" xfId="0" applyFont="1" applyFill="1" applyBorder="1" applyAlignment="1">
      <alignment horizontal="center" vertical="center" wrapText="1"/>
    </xf>
    <xf numFmtId="1" fontId="21" fillId="0" borderId="2" xfId="0" applyNumberFormat="1" applyFont="1" applyFill="1" applyBorder="1" applyAlignment="1">
      <alignment horizontal="center"/>
    </xf>
    <xf numFmtId="0" fontId="21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1" fontId="15" fillId="0" borderId="2" xfId="0" applyNumberFormat="1" applyFont="1" applyBorder="1" applyAlignment="1">
      <alignment horizontal="center"/>
    </xf>
    <xf numFmtId="1" fontId="22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1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11" fillId="0" borderId="0" xfId="0" applyFont="1" applyAlignment="1"/>
    <xf numFmtId="0" fontId="6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>
    <pageSetUpPr fitToPage="1"/>
  </sheetPr>
  <dimension ref="B2:AB50"/>
  <sheetViews>
    <sheetView view="pageBreakPreview" topLeftCell="A25" zoomScale="70" zoomScaleNormal="70" zoomScaleSheetLayoutView="70" workbookViewId="0">
      <selection activeCell="C46" sqref="C46"/>
    </sheetView>
  </sheetViews>
  <sheetFormatPr baseColWidth="10" defaultColWidth="11.42578125" defaultRowHeight="15" x14ac:dyDescent="0.25"/>
  <cols>
    <col min="1" max="2" width="11.42578125" customWidth="1"/>
    <col min="3" max="3" width="14" bestFit="1" customWidth="1"/>
    <col min="4" max="4" width="12.42578125" bestFit="1" customWidth="1"/>
    <col min="5" max="5" width="11.42578125" customWidth="1"/>
    <col min="6" max="7" width="12.28515625" bestFit="1" customWidth="1"/>
    <col min="8" max="9" width="12.42578125" bestFit="1" customWidth="1"/>
    <col min="13" max="13" width="14.28515625" customWidth="1"/>
    <col min="16" max="16" width="13.42578125" bestFit="1" customWidth="1"/>
    <col min="17" max="17" width="13.140625" customWidth="1"/>
    <col min="19" max="19" width="13.85546875" customWidth="1"/>
    <col min="20" max="20" width="14.7109375" bestFit="1" customWidth="1"/>
    <col min="21" max="21" width="11.7109375" bestFit="1" customWidth="1"/>
    <col min="22" max="22" width="13.28515625" bestFit="1" customWidth="1"/>
    <col min="23" max="23" width="12.5703125" bestFit="1" customWidth="1"/>
    <col min="24" max="24" width="11.5703125" bestFit="1" customWidth="1"/>
    <col min="25" max="25" width="14" bestFit="1" customWidth="1"/>
    <col min="26" max="26" width="13.42578125" bestFit="1" customWidth="1"/>
    <col min="27" max="27" width="15.140625" customWidth="1"/>
    <col min="28" max="28" width="16.140625" customWidth="1"/>
  </cols>
  <sheetData>
    <row r="2" spans="2:28" ht="15.75" customHeight="1" x14ac:dyDescent="0.25">
      <c r="G2" s="26" t="s">
        <v>29</v>
      </c>
    </row>
    <row r="3" spans="2:28" ht="15.75" customHeight="1" x14ac:dyDescent="0.25">
      <c r="G3" s="26" t="s">
        <v>28</v>
      </c>
    </row>
    <row r="4" spans="2:28" ht="15.75" customHeight="1" x14ac:dyDescent="0.3">
      <c r="G4" s="27" t="s">
        <v>30</v>
      </c>
      <c r="N4" s="28">
        <v>45689</v>
      </c>
    </row>
    <row r="5" spans="2:28" x14ac:dyDescent="0.25">
      <c r="C5" s="81" t="s">
        <v>35</v>
      </c>
      <c r="D5" s="81"/>
      <c r="E5" s="81"/>
      <c r="U5" t="s">
        <v>42</v>
      </c>
      <c r="V5" t="s">
        <v>43</v>
      </c>
    </row>
    <row r="6" spans="2:28" ht="15.75" x14ac:dyDescent="0.25">
      <c r="N6" s="13" t="s">
        <v>27</v>
      </c>
      <c r="O6" s="29">
        <f>S6*16.5%</f>
        <v>3465</v>
      </c>
      <c r="P6" s="30" t="s">
        <v>26</v>
      </c>
      <c r="Q6" s="11">
        <f>(S6*8)/100</f>
        <v>1680</v>
      </c>
      <c r="R6" s="13" t="s">
        <v>25</v>
      </c>
      <c r="S6" s="11">
        <v>21000</v>
      </c>
      <c r="T6" t="s">
        <v>41</v>
      </c>
      <c r="U6">
        <v>481</v>
      </c>
      <c r="V6">
        <f>U6/31</f>
        <v>15.516129032258064</v>
      </c>
    </row>
    <row r="7" spans="2:28" ht="46.5" customHeight="1" x14ac:dyDescent="0.25">
      <c r="B7" s="84" t="s">
        <v>24</v>
      </c>
      <c r="C7" s="82" t="s">
        <v>9</v>
      </c>
      <c r="D7" s="82"/>
      <c r="E7" s="82"/>
      <c r="F7" s="82"/>
      <c r="G7" s="82"/>
      <c r="H7" s="82"/>
      <c r="I7" s="82"/>
      <c r="J7" s="82" t="s">
        <v>23</v>
      </c>
      <c r="K7" s="82"/>
      <c r="L7" s="82"/>
      <c r="M7" s="82"/>
      <c r="N7" s="82" t="s">
        <v>22</v>
      </c>
      <c r="O7" s="82"/>
      <c r="P7" s="82"/>
      <c r="Q7" s="83" t="s">
        <v>21</v>
      </c>
      <c r="R7" s="82" t="s">
        <v>20</v>
      </c>
      <c r="S7" s="82"/>
      <c r="T7" s="82"/>
      <c r="U7" s="82" t="s">
        <v>10</v>
      </c>
      <c r="V7" s="82"/>
      <c r="W7" s="82"/>
      <c r="X7" s="82" t="s">
        <v>11</v>
      </c>
      <c r="Y7" s="82"/>
      <c r="Z7" s="82"/>
      <c r="AA7" s="82"/>
      <c r="AB7" s="83" t="s">
        <v>8</v>
      </c>
    </row>
    <row r="8" spans="2:28" ht="30" x14ac:dyDescent="0.25">
      <c r="B8" s="84"/>
      <c r="C8" s="14" t="s">
        <v>1</v>
      </c>
      <c r="D8" s="14" t="s">
        <v>0</v>
      </c>
      <c r="E8" s="14" t="s">
        <v>2</v>
      </c>
      <c r="F8" s="14" t="s">
        <v>19</v>
      </c>
      <c r="G8" s="14" t="s">
        <v>18</v>
      </c>
      <c r="H8" s="14" t="s">
        <v>17</v>
      </c>
      <c r="I8" s="14" t="s">
        <v>3</v>
      </c>
      <c r="J8" s="14" t="s">
        <v>1</v>
      </c>
      <c r="K8" s="14" t="s">
        <v>0</v>
      </c>
      <c r="L8" s="14" t="s">
        <v>2</v>
      </c>
      <c r="M8" s="14" t="s">
        <v>3</v>
      </c>
      <c r="N8" s="14" t="s">
        <v>4</v>
      </c>
      <c r="O8" s="14" t="s">
        <v>5</v>
      </c>
      <c r="P8" s="14" t="s">
        <v>16</v>
      </c>
      <c r="Q8" s="83"/>
      <c r="R8" s="14" t="s">
        <v>6</v>
      </c>
      <c r="S8" s="14" t="s">
        <v>15</v>
      </c>
      <c r="T8" s="14" t="s">
        <v>16</v>
      </c>
      <c r="U8" s="14" t="s">
        <v>4</v>
      </c>
      <c r="V8" s="14" t="s">
        <v>5</v>
      </c>
      <c r="W8" s="14" t="s">
        <v>16</v>
      </c>
      <c r="X8" s="14" t="s">
        <v>6</v>
      </c>
      <c r="Y8" s="14" t="s">
        <v>15</v>
      </c>
      <c r="Z8" s="31" t="s">
        <v>14</v>
      </c>
      <c r="AA8" s="14" t="s">
        <v>7</v>
      </c>
      <c r="AB8" s="83"/>
    </row>
    <row r="9" spans="2:28" x14ac:dyDescent="0.25">
      <c r="B9" s="32"/>
      <c r="C9" s="2">
        <v>1</v>
      </c>
      <c r="D9" s="2">
        <v>2</v>
      </c>
      <c r="E9" s="2">
        <v>3</v>
      </c>
      <c r="F9" s="2"/>
      <c r="G9" s="2">
        <v>4</v>
      </c>
      <c r="H9" s="2">
        <v>5</v>
      </c>
      <c r="I9" s="2">
        <v>6</v>
      </c>
      <c r="J9" s="2">
        <v>7</v>
      </c>
      <c r="K9" s="2">
        <v>8</v>
      </c>
      <c r="L9" s="2">
        <v>9</v>
      </c>
      <c r="M9" s="2">
        <v>10</v>
      </c>
      <c r="N9" s="2">
        <v>11</v>
      </c>
      <c r="O9" s="2">
        <v>12</v>
      </c>
      <c r="P9" s="2">
        <v>13</v>
      </c>
      <c r="Q9" s="2">
        <v>14</v>
      </c>
      <c r="R9" s="2">
        <v>15</v>
      </c>
      <c r="S9" s="2">
        <v>16</v>
      </c>
      <c r="T9" s="2">
        <v>17</v>
      </c>
      <c r="U9" s="2">
        <v>18</v>
      </c>
      <c r="V9" s="2">
        <v>19</v>
      </c>
      <c r="W9" s="2">
        <v>20</v>
      </c>
      <c r="X9" s="2">
        <v>21</v>
      </c>
      <c r="Y9" s="2">
        <v>22</v>
      </c>
      <c r="Z9" s="2">
        <v>23</v>
      </c>
      <c r="AA9" s="2">
        <v>24</v>
      </c>
      <c r="AB9" s="2">
        <v>25</v>
      </c>
    </row>
    <row r="10" spans="2:28" ht="18" x14ac:dyDescent="0.25">
      <c r="B10" s="3"/>
      <c r="C10" s="3"/>
      <c r="D10" s="3"/>
      <c r="E10" s="3"/>
      <c r="F10" s="4"/>
      <c r="G10" s="4"/>
      <c r="H10" s="3"/>
      <c r="I10" s="3"/>
      <c r="J10" s="3"/>
      <c r="K10" s="3"/>
      <c r="L10" s="3"/>
      <c r="M10" s="3"/>
      <c r="N10" s="5"/>
      <c r="O10" s="5"/>
      <c r="P10" s="5"/>
      <c r="Q10" s="5"/>
      <c r="R10" s="5"/>
      <c r="S10" s="5"/>
      <c r="T10" s="3"/>
      <c r="U10" s="3"/>
      <c r="V10" s="3"/>
      <c r="W10" s="3"/>
      <c r="X10" s="3"/>
      <c r="Y10" s="3"/>
      <c r="Z10" s="3"/>
      <c r="AA10" s="3"/>
      <c r="AB10" s="2"/>
    </row>
    <row r="11" spans="2:28" s="68" customFormat="1" ht="18" x14ac:dyDescent="0.25">
      <c r="B11" s="59"/>
      <c r="C11" s="20"/>
      <c r="D11" s="20"/>
      <c r="E11" s="20"/>
      <c r="F11" s="74"/>
      <c r="G11" s="75"/>
      <c r="H11" s="73"/>
      <c r="I11" s="20"/>
      <c r="J11" s="63"/>
      <c r="K11" s="63"/>
      <c r="L11" s="63"/>
      <c r="M11" s="63"/>
      <c r="N11" s="64"/>
      <c r="O11" s="65"/>
      <c r="P11" s="64"/>
      <c r="Q11" s="64"/>
      <c r="R11" s="60"/>
      <c r="S11" s="63"/>
      <c r="T11" s="60"/>
      <c r="U11" s="60"/>
      <c r="V11" s="60"/>
      <c r="W11" s="60"/>
      <c r="X11" s="60"/>
      <c r="Y11" s="60"/>
      <c r="Z11" s="60"/>
      <c r="AA11" s="66"/>
      <c r="AB11" s="67"/>
    </row>
    <row r="12" spans="2:28" ht="18" x14ac:dyDescent="0.25">
      <c r="B12" s="3"/>
      <c r="C12" s="5"/>
      <c r="D12" s="5"/>
      <c r="E12" s="5"/>
      <c r="F12" s="8"/>
      <c r="G12" s="22"/>
      <c r="H12" s="7"/>
      <c r="I12" s="5"/>
      <c r="J12" s="6"/>
      <c r="K12" s="6"/>
      <c r="L12" s="6"/>
      <c r="M12" s="6"/>
      <c r="N12" s="5"/>
      <c r="O12" s="23"/>
      <c r="P12" s="5"/>
      <c r="Q12" s="5"/>
      <c r="R12" s="7"/>
      <c r="S12" s="6"/>
      <c r="T12" s="7"/>
      <c r="U12" s="7"/>
      <c r="V12" s="7"/>
      <c r="W12" s="7"/>
      <c r="X12" s="7"/>
      <c r="Y12" s="7"/>
      <c r="Z12" s="7"/>
      <c r="AA12" s="24"/>
      <c r="AB12" s="25"/>
    </row>
    <row r="13" spans="2:28" ht="18" x14ac:dyDescent="0.25">
      <c r="B13" s="3"/>
      <c r="C13" s="5"/>
      <c r="D13" s="5"/>
      <c r="E13" s="5"/>
      <c r="F13" s="8"/>
      <c r="G13" s="22"/>
      <c r="H13" s="7"/>
      <c r="I13" s="5"/>
      <c r="J13" s="6"/>
      <c r="K13" s="6"/>
      <c r="L13" s="6"/>
      <c r="M13" s="6"/>
      <c r="N13" s="5"/>
      <c r="O13" s="23"/>
      <c r="P13" s="5"/>
      <c r="Q13" s="5"/>
      <c r="R13" s="7"/>
      <c r="S13" s="6"/>
      <c r="T13" s="7"/>
      <c r="U13" s="7"/>
      <c r="V13" s="7"/>
      <c r="W13" s="7"/>
      <c r="X13" s="7"/>
      <c r="Y13" s="7"/>
      <c r="Z13" s="7"/>
      <c r="AA13" s="24"/>
      <c r="AB13" s="25"/>
    </row>
    <row r="14" spans="2:28" ht="17.45" x14ac:dyDescent="0.3">
      <c r="B14" s="3">
        <v>28</v>
      </c>
      <c r="C14" s="5">
        <v>288643</v>
      </c>
      <c r="D14" s="5">
        <v>600976</v>
      </c>
      <c r="E14" s="5">
        <v>145919</v>
      </c>
      <c r="F14" s="8">
        <f t="shared" ref="F14:F41" si="0">C14+D14+E14</f>
        <v>1035538</v>
      </c>
      <c r="G14" s="22">
        <f t="shared" ref="G13:G41" si="1">(C15+D15+E15)+((S14/24)*7.5)</f>
        <v>1035172.25</v>
      </c>
      <c r="H14" s="7">
        <f t="shared" ref="H13:H41" si="2">G14+((K14/12)*2.5)</f>
        <v>1035203.9166666666</v>
      </c>
      <c r="I14" s="5">
        <v>724052</v>
      </c>
      <c r="J14" s="6">
        <f t="shared" ref="J14:L41" si="3">C14-C15</f>
        <v>237</v>
      </c>
      <c r="K14" s="6">
        <f t="shared" si="3"/>
        <v>152</v>
      </c>
      <c r="L14" s="6">
        <f t="shared" si="3"/>
        <v>143</v>
      </c>
      <c r="M14" s="6">
        <f t="shared" ref="M13:M41" si="4">I14-I15</f>
        <v>328</v>
      </c>
      <c r="N14" s="5">
        <f t="shared" ref="N11:N40" si="5">N15</f>
        <v>123.75</v>
      </c>
      <c r="O14" s="23">
        <f t="shared" ref="O13:O41" si="6">L14</f>
        <v>143</v>
      </c>
      <c r="P14" s="5">
        <f t="shared" ref="P13:P41" si="7">N14-O14</f>
        <v>-19.25</v>
      </c>
      <c r="Q14" s="5">
        <f t="shared" ref="Q13:Q41" si="8">H14-G14</f>
        <v>31.666666666627862</v>
      </c>
      <c r="R14" s="7">
        <f t="shared" ref="R11:R39" si="9">R15</f>
        <v>750</v>
      </c>
      <c r="S14" s="6">
        <f t="shared" ref="S13:S39" si="10">J14+K14+L14</f>
        <v>532</v>
      </c>
      <c r="T14" s="7">
        <f t="shared" ref="T13:T41" si="11">R14-S14</f>
        <v>218</v>
      </c>
      <c r="U14" s="7">
        <f t="shared" ref="U13:V40" si="12">U15+N14</f>
        <v>3465</v>
      </c>
      <c r="V14" s="7">
        <f t="shared" si="12"/>
        <v>830</v>
      </c>
      <c r="W14" s="7">
        <f t="shared" ref="W13:W41" si="13">U14-V14</f>
        <v>2635</v>
      </c>
      <c r="X14" s="7">
        <f t="shared" ref="X13:Y40" si="14">X15+R14</f>
        <v>21000</v>
      </c>
      <c r="Y14" s="7">
        <f t="shared" si="14"/>
        <v>8711.5161290322576</v>
      </c>
      <c r="Z14" s="7">
        <f t="shared" ref="Z13:Z41" si="15">X14-Y14</f>
        <v>12288.483870967742</v>
      </c>
      <c r="AA14" s="24">
        <f t="shared" ref="AA13:AA41" si="16">COS(ATAN(M14/S14))</f>
        <v>0.85121852271658371</v>
      </c>
      <c r="AB14" s="25"/>
    </row>
    <row r="15" spans="2:28" ht="18" x14ac:dyDescent="0.25">
      <c r="B15" s="3">
        <v>27</v>
      </c>
      <c r="C15" s="5">
        <v>288406</v>
      </c>
      <c r="D15" s="5">
        <v>600824</v>
      </c>
      <c r="E15" s="5">
        <v>145776</v>
      </c>
      <c r="F15" s="8">
        <f t="shared" si="0"/>
        <v>1035006</v>
      </c>
      <c r="G15" s="22">
        <f t="shared" si="1"/>
        <v>1034933.125</v>
      </c>
      <c r="H15" s="7">
        <f t="shared" si="2"/>
        <v>1034940.625</v>
      </c>
      <c r="I15" s="5">
        <v>723724</v>
      </c>
      <c r="J15" s="6">
        <f t="shared" si="3"/>
        <v>70</v>
      </c>
      <c r="K15" s="6">
        <f t="shared" si="3"/>
        <v>36</v>
      </c>
      <c r="L15" s="6">
        <f t="shared" si="3"/>
        <v>0</v>
      </c>
      <c r="M15" s="6">
        <f t="shared" si="4"/>
        <v>65</v>
      </c>
      <c r="N15" s="5">
        <f t="shared" si="5"/>
        <v>123.75</v>
      </c>
      <c r="O15" s="23">
        <f t="shared" si="6"/>
        <v>0</v>
      </c>
      <c r="P15" s="5">
        <f t="shared" si="7"/>
        <v>123.75</v>
      </c>
      <c r="Q15" s="5">
        <f t="shared" si="8"/>
        <v>7.5</v>
      </c>
      <c r="R15" s="7">
        <f t="shared" si="9"/>
        <v>750</v>
      </c>
      <c r="S15" s="6">
        <f t="shared" si="10"/>
        <v>106</v>
      </c>
      <c r="T15" s="7">
        <f t="shared" si="11"/>
        <v>644</v>
      </c>
      <c r="U15" s="7">
        <f t="shared" si="12"/>
        <v>3341.25</v>
      </c>
      <c r="V15" s="7">
        <f t="shared" si="12"/>
        <v>687</v>
      </c>
      <c r="W15" s="7">
        <f t="shared" si="13"/>
        <v>2654.25</v>
      </c>
      <c r="X15" s="7">
        <f t="shared" si="14"/>
        <v>20250</v>
      </c>
      <c r="Y15" s="7">
        <f t="shared" si="14"/>
        <v>8179.5161290322576</v>
      </c>
      <c r="Z15" s="7">
        <f t="shared" si="15"/>
        <v>12070.483870967742</v>
      </c>
      <c r="AA15" s="24">
        <f t="shared" si="16"/>
        <v>0.85248564605425625</v>
      </c>
      <c r="AB15" s="25"/>
    </row>
    <row r="16" spans="2:28" s="68" customFormat="1" ht="18" x14ac:dyDescent="0.25">
      <c r="B16" s="59">
        <v>26</v>
      </c>
      <c r="C16" s="5">
        <f>C17+69</f>
        <v>288336</v>
      </c>
      <c r="D16" s="5">
        <f>D17+31</f>
        <v>600788</v>
      </c>
      <c r="E16" s="5">
        <v>145776</v>
      </c>
      <c r="F16" s="61">
        <f t="shared" si="0"/>
        <v>1034900</v>
      </c>
      <c r="G16" s="62">
        <f t="shared" si="1"/>
        <v>1034831.25</v>
      </c>
      <c r="H16" s="60">
        <f t="shared" si="2"/>
        <v>1034837.7083333334</v>
      </c>
      <c r="I16" s="5">
        <f>I17+49</f>
        <v>723659</v>
      </c>
      <c r="J16" s="63">
        <f t="shared" si="3"/>
        <v>69</v>
      </c>
      <c r="K16" s="63">
        <f t="shared" si="3"/>
        <v>31</v>
      </c>
      <c r="L16" s="63">
        <f t="shared" si="3"/>
        <v>0</v>
      </c>
      <c r="M16" s="63">
        <f t="shared" si="4"/>
        <v>49</v>
      </c>
      <c r="N16" s="64">
        <f>N17</f>
        <v>123.75</v>
      </c>
      <c r="O16" s="65">
        <f t="shared" si="6"/>
        <v>0</v>
      </c>
      <c r="P16" s="64">
        <f t="shared" si="7"/>
        <v>123.75</v>
      </c>
      <c r="Q16" s="64">
        <f t="shared" si="8"/>
        <v>6.4583333333721384</v>
      </c>
      <c r="R16" s="60">
        <f>R17</f>
        <v>750</v>
      </c>
      <c r="S16" s="63">
        <f t="shared" si="10"/>
        <v>100</v>
      </c>
      <c r="T16" s="60">
        <f t="shared" si="11"/>
        <v>650</v>
      </c>
      <c r="U16" s="60">
        <f t="shared" si="12"/>
        <v>3217.5</v>
      </c>
      <c r="V16" s="60">
        <f t="shared" si="12"/>
        <v>687</v>
      </c>
      <c r="W16" s="60">
        <f t="shared" si="13"/>
        <v>2530.5</v>
      </c>
      <c r="X16" s="60">
        <f t="shared" si="14"/>
        <v>19500</v>
      </c>
      <c r="Y16" s="60">
        <f t="shared" si="14"/>
        <v>8073.5161290322576</v>
      </c>
      <c r="Z16" s="60">
        <f t="shared" si="15"/>
        <v>11426.483870967742</v>
      </c>
      <c r="AA16" s="66">
        <f t="shared" si="16"/>
        <v>0.89799030157751702</v>
      </c>
      <c r="AB16" s="67"/>
    </row>
    <row r="17" spans="2:28" ht="18" x14ac:dyDescent="0.25">
      <c r="B17" s="3">
        <v>25</v>
      </c>
      <c r="C17" s="5">
        <f>C18+63</f>
        <v>288267</v>
      </c>
      <c r="D17" s="5">
        <f>D18+37</f>
        <v>600757</v>
      </c>
      <c r="E17" s="5">
        <v>145776</v>
      </c>
      <c r="F17" s="8">
        <f t="shared" si="0"/>
        <v>1034800</v>
      </c>
      <c r="G17" s="22">
        <f t="shared" si="1"/>
        <v>1034729.1875</v>
      </c>
      <c r="H17" s="7">
        <f t="shared" si="2"/>
        <v>1034736.8958333334</v>
      </c>
      <c r="I17" s="5">
        <f>I18+42</f>
        <v>723610</v>
      </c>
      <c r="J17" s="6">
        <f t="shared" si="3"/>
        <v>63</v>
      </c>
      <c r="K17" s="6">
        <f t="shared" si="3"/>
        <v>37</v>
      </c>
      <c r="L17" s="6">
        <f t="shared" si="3"/>
        <v>3</v>
      </c>
      <c r="M17" s="6">
        <f t="shared" si="4"/>
        <v>42</v>
      </c>
      <c r="N17" s="5">
        <f t="shared" si="5"/>
        <v>123.75</v>
      </c>
      <c r="O17" s="23">
        <f t="shared" si="6"/>
        <v>3</v>
      </c>
      <c r="P17" s="5">
        <f t="shared" si="7"/>
        <v>120.75</v>
      </c>
      <c r="Q17" s="5">
        <f t="shared" si="8"/>
        <v>7.7083333333721384</v>
      </c>
      <c r="R17" s="7">
        <f t="shared" si="9"/>
        <v>750</v>
      </c>
      <c r="S17" s="6">
        <f t="shared" si="10"/>
        <v>103</v>
      </c>
      <c r="T17" s="7">
        <f t="shared" si="11"/>
        <v>647</v>
      </c>
      <c r="U17" s="7">
        <f t="shared" si="12"/>
        <v>3093.75</v>
      </c>
      <c r="V17" s="7">
        <f t="shared" si="12"/>
        <v>687</v>
      </c>
      <c r="W17" s="7">
        <f t="shared" si="13"/>
        <v>2406.75</v>
      </c>
      <c r="X17" s="7">
        <f t="shared" si="14"/>
        <v>18750</v>
      </c>
      <c r="Y17" s="7">
        <f t="shared" si="14"/>
        <v>7973.5161290322576</v>
      </c>
      <c r="Z17" s="7">
        <f t="shared" si="15"/>
        <v>10776.483870967742</v>
      </c>
      <c r="AA17" s="24">
        <f t="shared" si="16"/>
        <v>0.92597597381436836</v>
      </c>
      <c r="AB17" s="25"/>
    </row>
    <row r="18" spans="2:28" ht="18" x14ac:dyDescent="0.25">
      <c r="B18" s="3">
        <v>24</v>
      </c>
      <c r="C18" s="5">
        <f t="shared" ref="C18" si="17">C19+65</f>
        <v>288204</v>
      </c>
      <c r="D18" s="5">
        <f t="shared" ref="D18" si="18">D19+33</f>
        <v>600720</v>
      </c>
      <c r="E18" s="5">
        <v>145773</v>
      </c>
      <c r="F18" s="8">
        <f t="shared" si="0"/>
        <v>1034697</v>
      </c>
      <c r="G18" s="22">
        <f t="shared" si="1"/>
        <v>1034629.625</v>
      </c>
      <c r="H18" s="7">
        <f t="shared" si="2"/>
        <v>1034636.5</v>
      </c>
      <c r="I18" s="5">
        <f>I19+63</f>
        <v>723568</v>
      </c>
      <c r="J18" s="6">
        <f t="shared" si="3"/>
        <v>65</v>
      </c>
      <c r="K18" s="6">
        <f t="shared" si="3"/>
        <v>33</v>
      </c>
      <c r="L18" s="6">
        <f t="shared" si="3"/>
        <v>0</v>
      </c>
      <c r="M18" s="6">
        <f t="shared" si="4"/>
        <v>63</v>
      </c>
      <c r="N18" s="5">
        <f t="shared" si="5"/>
        <v>123.75</v>
      </c>
      <c r="O18" s="23">
        <f t="shared" si="6"/>
        <v>0</v>
      </c>
      <c r="P18" s="5">
        <f t="shared" si="7"/>
        <v>123.75</v>
      </c>
      <c r="Q18" s="5">
        <f t="shared" si="8"/>
        <v>6.875</v>
      </c>
      <c r="R18" s="7">
        <f t="shared" si="9"/>
        <v>750</v>
      </c>
      <c r="S18" s="6">
        <f t="shared" si="10"/>
        <v>98</v>
      </c>
      <c r="T18" s="7">
        <f t="shared" si="11"/>
        <v>652</v>
      </c>
      <c r="U18" s="7">
        <f t="shared" si="12"/>
        <v>2970</v>
      </c>
      <c r="V18" s="7">
        <f t="shared" si="12"/>
        <v>684</v>
      </c>
      <c r="W18" s="7">
        <f t="shared" si="13"/>
        <v>2286</v>
      </c>
      <c r="X18" s="7">
        <f t="shared" si="14"/>
        <v>18000</v>
      </c>
      <c r="Y18" s="7">
        <f t="shared" si="14"/>
        <v>7870.5161290322576</v>
      </c>
      <c r="Z18" s="7">
        <f t="shared" si="15"/>
        <v>10129.483870967742</v>
      </c>
      <c r="AA18" s="24">
        <f t="shared" si="16"/>
        <v>0.84117847537655355</v>
      </c>
      <c r="AB18" s="25"/>
    </row>
    <row r="19" spans="2:28" ht="18" x14ac:dyDescent="0.25">
      <c r="B19" s="3">
        <v>23</v>
      </c>
      <c r="C19" s="5">
        <f>C20+60</f>
        <v>288139</v>
      </c>
      <c r="D19" s="5">
        <f>D20+30</f>
        <v>600687</v>
      </c>
      <c r="E19" s="5">
        <v>145773</v>
      </c>
      <c r="F19" s="8">
        <f t="shared" si="0"/>
        <v>1034599</v>
      </c>
      <c r="G19" s="22">
        <f t="shared" si="1"/>
        <v>1034537.125</v>
      </c>
      <c r="H19" s="7">
        <f t="shared" si="2"/>
        <v>1034543.375</v>
      </c>
      <c r="I19" s="5">
        <f>I20+218</f>
        <v>723505</v>
      </c>
      <c r="J19" s="6">
        <f t="shared" si="3"/>
        <v>60</v>
      </c>
      <c r="K19" s="6">
        <f t="shared" si="3"/>
        <v>30</v>
      </c>
      <c r="L19" s="6">
        <f t="shared" si="3"/>
        <v>0</v>
      </c>
      <c r="M19" s="6">
        <f t="shared" si="4"/>
        <v>218</v>
      </c>
      <c r="N19" s="5">
        <f t="shared" si="5"/>
        <v>123.75</v>
      </c>
      <c r="O19" s="3">
        <f t="shared" si="6"/>
        <v>0</v>
      </c>
      <c r="P19" s="5">
        <f t="shared" si="7"/>
        <v>123.75</v>
      </c>
      <c r="Q19" s="5">
        <f t="shared" si="8"/>
        <v>6.25</v>
      </c>
      <c r="R19" s="7">
        <f t="shared" si="9"/>
        <v>750</v>
      </c>
      <c r="S19" s="6">
        <f t="shared" si="10"/>
        <v>90</v>
      </c>
      <c r="T19" s="7">
        <f t="shared" si="11"/>
        <v>660</v>
      </c>
      <c r="U19" s="7">
        <f t="shared" si="12"/>
        <v>2846.25</v>
      </c>
      <c r="V19" s="7">
        <f t="shared" si="12"/>
        <v>684</v>
      </c>
      <c r="W19" s="7">
        <f t="shared" si="13"/>
        <v>2162.25</v>
      </c>
      <c r="X19" s="7">
        <f t="shared" si="14"/>
        <v>17250</v>
      </c>
      <c r="Y19" s="7">
        <f t="shared" si="14"/>
        <v>7772.5161290322576</v>
      </c>
      <c r="Z19" s="7">
        <f t="shared" si="15"/>
        <v>9477.4838709677424</v>
      </c>
      <c r="AA19" s="24">
        <f t="shared" si="16"/>
        <v>0.38160266695403833</v>
      </c>
      <c r="AB19" s="1"/>
    </row>
    <row r="20" spans="2:28" ht="18" x14ac:dyDescent="0.25">
      <c r="B20" s="3">
        <v>22</v>
      </c>
      <c r="C20" s="5">
        <f>C21+218</f>
        <v>288079</v>
      </c>
      <c r="D20" s="5">
        <f>D21+126</f>
        <v>600657</v>
      </c>
      <c r="E20" s="5">
        <f>E21+30</f>
        <v>145773</v>
      </c>
      <c r="F20" s="8">
        <f t="shared" si="0"/>
        <v>1034509</v>
      </c>
      <c r="G20" s="22">
        <f t="shared" si="1"/>
        <v>1034251.875</v>
      </c>
      <c r="H20" s="7">
        <f t="shared" si="2"/>
        <v>1034278.125</v>
      </c>
      <c r="I20" s="5">
        <f>I21+211</f>
        <v>723287</v>
      </c>
      <c r="J20" s="6">
        <f t="shared" si="3"/>
        <v>218</v>
      </c>
      <c r="K20" s="6">
        <f t="shared" si="3"/>
        <v>126</v>
      </c>
      <c r="L20" s="6">
        <f t="shared" si="3"/>
        <v>30</v>
      </c>
      <c r="M20" s="6">
        <f t="shared" si="4"/>
        <v>211</v>
      </c>
      <c r="N20" s="5">
        <f t="shared" si="5"/>
        <v>123.75</v>
      </c>
      <c r="O20" s="3">
        <f t="shared" si="6"/>
        <v>30</v>
      </c>
      <c r="P20" s="5">
        <f t="shared" si="7"/>
        <v>93.75</v>
      </c>
      <c r="Q20" s="5">
        <f t="shared" si="8"/>
        <v>26.25</v>
      </c>
      <c r="R20" s="7">
        <f t="shared" si="9"/>
        <v>750</v>
      </c>
      <c r="S20" s="6">
        <f t="shared" si="10"/>
        <v>374</v>
      </c>
      <c r="T20" s="7">
        <f t="shared" si="11"/>
        <v>376</v>
      </c>
      <c r="U20" s="7">
        <f t="shared" si="12"/>
        <v>2722.5</v>
      </c>
      <c r="V20" s="7">
        <f t="shared" si="12"/>
        <v>684</v>
      </c>
      <c r="W20" s="7">
        <f t="shared" si="13"/>
        <v>2038.5</v>
      </c>
      <c r="X20" s="7">
        <f t="shared" si="14"/>
        <v>16500</v>
      </c>
      <c r="Y20" s="7">
        <f t="shared" si="14"/>
        <v>7682.5161290322576</v>
      </c>
      <c r="Z20" s="7">
        <f t="shared" si="15"/>
        <v>8817.4838709677424</v>
      </c>
      <c r="AA20" s="24">
        <f t="shared" si="16"/>
        <v>0.87095291418379817</v>
      </c>
      <c r="AB20" s="1"/>
    </row>
    <row r="21" spans="2:28" ht="18" x14ac:dyDescent="0.25">
      <c r="B21" s="3">
        <v>21</v>
      </c>
      <c r="C21" s="5">
        <f>C22+210</f>
        <v>287861</v>
      </c>
      <c r="D21" s="5">
        <f>D22+119</f>
        <v>600531</v>
      </c>
      <c r="E21" s="5">
        <f>E22+29</f>
        <v>145743</v>
      </c>
      <c r="F21" s="8">
        <f t="shared" si="0"/>
        <v>1034135</v>
      </c>
      <c r="G21" s="22">
        <f t="shared" si="1"/>
        <v>1033888.875</v>
      </c>
      <c r="H21" s="7">
        <f t="shared" si="2"/>
        <v>1033913.6666666666</v>
      </c>
      <c r="I21" s="5">
        <f>I22+221</f>
        <v>723076</v>
      </c>
      <c r="J21" s="6">
        <f t="shared" si="3"/>
        <v>210</v>
      </c>
      <c r="K21" s="6">
        <f t="shared" si="3"/>
        <v>119</v>
      </c>
      <c r="L21" s="6">
        <f t="shared" si="3"/>
        <v>29</v>
      </c>
      <c r="M21" s="6">
        <f t="shared" si="4"/>
        <v>221</v>
      </c>
      <c r="N21" s="5">
        <f t="shared" si="5"/>
        <v>123.75</v>
      </c>
      <c r="O21" s="3">
        <f t="shared" si="6"/>
        <v>29</v>
      </c>
      <c r="P21" s="5">
        <f t="shared" si="7"/>
        <v>94.75</v>
      </c>
      <c r="Q21" s="5">
        <f t="shared" si="8"/>
        <v>24.791666666627862</v>
      </c>
      <c r="R21" s="7">
        <f t="shared" si="9"/>
        <v>750</v>
      </c>
      <c r="S21" s="6">
        <f t="shared" si="10"/>
        <v>358</v>
      </c>
      <c r="T21" s="7">
        <f t="shared" si="11"/>
        <v>392</v>
      </c>
      <c r="U21" s="7">
        <f t="shared" si="12"/>
        <v>2598.75</v>
      </c>
      <c r="V21" s="7">
        <f t="shared" si="12"/>
        <v>654</v>
      </c>
      <c r="W21" s="7">
        <f t="shared" si="13"/>
        <v>1944.75</v>
      </c>
      <c r="X21" s="7">
        <f t="shared" si="14"/>
        <v>15750</v>
      </c>
      <c r="Y21" s="7">
        <f t="shared" si="14"/>
        <v>7308.5161290322576</v>
      </c>
      <c r="Z21" s="7">
        <f t="shared" si="15"/>
        <v>8441.4838709677424</v>
      </c>
      <c r="AA21" s="24">
        <f t="shared" si="16"/>
        <v>0.85092299388785797</v>
      </c>
      <c r="AB21" s="1"/>
    </row>
    <row r="22" spans="2:28" ht="18" x14ac:dyDescent="0.25">
      <c r="B22" s="3">
        <v>20</v>
      </c>
      <c r="C22" s="5">
        <f>C23+205</f>
        <v>287651</v>
      </c>
      <c r="D22" s="5">
        <f>D23+111</f>
        <v>600412</v>
      </c>
      <c r="E22" s="5">
        <f>E23+24</f>
        <v>145714</v>
      </c>
      <c r="F22" s="8">
        <f t="shared" si="0"/>
        <v>1033777</v>
      </c>
      <c r="G22" s="22">
        <f t="shared" si="1"/>
        <v>1033543.25</v>
      </c>
      <c r="H22" s="7">
        <f t="shared" si="2"/>
        <v>1033566.375</v>
      </c>
      <c r="I22" s="5">
        <f>I23+218</f>
        <v>722855</v>
      </c>
      <c r="J22" s="6">
        <f t="shared" si="3"/>
        <v>205</v>
      </c>
      <c r="K22" s="6">
        <f t="shared" si="3"/>
        <v>111</v>
      </c>
      <c r="L22" s="6">
        <f t="shared" si="3"/>
        <v>24</v>
      </c>
      <c r="M22" s="6">
        <f t="shared" si="4"/>
        <v>218</v>
      </c>
      <c r="N22" s="5">
        <f t="shared" si="5"/>
        <v>123.75</v>
      </c>
      <c r="O22" s="3">
        <f t="shared" si="6"/>
        <v>24</v>
      </c>
      <c r="P22" s="5">
        <f t="shared" si="7"/>
        <v>99.75</v>
      </c>
      <c r="Q22" s="5">
        <f t="shared" si="8"/>
        <v>23.125</v>
      </c>
      <c r="R22" s="7">
        <f t="shared" si="9"/>
        <v>750</v>
      </c>
      <c r="S22" s="6">
        <f t="shared" si="10"/>
        <v>340</v>
      </c>
      <c r="T22" s="7">
        <f t="shared" si="11"/>
        <v>410</v>
      </c>
      <c r="U22" s="7">
        <f t="shared" si="12"/>
        <v>2475</v>
      </c>
      <c r="V22" s="7">
        <f t="shared" si="12"/>
        <v>625</v>
      </c>
      <c r="W22" s="7">
        <f t="shared" si="13"/>
        <v>1850</v>
      </c>
      <c r="X22" s="7">
        <f t="shared" si="14"/>
        <v>15000</v>
      </c>
      <c r="Y22" s="7">
        <f t="shared" si="14"/>
        <v>6950.5161290322576</v>
      </c>
      <c r="Z22" s="7">
        <f t="shared" si="15"/>
        <v>8049.4838709677424</v>
      </c>
      <c r="AA22" s="24">
        <f t="shared" si="16"/>
        <v>0.8418214467022116</v>
      </c>
      <c r="AB22" s="1"/>
    </row>
    <row r="23" spans="2:28" ht="18" x14ac:dyDescent="0.25">
      <c r="B23" s="3">
        <v>19</v>
      </c>
      <c r="C23" s="5">
        <f>C24+208</f>
        <v>287446</v>
      </c>
      <c r="D23" s="5">
        <f>D24+118</f>
        <v>600301</v>
      </c>
      <c r="E23" s="5">
        <f>E24+26</f>
        <v>145690</v>
      </c>
      <c r="F23" s="9">
        <f>C23+D23+E23</f>
        <v>1033437</v>
      </c>
      <c r="G23" s="22">
        <f t="shared" si="1"/>
        <v>1033195</v>
      </c>
      <c r="H23" s="7">
        <f t="shared" si="2"/>
        <v>1033219.5833333334</v>
      </c>
      <c r="I23" s="5">
        <f>I24+216</f>
        <v>722637</v>
      </c>
      <c r="J23" s="6">
        <f t="shared" si="3"/>
        <v>208</v>
      </c>
      <c r="K23" s="6">
        <f t="shared" si="3"/>
        <v>118</v>
      </c>
      <c r="L23" s="6">
        <f t="shared" si="3"/>
        <v>26</v>
      </c>
      <c r="M23" s="6">
        <f t="shared" si="4"/>
        <v>216</v>
      </c>
      <c r="N23" s="5">
        <f t="shared" si="5"/>
        <v>123.75</v>
      </c>
      <c r="O23" s="3">
        <f t="shared" si="6"/>
        <v>26</v>
      </c>
      <c r="P23" s="5">
        <f t="shared" si="7"/>
        <v>97.75</v>
      </c>
      <c r="Q23" s="5">
        <f t="shared" si="8"/>
        <v>24.583333333372138</v>
      </c>
      <c r="R23" s="7">
        <f t="shared" si="9"/>
        <v>750</v>
      </c>
      <c r="S23" s="6">
        <f t="shared" si="10"/>
        <v>352</v>
      </c>
      <c r="T23" s="7">
        <f t="shared" si="11"/>
        <v>398</v>
      </c>
      <c r="U23" s="7">
        <f t="shared" si="12"/>
        <v>2351.25</v>
      </c>
      <c r="V23" s="7">
        <f t="shared" si="12"/>
        <v>601</v>
      </c>
      <c r="W23" s="7">
        <f t="shared" si="13"/>
        <v>1750.25</v>
      </c>
      <c r="X23" s="7">
        <f t="shared" si="14"/>
        <v>14250</v>
      </c>
      <c r="Y23" s="7">
        <f t="shared" si="14"/>
        <v>6610.5161290322576</v>
      </c>
      <c r="Z23" s="7">
        <f t="shared" si="15"/>
        <v>7639.4838709677424</v>
      </c>
      <c r="AA23" s="24">
        <f t="shared" si="16"/>
        <v>0.85232272864866565</v>
      </c>
      <c r="AB23" s="1"/>
    </row>
    <row r="24" spans="2:28" ht="18" x14ac:dyDescent="0.25">
      <c r="B24" s="3">
        <v>18</v>
      </c>
      <c r="C24" s="5">
        <f>C25+213</f>
        <v>287238</v>
      </c>
      <c r="D24" s="5">
        <f>D25+120</f>
        <v>600183</v>
      </c>
      <c r="E24" s="5">
        <f>E25+30</f>
        <v>145664</v>
      </c>
      <c r="F24" s="8">
        <f t="shared" si="0"/>
        <v>1033085</v>
      </c>
      <c r="G24" s="22">
        <f t="shared" si="1"/>
        <v>1032835.4375</v>
      </c>
      <c r="H24" s="7">
        <f t="shared" si="2"/>
        <v>1032860.4375</v>
      </c>
      <c r="I24" s="5">
        <f>I25+222</f>
        <v>722421</v>
      </c>
      <c r="J24" s="6">
        <f t="shared" si="3"/>
        <v>213</v>
      </c>
      <c r="K24" s="6">
        <f t="shared" si="3"/>
        <v>120</v>
      </c>
      <c r="L24" s="6">
        <f t="shared" si="3"/>
        <v>30</v>
      </c>
      <c r="M24" s="6">
        <f t="shared" si="4"/>
        <v>222</v>
      </c>
      <c r="N24" s="5">
        <f t="shared" si="5"/>
        <v>123.75</v>
      </c>
      <c r="O24" s="3">
        <f t="shared" si="6"/>
        <v>30</v>
      </c>
      <c r="P24" s="5">
        <f t="shared" si="7"/>
        <v>93.75</v>
      </c>
      <c r="Q24" s="5">
        <f t="shared" si="8"/>
        <v>25</v>
      </c>
      <c r="R24" s="7">
        <f t="shared" si="9"/>
        <v>750</v>
      </c>
      <c r="S24" s="6">
        <f t="shared" si="10"/>
        <v>363</v>
      </c>
      <c r="T24" s="7">
        <f t="shared" si="11"/>
        <v>387</v>
      </c>
      <c r="U24" s="7">
        <f t="shared" si="12"/>
        <v>2227.5</v>
      </c>
      <c r="V24" s="7">
        <f t="shared" si="12"/>
        <v>575</v>
      </c>
      <c r="W24" s="7">
        <f t="shared" si="13"/>
        <v>1652.5</v>
      </c>
      <c r="X24" s="7">
        <f t="shared" si="14"/>
        <v>13500</v>
      </c>
      <c r="Y24" s="7">
        <f t="shared" si="14"/>
        <v>6258.5161290322576</v>
      </c>
      <c r="Z24" s="7">
        <f t="shared" si="15"/>
        <v>7241.4838709677424</v>
      </c>
      <c r="AA24" s="24">
        <f t="shared" si="16"/>
        <v>0.85310750458303963</v>
      </c>
      <c r="AB24" s="1"/>
    </row>
    <row r="25" spans="2:28" ht="18" x14ac:dyDescent="0.25">
      <c r="B25" s="3">
        <v>17</v>
      </c>
      <c r="C25" s="5">
        <f>C26+217</f>
        <v>287025</v>
      </c>
      <c r="D25" s="5">
        <f t="shared" ref="D25" si="19">D26+116</f>
        <v>600063</v>
      </c>
      <c r="E25" s="5">
        <f>E26+28</f>
        <v>145634</v>
      </c>
      <c r="F25" s="8">
        <f t="shared" si="0"/>
        <v>1032722</v>
      </c>
      <c r="G25" s="22">
        <f t="shared" si="1"/>
        <v>1032473.8125</v>
      </c>
      <c r="H25" s="7">
        <f t="shared" si="2"/>
        <v>1032497.9791666666</v>
      </c>
      <c r="I25" s="5">
        <f>I26+213</f>
        <v>722199</v>
      </c>
      <c r="J25" s="6">
        <f t="shared" si="3"/>
        <v>217</v>
      </c>
      <c r="K25" s="6">
        <f t="shared" si="3"/>
        <v>116</v>
      </c>
      <c r="L25" s="6">
        <f t="shared" si="3"/>
        <v>28</v>
      </c>
      <c r="M25" s="7">
        <f t="shared" si="4"/>
        <v>213</v>
      </c>
      <c r="N25" s="5">
        <f t="shared" si="5"/>
        <v>123.75</v>
      </c>
      <c r="O25" s="3">
        <f t="shared" si="6"/>
        <v>28</v>
      </c>
      <c r="P25" s="5">
        <f t="shared" si="7"/>
        <v>95.75</v>
      </c>
      <c r="Q25" s="5">
        <f t="shared" si="8"/>
        <v>24.166666666627862</v>
      </c>
      <c r="R25" s="7">
        <f t="shared" si="9"/>
        <v>750</v>
      </c>
      <c r="S25" s="6">
        <f t="shared" si="10"/>
        <v>361</v>
      </c>
      <c r="T25" s="7">
        <f t="shared" si="11"/>
        <v>389</v>
      </c>
      <c r="U25" s="7">
        <f t="shared" si="12"/>
        <v>2103.75</v>
      </c>
      <c r="V25" s="6">
        <f t="shared" si="12"/>
        <v>545</v>
      </c>
      <c r="W25" s="7">
        <f t="shared" si="13"/>
        <v>1558.75</v>
      </c>
      <c r="X25" s="7">
        <f t="shared" si="14"/>
        <v>12750</v>
      </c>
      <c r="Y25" s="7">
        <f t="shared" si="14"/>
        <v>5895.5161290322576</v>
      </c>
      <c r="Z25" s="7">
        <f t="shared" si="15"/>
        <v>6854.4838709677424</v>
      </c>
      <c r="AA25" s="24">
        <f t="shared" si="16"/>
        <v>0.86125881606504207</v>
      </c>
      <c r="AB25" s="1"/>
    </row>
    <row r="26" spans="2:28" ht="16.5" customHeight="1" x14ac:dyDescent="0.25">
      <c r="B26" s="3">
        <v>16</v>
      </c>
      <c r="C26" s="5">
        <f>C27+198</f>
        <v>286808</v>
      </c>
      <c r="D26" s="5">
        <f>D27+121</f>
        <v>599947</v>
      </c>
      <c r="E26" s="5">
        <f>E27+31</f>
        <v>145606</v>
      </c>
      <c r="F26" s="8">
        <f t="shared" si="0"/>
        <v>1032361</v>
      </c>
      <c r="G26" s="22">
        <f t="shared" si="1"/>
        <v>1032120.375</v>
      </c>
      <c r="H26" s="7">
        <f t="shared" si="2"/>
        <v>1032145.5833333334</v>
      </c>
      <c r="I26" s="5">
        <f>I27+215</f>
        <v>721986</v>
      </c>
      <c r="J26" s="6">
        <f t="shared" si="3"/>
        <v>198</v>
      </c>
      <c r="K26" s="6">
        <f t="shared" si="3"/>
        <v>121</v>
      </c>
      <c r="L26" s="6">
        <f t="shared" si="3"/>
        <v>31</v>
      </c>
      <c r="M26" s="7">
        <f t="shared" si="4"/>
        <v>215</v>
      </c>
      <c r="N26" s="5">
        <f t="shared" si="5"/>
        <v>123.75</v>
      </c>
      <c r="O26" s="3">
        <f t="shared" si="6"/>
        <v>31</v>
      </c>
      <c r="P26" s="5">
        <f t="shared" si="7"/>
        <v>92.75</v>
      </c>
      <c r="Q26" s="5">
        <f t="shared" si="8"/>
        <v>25.208333333372138</v>
      </c>
      <c r="R26" s="7">
        <f t="shared" si="9"/>
        <v>750</v>
      </c>
      <c r="S26" s="6">
        <f>J26+K26+L26</f>
        <v>350</v>
      </c>
      <c r="T26" s="7">
        <f t="shared" si="11"/>
        <v>400</v>
      </c>
      <c r="U26" s="7">
        <f t="shared" si="12"/>
        <v>1980</v>
      </c>
      <c r="V26" s="6">
        <f t="shared" si="12"/>
        <v>517</v>
      </c>
      <c r="W26" s="7">
        <f t="shared" si="13"/>
        <v>1463</v>
      </c>
      <c r="X26" s="7">
        <f t="shared" si="14"/>
        <v>12000</v>
      </c>
      <c r="Y26" s="7">
        <f t="shared" si="14"/>
        <v>5534.5161290322576</v>
      </c>
      <c r="Z26" s="7">
        <f t="shared" si="15"/>
        <v>6465.4838709677424</v>
      </c>
      <c r="AA26" s="24">
        <f t="shared" si="16"/>
        <v>0.85207598630781511</v>
      </c>
      <c r="AB26" s="1"/>
    </row>
    <row r="27" spans="2:28" ht="18" x14ac:dyDescent="0.25">
      <c r="B27" s="3">
        <v>15</v>
      </c>
      <c r="C27" s="5">
        <f>C28+205</f>
        <v>286610</v>
      </c>
      <c r="D27" s="5">
        <f>D28+119</f>
        <v>599826</v>
      </c>
      <c r="E27" s="5">
        <f t="shared" ref="E27" si="20">E28+34</f>
        <v>145575</v>
      </c>
      <c r="F27" s="8">
        <f t="shared" si="0"/>
        <v>1032011</v>
      </c>
      <c r="G27" s="22">
        <f t="shared" si="1"/>
        <v>1031764.875</v>
      </c>
      <c r="H27" s="7">
        <f t="shared" si="2"/>
        <v>1031789.6666666666</v>
      </c>
      <c r="I27" s="5">
        <f>I28+220</f>
        <v>721771</v>
      </c>
      <c r="J27" s="6">
        <f t="shared" si="3"/>
        <v>205</v>
      </c>
      <c r="K27" s="6">
        <f t="shared" si="3"/>
        <v>119</v>
      </c>
      <c r="L27" s="6">
        <f t="shared" si="3"/>
        <v>34</v>
      </c>
      <c r="M27" s="7">
        <f t="shared" si="4"/>
        <v>220</v>
      </c>
      <c r="N27" s="5">
        <f t="shared" si="5"/>
        <v>123.75</v>
      </c>
      <c r="O27" s="3">
        <f t="shared" si="6"/>
        <v>34</v>
      </c>
      <c r="P27" s="5">
        <f t="shared" si="7"/>
        <v>89.75</v>
      </c>
      <c r="Q27" s="5">
        <f t="shared" si="8"/>
        <v>24.791666666627862</v>
      </c>
      <c r="R27" s="7">
        <f t="shared" si="9"/>
        <v>750</v>
      </c>
      <c r="S27" s="6">
        <f t="shared" si="10"/>
        <v>358</v>
      </c>
      <c r="T27" s="7">
        <f t="shared" si="11"/>
        <v>392</v>
      </c>
      <c r="U27" s="7">
        <f t="shared" si="12"/>
        <v>1856.25</v>
      </c>
      <c r="V27" s="6">
        <f t="shared" si="12"/>
        <v>486</v>
      </c>
      <c r="W27" s="7">
        <f t="shared" si="13"/>
        <v>1370.25</v>
      </c>
      <c r="X27" s="7">
        <f t="shared" si="14"/>
        <v>11250</v>
      </c>
      <c r="Y27" s="7">
        <f t="shared" si="14"/>
        <v>5184.5161290322576</v>
      </c>
      <c r="Z27" s="7">
        <f t="shared" si="15"/>
        <v>6065.4838709677424</v>
      </c>
      <c r="AA27" s="24">
        <f t="shared" si="16"/>
        <v>0.85198499694247276</v>
      </c>
      <c r="AB27" s="1"/>
    </row>
    <row r="28" spans="2:28" ht="18" x14ac:dyDescent="0.25">
      <c r="B28" s="3">
        <v>14</v>
      </c>
      <c r="C28" s="5">
        <f>C29+211</f>
        <v>286405</v>
      </c>
      <c r="D28" s="5">
        <f>D29+116</f>
        <v>599707</v>
      </c>
      <c r="E28" s="5">
        <f>E29+37</f>
        <v>145541</v>
      </c>
      <c r="F28" s="8">
        <f t="shared" si="0"/>
        <v>1031653</v>
      </c>
      <c r="G28" s="22">
        <f t="shared" si="1"/>
        <v>1031402.75</v>
      </c>
      <c r="H28" s="7">
        <f t="shared" si="2"/>
        <v>1031426.9166666666</v>
      </c>
      <c r="I28" s="5">
        <f>I29+219</f>
        <v>721551</v>
      </c>
      <c r="J28" s="6">
        <f t="shared" si="3"/>
        <v>211</v>
      </c>
      <c r="K28" s="6">
        <f t="shared" si="3"/>
        <v>116</v>
      </c>
      <c r="L28" s="6">
        <f t="shared" si="3"/>
        <v>37</v>
      </c>
      <c r="M28" s="7">
        <f t="shared" si="4"/>
        <v>219</v>
      </c>
      <c r="N28" s="5">
        <f t="shared" si="5"/>
        <v>123.75</v>
      </c>
      <c r="O28" s="3">
        <f t="shared" si="6"/>
        <v>37</v>
      </c>
      <c r="P28" s="5">
        <f t="shared" si="7"/>
        <v>86.75</v>
      </c>
      <c r="Q28" s="5">
        <f t="shared" si="8"/>
        <v>24.166666666627862</v>
      </c>
      <c r="R28" s="7">
        <f t="shared" si="9"/>
        <v>750</v>
      </c>
      <c r="S28" s="6">
        <f t="shared" si="10"/>
        <v>364</v>
      </c>
      <c r="T28" s="7">
        <f t="shared" si="11"/>
        <v>386</v>
      </c>
      <c r="U28" s="7">
        <f t="shared" si="12"/>
        <v>1732.5</v>
      </c>
      <c r="V28" s="6">
        <f t="shared" si="12"/>
        <v>452</v>
      </c>
      <c r="W28" s="7">
        <f t="shared" si="13"/>
        <v>1280.5</v>
      </c>
      <c r="X28" s="7">
        <f t="shared" si="14"/>
        <v>10500</v>
      </c>
      <c r="Y28" s="7">
        <f t="shared" si="14"/>
        <v>4826.5161290322576</v>
      </c>
      <c r="Z28" s="7">
        <f t="shared" si="15"/>
        <v>5673.4838709677424</v>
      </c>
      <c r="AA28" s="24">
        <f t="shared" si="16"/>
        <v>0.85686916957539105</v>
      </c>
      <c r="AB28" s="1"/>
    </row>
    <row r="29" spans="2:28" ht="18" x14ac:dyDescent="0.25">
      <c r="B29" s="3">
        <v>13</v>
      </c>
      <c r="C29" s="5">
        <v>286194</v>
      </c>
      <c r="D29" s="5">
        <v>599591</v>
      </c>
      <c r="E29" s="5">
        <v>145504</v>
      </c>
      <c r="F29" s="8">
        <f t="shared" si="0"/>
        <v>1031289</v>
      </c>
      <c r="G29" s="22">
        <f t="shared" si="1"/>
        <v>1031014</v>
      </c>
      <c r="H29" s="7">
        <f t="shared" si="2"/>
        <v>1031045.25</v>
      </c>
      <c r="I29" s="5">
        <v>721332</v>
      </c>
      <c r="J29" s="6">
        <f t="shared" si="3"/>
        <v>214</v>
      </c>
      <c r="K29" s="6">
        <f t="shared" si="3"/>
        <v>150</v>
      </c>
      <c r="L29" s="6">
        <f t="shared" si="3"/>
        <v>36</v>
      </c>
      <c r="M29" s="6">
        <f t="shared" si="4"/>
        <v>212</v>
      </c>
      <c r="N29" s="5">
        <f t="shared" si="5"/>
        <v>123.75</v>
      </c>
      <c r="O29" s="3">
        <f t="shared" si="6"/>
        <v>36</v>
      </c>
      <c r="P29" s="5">
        <f t="shared" si="7"/>
        <v>87.75</v>
      </c>
      <c r="Q29" s="5">
        <f t="shared" si="8"/>
        <v>31.25</v>
      </c>
      <c r="R29" s="7">
        <f t="shared" si="9"/>
        <v>750</v>
      </c>
      <c r="S29" s="6">
        <f t="shared" si="10"/>
        <v>400</v>
      </c>
      <c r="T29" s="7">
        <f t="shared" si="11"/>
        <v>350</v>
      </c>
      <c r="U29" s="7">
        <f t="shared" si="12"/>
        <v>1608.75</v>
      </c>
      <c r="V29" s="6">
        <f t="shared" si="12"/>
        <v>415</v>
      </c>
      <c r="W29" s="7">
        <f t="shared" si="13"/>
        <v>1193.75</v>
      </c>
      <c r="X29" s="7">
        <f t="shared" si="14"/>
        <v>9750</v>
      </c>
      <c r="Y29" s="7">
        <f t="shared" si="14"/>
        <v>4462.5161290322576</v>
      </c>
      <c r="Z29" s="7">
        <f t="shared" si="15"/>
        <v>5287.4838709677424</v>
      </c>
      <c r="AA29" s="24">
        <f t="shared" si="16"/>
        <v>0.88357289996947352</v>
      </c>
      <c r="AB29" s="1"/>
    </row>
    <row r="30" spans="2:28" ht="18" x14ac:dyDescent="0.25">
      <c r="B30" s="3">
        <v>12</v>
      </c>
      <c r="C30" s="5">
        <f>C31+245</f>
        <v>285980</v>
      </c>
      <c r="D30" s="5">
        <f>D31+121</f>
        <v>599441</v>
      </c>
      <c r="E30" s="5">
        <f>E31+39</f>
        <v>145468</v>
      </c>
      <c r="F30" s="8">
        <f t="shared" si="0"/>
        <v>1030889</v>
      </c>
      <c r="G30" s="22">
        <f t="shared" si="1"/>
        <v>1030610.5625</v>
      </c>
      <c r="H30" s="7">
        <f t="shared" si="2"/>
        <v>1030635.7708333334</v>
      </c>
      <c r="I30" s="5">
        <f>I31+217</f>
        <v>721120</v>
      </c>
      <c r="J30" s="6">
        <f t="shared" ref="J30:L32" si="21">C30-C31</f>
        <v>245</v>
      </c>
      <c r="K30" s="6">
        <f t="shared" si="21"/>
        <v>121</v>
      </c>
      <c r="L30" s="6">
        <f t="shared" si="21"/>
        <v>39</v>
      </c>
      <c r="M30" s="6">
        <f t="shared" si="4"/>
        <v>217</v>
      </c>
      <c r="N30" s="5">
        <f t="shared" si="5"/>
        <v>123.75</v>
      </c>
      <c r="O30" s="3">
        <f t="shared" si="6"/>
        <v>39</v>
      </c>
      <c r="P30" s="5">
        <f t="shared" si="7"/>
        <v>84.75</v>
      </c>
      <c r="Q30" s="5">
        <f t="shared" si="8"/>
        <v>25.208333333372138</v>
      </c>
      <c r="R30" s="7">
        <f t="shared" si="9"/>
        <v>750</v>
      </c>
      <c r="S30" s="6">
        <f t="shared" si="10"/>
        <v>405</v>
      </c>
      <c r="T30" s="7">
        <f t="shared" si="11"/>
        <v>345</v>
      </c>
      <c r="U30" s="7">
        <f t="shared" si="12"/>
        <v>1485</v>
      </c>
      <c r="V30" s="6">
        <f t="shared" si="12"/>
        <v>379</v>
      </c>
      <c r="W30" s="7">
        <f t="shared" si="13"/>
        <v>1106</v>
      </c>
      <c r="X30" s="7">
        <f t="shared" si="14"/>
        <v>9000</v>
      </c>
      <c r="Y30" s="7">
        <f t="shared" si="14"/>
        <v>4062.516129032258</v>
      </c>
      <c r="Z30" s="7">
        <f t="shared" si="15"/>
        <v>4937.4838709677424</v>
      </c>
      <c r="AA30" s="24">
        <f t="shared" si="16"/>
        <v>0.88144761294694451</v>
      </c>
      <c r="AB30" s="1"/>
    </row>
    <row r="31" spans="2:28" ht="18" x14ac:dyDescent="0.25">
      <c r="B31" s="3">
        <v>11</v>
      </c>
      <c r="C31" s="5">
        <f>C32+248</f>
        <v>285735</v>
      </c>
      <c r="D31" s="5">
        <f>D32+105</f>
        <v>599320</v>
      </c>
      <c r="E31" s="5">
        <f>E32+37</f>
        <v>145429</v>
      </c>
      <c r="F31" s="8">
        <f>C31+D31+E31</f>
        <v>1030484</v>
      </c>
      <c r="G31" s="22">
        <f t="shared" si="1"/>
        <v>1030215.875</v>
      </c>
      <c r="H31" s="7">
        <f t="shared" si="2"/>
        <v>1030237.75</v>
      </c>
      <c r="I31" s="5">
        <f>I32+200</f>
        <v>720903</v>
      </c>
      <c r="J31" s="6">
        <f t="shared" si="21"/>
        <v>248</v>
      </c>
      <c r="K31" s="6">
        <f t="shared" si="21"/>
        <v>105</v>
      </c>
      <c r="L31" s="6">
        <f t="shared" si="21"/>
        <v>37</v>
      </c>
      <c r="M31" s="6">
        <f t="shared" si="4"/>
        <v>200</v>
      </c>
      <c r="N31" s="5">
        <f>N32</f>
        <v>123.75</v>
      </c>
      <c r="O31" s="3">
        <f t="shared" si="6"/>
        <v>37</v>
      </c>
      <c r="P31" s="5">
        <f t="shared" si="7"/>
        <v>86.75</v>
      </c>
      <c r="Q31" s="5">
        <f t="shared" si="8"/>
        <v>21.875</v>
      </c>
      <c r="R31" s="7">
        <f t="shared" si="9"/>
        <v>750</v>
      </c>
      <c r="S31" s="6">
        <f t="shared" si="10"/>
        <v>390</v>
      </c>
      <c r="T31" s="7">
        <f t="shared" si="11"/>
        <v>360</v>
      </c>
      <c r="U31" s="7">
        <f t="shared" si="12"/>
        <v>1361.25</v>
      </c>
      <c r="V31" s="6">
        <f t="shared" si="12"/>
        <v>340</v>
      </c>
      <c r="W31" s="7">
        <f t="shared" si="13"/>
        <v>1021.25</v>
      </c>
      <c r="X31" s="7">
        <f t="shared" si="14"/>
        <v>8250</v>
      </c>
      <c r="Y31" s="7">
        <f t="shared" si="14"/>
        <v>3657.516129032258</v>
      </c>
      <c r="Z31" s="7">
        <f t="shared" si="15"/>
        <v>4592.4838709677424</v>
      </c>
      <c r="AA31" s="24">
        <f t="shared" si="16"/>
        <v>0.88981746281273699</v>
      </c>
      <c r="AB31" s="1"/>
    </row>
    <row r="32" spans="2:28" ht="18" x14ac:dyDescent="0.25">
      <c r="B32" s="3">
        <v>10</v>
      </c>
      <c r="C32" s="5">
        <f>C33+215</f>
        <v>285487</v>
      </c>
      <c r="D32" s="5">
        <f>D33+119</f>
        <v>599215</v>
      </c>
      <c r="E32" s="5">
        <f>E33+28</f>
        <v>145392</v>
      </c>
      <c r="F32" s="8">
        <f>C32+D32+E32</f>
        <v>1030094</v>
      </c>
      <c r="G32" s="22">
        <f t="shared" si="1"/>
        <v>1029845.125</v>
      </c>
      <c r="H32" s="7">
        <f t="shared" si="2"/>
        <v>1029869.9166666666</v>
      </c>
      <c r="I32" s="5">
        <f>I33+203</f>
        <v>720703</v>
      </c>
      <c r="J32" s="6">
        <f t="shared" si="21"/>
        <v>215</v>
      </c>
      <c r="K32" s="6">
        <f t="shared" si="21"/>
        <v>119</v>
      </c>
      <c r="L32" s="6">
        <f t="shared" si="21"/>
        <v>28</v>
      </c>
      <c r="M32" s="6">
        <f t="shared" si="4"/>
        <v>203</v>
      </c>
      <c r="N32" s="5">
        <f t="shared" si="5"/>
        <v>123.75</v>
      </c>
      <c r="O32" s="3">
        <f t="shared" si="6"/>
        <v>28</v>
      </c>
      <c r="P32" s="5">
        <f t="shared" si="7"/>
        <v>95.75</v>
      </c>
      <c r="Q32" s="5">
        <f t="shared" si="8"/>
        <v>24.791666666627862</v>
      </c>
      <c r="R32" s="7">
        <f t="shared" si="9"/>
        <v>750</v>
      </c>
      <c r="S32" s="6">
        <f t="shared" si="10"/>
        <v>362</v>
      </c>
      <c r="T32" s="7">
        <f t="shared" si="11"/>
        <v>388</v>
      </c>
      <c r="U32" s="7">
        <f t="shared" si="12"/>
        <v>1237.5</v>
      </c>
      <c r="V32" s="6">
        <f t="shared" si="12"/>
        <v>303</v>
      </c>
      <c r="W32" s="7">
        <f t="shared" si="13"/>
        <v>934.5</v>
      </c>
      <c r="X32" s="7">
        <f t="shared" si="14"/>
        <v>7500</v>
      </c>
      <c r="Y32" s="7">
        <f t="shared" si="14"/>
        <v>3267.516129032258</v>
      </c>
      <c r="Z32" s="7">
        <f t="shared" si="15"/>
        <v>4232.4838709677424</v>
      </c>
      <c r="AA32" s="24">
        <f t="shared" si="16"/>
        <v>0.87221825774808248</v>
      </c>
      <c r="AB32" s="1"/>
    </row>
    <row r="33" spans="2:28" ht="18" x14ac:dyDescent="0.25">
      <c r="B33" s="3">
        <v>9</v>
      </c>
      <c r="C33" s="5">
        <f>C34+183</f>
        <v>285272</v>
      </c>
      <c r="D33" s="5">
        <f>D34+117</f>
        <v>599096</v>
      </c>
      <c r="E33" s="5">
        <f>E34+36</f>
        <v>145364</v>
      </c>
      <c r="F33" s="8">
        <f t="shared" si="0"/>
        <v>1029732</v>
      </c>
      <c r="G33" s="22">
        <f t="shared" si="1"/>
        <v>1029501</v>
      </c>
      <c r="H33" s="7">
        <f t="shared" si="2"/>
        <v>1029525.375</v>
      </c>
      <c r="I33" s="5">
        <f>I34+216</f>
        <v>720500</v>
      </c>
      <c r="J33" s="6">
        <f t="shared" si="3"/>
        <v>183</v>
      </c>
      <c r="K33" s="6">
        <f t="shared" si="3"/>
        <v>117</v>
      </c>
      <c r="L33" s="6">
        <f t="shared" si="3"/>
        <v>36</v>
      </c>
      <c r="M33" s="6">
        <f t="shared" si="4"/>
        <v>216</v>
      </c>
      <c r="N33" s="5">
        <f t="shared" si="5"/>
        <v>123.75</v>
      </c>
      <c r="O33" s="3">
        <f t="shared" si="6"/>
        <v>36</v>
      </c>
      <c r="P33" s="5">
        <f t="shared" si="7"/>
        <v>87.75</v>
      </c>
      <c r="Q33" s="5">
        <f t="shared" si="8"/>
        <v>24.375</v>
      </c>
      <c r="R33" s="7">
        <f t="shared" si="9"/>
        <v>750</v>
      </c>
      <c r="S33" s="6">
        <f t="shared" si="10"/>
        <v>336</v>
      </c>
      <c r="T33" s="7">
        <f t="shared" si="11"/>
        <v>414</v>
      </c>
      <c r="U33" s="7">
        <f t="shared" si="12"/>
        <v>1113.75</v>
      </c>
      <c r="V33" s="6">
        <f t="shared" si="12"/>
        <v>275</v>
      </c>
      <c r="W33" s="7">
        <f t="shared" si="13"/>
        <v>838.75</v>
      </c>
      <c r="X33" s="7">
        <f t="shared" si="14"/>
        <v>6750</v>
      </c>
      <c r="Y33" s="7">
        <f t="shared" si="14"/>
        <v>2905.516129032258</v>
      </c>
      <c r="Z33" s="7">
        <f t="shared" si="15"/>
        <v>3844.483870967742</v>
      </c>
      <c r="AA33" s="24">
        <f t="shared" si="16"/>
        <v>0.84117847537655355</v>
      </c>
      <c r="AB33" s="1"/>
    </row>
    <row r="34" spans="2:28" ht="18" x14ac:dyDescent="0.25">
      <c r="B34" s="3">
        <v>8</v>
      </c>
      <c r="C34" s="5">
        <f>C35+196</f>
        <v>285089</v>
      </c>
      <c r="D34" s="5">
        <f>D35+112</f>
        <v>598979</v>
      </c>
      <c r="E34" s="5">
        <f>E35+43</f>
        <v>145328</v>
      </c>
      <c r="F34" s="8">
        <f t="shared" si="0"/>
        <v>1029396</v>
      </c>
      <c r="G34" s="22">
        <f t="shared" si="1"/>
        <v>1029154.6875</v>
      </c>
      <c r="H34" s="7">
        <f t="shared" si="2"/>
        <v>1029178.0208333334</v>
      </c>
      <c r="I34" s="5">
        <f t="shared" ref="I34" si="22">I35+212</f>
        <v>720284</v>
      </c>
      <c r="J34" s="6">
        <f t="shared" si="3"/>
        <v>196</v>
      </c>
      <c r="K34" s="6">
        <f t="shared" si="3"/>
        <v>112</v>
      </c>
      <c r="L34" s="6">
        <f t="shared" si="3"/>
        <v>43</v>
      </c>
      <c r="M34" s="6">
        <f t="shared" si="4"/>
        <v>212</v>
      </c>
      <c r="N34" s="5">
        <f t="shared" si="5"/>
        <v>123.75</v>
      </c>
      <c r="O34" s="3">
        <f t="shared" si="6"/>
        <v>43</v>
      </c>
      <c r="P34" s="5">
        <f t="shared" si="7"/>
        <v>80.75</v>
      </c>
      <c r="Q34" s="5">
        <f t="shared" si="8"/>
        <v>23.333333333372138</v>
      </c>
      <c r="R34" s="7">
        <f t="shared" si="9"/>
        <v>750</v>
      </c>
      <c r="S34" s="6">
        <f t="shared" si="10"/>
        <v>351</v>
      </c>
      <c r="T34" s="7">
        <f t="shared" si="11"/>
        <v>399</v>
      </c>
      <c r="U34" s="7">
        <f t="shared" si="12"/>
        <v>990</v>
      </c>
      <c r="V34" s="6">
        <f t="shared" si="12"/>
        <v>239</v>
      </c>
      <c r="W34" s="7">
        <f t="shared" si="13"/>
        <v>751</v>
      </c>
      <c r="X34" s="7">
        <f t="shared" si="14"/>
        <v>6000</v>
      </c>
      <c r="Y34" s="7">
        <f t="shared" si="14"/>
        <v>2569.516129032258</v>
      </c>
      <c r="Z34" s="7">
        <f t="shared" si="15"/>
        <v>3430.483870967742</v>
      </c>
      <c r="AA34" s="24">
        <f t="shared" si="16"/>
        <v>0.85598299626026741</v>
      </c>
      <c r="AB34" s="1"/>
    </row>
    <row r="35" spans="2:28" ht="18" x14ac:dyDescent="0.25">
      <c r="B35" s="3">
        <v>7</v>
      </c>
      <c r="C35" s="5">
        <f>C36+201</f>
        <v>284893</v>
      </c>
      <c r="D35" s="5">
        <f>D36+114</f>
        <v>598867</v>
      </c>
      <c r="E35" s="5">
        <f>E36+21</f>
        <v>145285</v>
      </c>
      <c r="F35" s="9">
        <f>C35+D35+E35</f>
        <v>1029045</v>
      </c>
      <c r="G35" s="22">
        <f t="shared" si="1"/>
        <v>1028814</v>
      </c>
      <c r="H35" s="7">
        <f t="shared" si="2"/>
        <v>1028837.75</v>
      </c>
      <c r="I35" s="5">
        <f>I36+215</f>
        <v>720072</v>
      </c>
      <c r="J35" s="6">
        <f t="shared" si="3"/>
        <v>201</v>
      </c>
      <c r="K35" s="6">
        <f t="shared" si="3"/>
        <v>114</v>
      </c>
      <c r="L35" s="6">
        <f t="shared" si="3"/>
        <v>21</v>
      </c>
      <c r="M35" s="6">
        <f t="shared" si="4"/>
        <v>215</v>
      </c>
      <c r="N35" s="5">
        <f t="shared" si="5"/>
        <v>123.75</v>
      </c>
      <c r="O35" s="3">
        <f t="shared" si="6"/>
        <v>21</v>
      </c>
      <c r="P35" s="5">
        <f t="shared" si="7"/>
        <v>102.75</v>
      </c>
      <c r="Q35" s="5">
        <f t="shared" si="8"/>
        <v>23.75</v>
      </c>
      <c r="R35" s="7">
        <f t="shared" si="9"/>
        <v>750</v>
      </c>
      <c r="S35" s="6">
        <f t="shared" si="10"/>
        <v>336</v>
      </c>
      <c r="T35" s="7">
        <f t="shared" si="11"/>
        <v>414</v>
      </c>
      <c r="U35" s="7">
        <f t="shared" si="12"/>
        <v>866.25</v>
      </c>
      <c r="V35" s="6">
        <f t="shared" si="12"/>
        <v>196</v>
      </c>
      <c r="W35" s="7">
        <f t="shared" si="13"/>
        <v>670.25</v>
      </c>
      <c r="X35" s="7">
        <f t="shared" si="14"/>
        <v>5250</v>
      </c>
      <c r="Y35" s="7">
        <f t="shared" si="14"/>
        <v>2218.516129032258</v>
      </c>
      <c r="Z35" s="7">
        <f t="shared" si="15"/>
        <v>3031.483870967742</v>
      </c>
      <c r="AA35" s="24">
        <f t="shared" si="16"/>
        <v>0.84231692584103901</v>
      </c>
      <c r="AB35" s="1"/>
    </row>
    <row r="36" spans="2:28" ht="18" x14ac:dyDescent="0.25">
      <c r="B36" s="3">
        <v>6</v>
      </c>
      <c r="C36" s="5">
        <f>C37+204</f>
        <v>284692</v>
      </c>
      <c r="D36" s="5">
        <f>D37+109</f>
        <v>598753</v>
      </c>
      <c r="E36" s="5">
        <f>E37+25</f>
        <v>145264</v>
      </c>
      <c r="F36" s="8">
        <f t="shared" si="0"/>
        <v>1028709</v>
      </c>
      <c r="G36" s="22">
        <f t="shared" si="1"/>
        <v>1028476.625</v>
      </c>
      <c r="H36" s="7">
        <f t="shared" si="2"/>
        <v>1028499.3333333334</v>
      </c>
      <c r="I36" s="5">
        <f>I37+203</f>
        <v>719857</v>
      </c>
      <c r="J36" s="6">
        <f t="shared" si="3"/>
        <v>204</v>
      </c>
      <c r="K36" s="6">
        <f t="shared" si="3"/>
        <v>109</v>
      </c>
      <c r="L36" s="6">
        <f t="shared" si="3"/>
        <v>25</v>
      </c>
      <c r="M36" s="6">
        <f t="shared" si="4"/>
        <v>203</v>
      </c>
      <c r="N36" s="5">
        <f t="shared" si="5"/>
        <v>123.75</v>
      </c>
      <c r="O36" s="3">
        <f t="shared" si="6"/>
        <v>25</v>
      </c>
      <c r="P36" s="5">
        <f t="shared" si="7"/>
        <v>98.75</v>
      </c>
      <c r="Q36" s="5">
        <f t="shared" si="8"/>
        <v>22.708333333372138</v>
      </c>
      <c r="R36" s="7">
        <f t="shared" si="9"/>
        <v>750</v>
      </c>
      <c r="S36" s="6">
        <f t="shared" si="10"/>
        <v>338</v>
      </c>
      <c r="T36" s="7">
        <f t="shared" si="11"/>
        <v>412</v>
      </c>
      <c r="U36" s="7">
        <f t="shared" si="12"/>
        <v>742.5</v>
      </c>
      <c r="V36" s="6">
        <f t="shared" si="12"/>
        <v>175</v>
      </c>
      <c r="W36" s="7">
        <f t="shared" si="13"/>
        <v>567.5</v>
      </c>
      <c r="X36" s="7">
        <f t="shared" si="14"/>
        <v>4500</v>
      </c>
      <c r="Y36" s="7">
        <f t="shared" si="14"/>
        <v>1882.516129032258</v>
      </c>
      <c r="Z36" s="7">
        <f t="shared" si="15"/>
        <v>2617.483870967742</v>
      </c>
      <c r="AA36" s="24">
        <f t="shared" si="16"/>
        <v>0.8572690535075338</v>
      </c>
      <c r="AB36" s="1"/>
    </row>
    <row r="37" spans="2:28" ht="18" x14ac:dyDescent="0.25">
      <c r="B37" s="3">
        <v>5</v>
      </c>
      <c r="C37" s="5">
        <f>C38+159</f>
        <v>284488</v>
      </c>
      <c r="D37" s="5">
        <f>D38+83</f>
        <v>598644</v>
      </c>
      <c r="E37" s="5">
        <f>E38+27</f>
        <v>145239</v>
      </c>
      <c r="F37" s="8">
        <f t="shared" si="0"/>
        <v>1028371</v>
      </c>
      <c r="G37" s="22">
        <f t="shared" si="1"/>
        <v>1028186.0625</v>
      </c>
      <c r="H37" s="7">
        <f t="shared" si="2"/>
        <v>1028203.3541666666</v>
      </c>
      <c r="I37" s="5">
        <f>I38+214</f>
        <v>719654</v>
      </c>
      <c r="J37" s="6">
        <f t="shared" si="3"/>
        <v>159</v>
      </c>
      <c r="K37" s="6">
        <f t="shared" si="3"/>
        <v>83</v>
      </c>
      <c r="L37" s="6">
        <f t="shared" si="3"/>
        <v>27</v>
      </c>
      <c r="M37" s="6">
        <f t="shared" si="4"/>
        <v>214</v>
      </c>
      <c r="N37" s="5">
        <f t="shared" si="5"/>
        <v>123.75</v>
      </c>
      <c r="O37" s="3">
        <f t="shared" si="6"/>
        <v>27</v>
      </c>
      <c r="P37" s="5">
        <f t="shared" si="7"/>
        <v>96.75</v>
      </c>
      <c r="Q37" s="5">
        <f t="shared" si="8"/>
        <v>17.291666666627862</v>
      </c>
      <c r="R37" s="7">
        <f t="shared" si="9"/>
        <v>750</v>
      </c>
      <c r="S37" s="6">
        <f t="shared" si="10"/>
        <v>269</v>
      </c>
      <c r="T37" s="7">
        <f t="shared" si="11"/>
        <v>481</v>
      </c>
      <c r="U37" s="7">
        <f t="shared" si="12"/>
        <v>618.75</v>
      </c>
      <c r="V37" s="6">
        <f t="shared" si="12"/>
        <v>150</v>
      </c>
      <c r="W37" s="7">
        <f t="shared" si="13"/>
        <v>468.75</v>
      </c>
      <c r="X37" s="7">
        <f t="shared" si="14"/>
        <v>3750</v>
      </c>
      <c r="Y37" s="7">
        <f t="shared" si="14"/>
        <v>1544.516129032258</v>
      </c>
      <c r="Z37" s="7">
        <f t="shared" si="15"/>
        <v>2205.483870967742</v>
      </c>
      <c r="AA37" s="24">
        <f t="shared" si="16"/>
        <v>0.78256884141499716</v>
      </c>
      <c r="AB37" s="1"/>
    </row>
    <row r="38" spans="2:28" ht="18" x14ac:dyDescent="0.25">
      <c r="B38" s="3">
        <v>4</v>
      </c>
      <c r="C38" s="5">
        <f>C39+163</f>
        <v>284329</v>
      </c>
      <c r="D38" s="5">
        <f>D39+123</f>
        <v>598561</v>
      </c>
      <c r="E38" s="5">
        <f t="shared" ref="E38" si="23">E39+31</f>
        <v>145212</v>
      </c>
      <c r="F38" s="8">
        <f t="shared" si="0"/>
        <v>1028102</v>
      </c>
      <c r="G38" s="22">
        <f t="shared" si="1"/>
        <v>1027884.0625</v>
      </c>
      <c r="H38" s="7">
        <f t="shared" si="2"/>
        <v>1027909.6875</v>
      </c>
      <c r="I38" s="5">
        <f>I39+224</f>
        <v>719440</v>
      </c>
      <c r="J38" s="6">
        <f t="shared" si="3"/>
        <v>163</v>
      </c>
      <c r="K38" s="6">
        <f t="shared" si="3"/>
        <v>123</v>
      </c>
      <c r="L38" s="6">
        <f t="shared" si="3"/>
        <v>31</v>
      </c>
      <c r="M38" s="6">
        <f t="shared" si="4"/>
        <v>224</v>
      </c>
      <c r="N38" s="5">
        <f t="shared" si="5"/>
        <v>123.75</v>
      </c>
      <c r="O38" s="3">
        <f t="shared" si="6"/>
        <v>31</v>
      </c>
      <c r="P38" s="5">
        <f t="shared" si="7"/>
        <v>92.75</v>
      </c>
      <c r="Q38" s="5">
        <f t="shared" si="8"/>
        <v>25.625</v>
      </c>
      <c r="R38" s="7">
        <f t="shared" si="9"/>
        <v>750</v>
      </c>
      <c r="S38" s="6">
        <f t="shared" si="10"/>
        <v>317</v>
      </c>
      <c r="T38" s="7">
        <f t="shared" si="11"/>
        <v>433</v>
      </c>
      <c r="U38" s="7">
        <f t="shared" si="12"/>
        <v>495</v>
      </c>
      <c r="V38" s="6">
        <f t="shared" si="12"/>
        <v>123</v>
      </c>
      <c r="W38" s="7">
        <f t="shared" si="13"/>
        <v>372</v>
      </c>
      <c r="X38" s="7">
        <f t="shared" si="14"/>
        <v>3000</v>
      </c>
      <c r="Y38" s="7">
        <f t="shared" si="14"/>
        <v>1275.516129032258</v>
      </c>
      <c r="Z38" s="7">
        <f t="shared" si="15"/>
        <v>1724.483870967742</v>
      </c>
      <c r="AA38" s="24">
        <f t="shared" si="16"/>
        <v>0.81668217034822255</v>
      </c>
      <c r="AB38" s="1"/>
    </row>
    <row r="39" spans="2:28" ht="18" x14ac:dyDescent="0.25">
      <c r="B39" s="3">
        <v>3</v>
      </c>
      <c r="C39" s="5">
        <f>C40+259</f>
        <v>284166</v>
      </c>
      <c r="D39" s="5">
        <f>D40+111</f>
        <v>598438</v>
      </c>
      <c r="E39" s="5">
        <f>E40+29</f>
        <v>145181</v>
      </c>
      <c r="F39" s="8">
        <f t="shared" si="0"/>
        <v>1027785</v>
      </c>
      <c r="G39" s="22">
        <f t="shared" si="1"/>
        <v>1027510.6875</v>
      </c>
      <c r="H39" s="7">
        <f t="shared" si="2"/>
        <v>1027533.8125</v>
      </c>
      <c r="I39" s="5">
        <f>I40+222</f>
        <v>719216</v>
      </c>
      <c r="J39" s="6">
        <f t="shared" si="3"/>
        <v>259</v>
      </c>
      <c r="K39" s="6">
        <f t="shared" si="3"/>
        <v>111</v>
      </c>
      <c r="L39" s="6">
        <f t="shared" si="3"/>
        <v>29</v>
      </c>
      <c r="M39" s="6">
        <f t="shared" si="4"/>
        <v>222</v>
      </c>
      <c r="N39" s="5">
        <f t="shared" si="5"/>
        <v>123.75</v>
      </c>
      <c r="O39" s="3">
        <f t="shared" si="6"/>
        <v>29</v>
      </c>
      <c r="P39" s="5">
        <f t="shared" si="7"/>
        <v>94.75</v>
      </c>
      <c r="Q39" s="5">
        <f t="shared" si="8"/>
        <v>23.125</v>
      </c>
      <c r="R39" s="7">
        <f t="shared" si="9"/>
        <v>750</v>
      </c>
      <c r="S39" s="6">
        <f t="shared" si="10"/>
        <v>399</v>
      </c>
      <c r="T39" s="7">
        <f t="shared" si="11"/>
        <v>351</v>
      </c>
      <c r="U39" s="7">
        <f t="shared" si="12"/>
        <v>371.25</v>
      </c>
      <c r="V39" s="6">
        <f t="shared" si="12"/>
        <v>92</v>
      </c>
      <c r="W39" s="7">
        <f t="shared" si="13"/>
        <v>279.25</v>
      </c>
      <c r="X39" s="7">
        <f t="shared" si="14"/>
        <v>2250</v>
      </c>
      <c r="Y39" s="7">
        <f t="shared" si="14"/>
        <v>958.51612903225805</v>
      </c>
      <c r="Z39" s="7">
        <f t="shared" si="15"/>
        <v>1291.483870967742</v>
      </c>
      <c r="AA39" s="24">
        <f t="shared" si="16"/>
        <v>0.87384717927455446</v>
      </c>
      <c r="AB39" s="1"/>
    </row>
    <row r="40" spans="2:28" ht="18" x14ac:dyDescent="0.25">
      <c r="B40" s="3">
        <v>2</v>
      </c>
      <c r="C40" s="5">
        <f>C41+121</f>
        <v>283907</v>
      </c>
      <c r="D40" s="5">
        <f t="shared" ref="D40" si="24">D41+115</f>
        <v>598327</v>
      </c>
      <c r="E40" s="5">
        <f>E41+33</f>
        <v>145152</v>
      </c>
      <c r="F40" s="8">
        <f t="shared" si="0"/>
        <v>1027386</v>
      </c>
      <c r="G40" s="22">
        <f t="shared" si="1"/>
        <v>1027201.0625</v>
      </c>
      <c r="H40" s="7">
        <f t="shared" si="2"/>
        <v>1027225.0208333334</v>
      </c>
      <c r="I40" s="5">
        <f>I41+218</f>
        <v>718994</v>
      </c>
      <c r="J40" s="6">
        <f t="shared" si="3"/>
        <v>121</v>
      </c>
      <c r="K40" s="6">
        <f t="shared" si="3"/>
        <v>115</v>
      </c>
      <c r="L40" s="6">
        <f t="shared" si="3"/>
        <v>33</v>
      </c>
      <c r="M40" s="6">
        <f t="shared" si="4"/>
        <v>218</v>
      </c>
      <c r="N40" s="5">
        <f t="shared" si="5"/>
        <v>123.75</v>
      </c>
      <c r="O40" s="3">
        <f t="shared" si="6"/>
        <v>33</v>
      </c>
      <c r="P40" s="5">
        <f t="shared" si="7"/>
        <v>90.75</v>
      </c>
      <c r="Q40" s="5">
        <f t="shared" si="8"/>
        <v>23.958333333372138</v>
      </c>
      <c r="R40" s="7">
        <f>R41</f>
        <v>750</v>
      </c>
      <c r="S40" s="6">
        <f>J40+K40+L40</f>
        <v>269</v>
      </c>
      <c r="T40" s="7">
        <f t="shared" si="11"/>
        <v>481</v>
      </c>
      <c r="U40" s="7">
        <f t="shared" si="12"/>
        <v>247.5</v>
      </c>
      <c r="V40" s="6">
        <f t="shared" si="12"/>
        <v>63</v>
      </c>
      <c r="W40" s="7">
        <f t="shared" si="13"/>
        <v>184.5</v>
      </c>
      <c r="X40" s="7">
        <f t="shared" si="14"/>
        <v>1500</v>
      </c>
      <c r="Y40" s="7">
        <f t="shared" si="14"/>
        <v>559.51612903225805</v>
      </c>
      <c r="Z40" s="7">
        <f t="shared" si="15"/>
        <v>940.48387096774195</v>
      </c>
      <c r="AA40" s="24">
        <f t="shared" si="16"/>
        <v>0.7769084699340143</v>
      </c>
      <c r="AB40" s="1"/>
    </row>
    <row r="41" spans="2:28" ht="18.75" thickBot="1" x14ac:dyDescent="0.3">
      <c r="B41" s="3">
        <v>1</v>
      </c>
      <c r="C41" s="5">
        <f>C42+125</f>
        <v>283786</v>
      </c>
      <c r="D41" s="5">
        <f>D42+120</f>
        <v>598212</v>
      </c>
      <c r="E41" s="5">
        <f>E42+30</f>
        <v>145119</v>
      </c>
      <c r="F41" s="8">
        <f t="shared" si="0"/>
        <v>1027117</v>
      </c>
      <c r="G41" s="22">
        <f t="shared" si="1"/>
        <v>1026932.7862903225</v>
      </c>
      <c r="H41" s="7">
        <f t="shared" si="2"/>
        <v>1026957.7862903225</v>
      </c>
      <c r="I41" s="5">
        <f>I42+210</f>
        <v>718776</v>
      </c>
      <c r="J41" s="6">
        <f t="shared" si="3"/>
        <v>125</v>
      </c>
      <c r="K41" s="6">
        <f t="shared" si="3"/>
        <v>120</v>
      </c>
      <c r="L41" s="6">
        <f t="shared" si="3"/>
        <v>30</v>
      </c>
      <c r="M41" s="6">
        <f t="shared" si="4"/>
        <v>210</v>
      </c>
      <c r="N41" s="43">
        <f>O6/28</f>
        <v>123.75</v>
      </c>
      <c r="O41" s="3">
        <f t="shared" si="6"/>
        <v>30</v>
      </c>
      <c r="P41" s="5">
        <f t="shared" si="7"/>
        <v>93.75</v>
      </c>
      <c r="Q41" s="5">
        <f t="shared" si="8"/>
        <v>25</v>
      </c>
      <c r="R41" s="45">
        <f>S6/28</f>
        <v>750</v>
      </c>
      <c r="S41" s="7">
        <f>J41+K41+L41+V6</f>
        <v>290.51612903225805</v>
      </c>
      <c r="T41" s="7">
        <f t="shared" si="11"/>
        <v>459.48387096774195</v>
      </c>
      <c r="U41" s="7">
        <f>N41</f>
        <v>123.75</v>
      </c>
      <c r="V41" s="6">
        <f>O41</f>
        <v>30</v>
      </c>
      <c r="W41" s="7">
        <f t="shared" si="13"/>
        <v>93.75</v>
      </c>
      <c r="X41" s="7">
        <f>R41</f>
        <v>750</v>
      </c>
      <c r="Y41" s="7">
        <f>S41</f>
        <v>290.51612903225805</v>
      </c>
      <c r="Z41" s="7">
        <f t="shared" si="15"/>
        <v>459.48387096774195</v>
      </c>
      <c r="AA41" s="56">
        <f t="shared" si="16"/>
        <v>0.81043712088903164</v>
      </c>
      <c r="AB41" s="1"/>
    </row>
    <row r="42" spans="2:28" ht="54.75" thickBot="1" x14ac:dyDescent="0.3">
      <c r="B42" s="33" t="s">
        <v>13</v>
      </c>
      <c r="C42" s="3">
        <v>283661</v>
      </c>
      <c r="D42" s="3">
        <v>598092</v>
      </c>
      <c r="E42" s="3">
        <v>145089</v>
      </c>
      <c r="F42" s="8">
        <v>1026842</v>
      </c>
      <c r="G42" s="53">
        <v>1026620.875</v>
      </c>
      <c r="H42" s="9">
        <v>1026635.25</v>
      </c>
      <c r="I42" s="3">
        <v>718566</v>
      </c>
      <c r="J42" s="10"/>
      <c r="K42" s="10"/>
      <c r="L42" s="10"/>
      <c r="M42" s="44">
        <f>SUM(M14:M41)</f>
        <v>5486</v>
      </c>
      <c r="N42" s="10" t="s">
        <v>39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57">
        <f>AVERAGE(AA14:AA41)</f>
        <v>0.83664341463260938</v>
      </c>
    </row>
    <row r="43" spans="2:28" ht="18" x14ac:dyDescent="0.25">
      <c r="B43" s="34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2:28" ht="18" x14ac:dyDescent="0.25"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2:28" ht="18" x14ac:dyDescent="0.25"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spans="2:28" ht="18" x14ac:dyDescent="0.25">
      <c r="Z46" s="10"/>
    </row>
    <row r="47" spans="2:28" ht="18" x14ac:dyDescent="0.25">
      <c r="Z47" s="10" t="s">
        <v>38</v>
      </c>
    </row>
    <row r="48" spans="2:28" ht="18" x14ac:dyDescent="0.25">
      <c r="Z48" s="10" t="s">
        <v>44</v>
      </c>
      <c r="AA48" s="10"/>
    </row>
    <row r="49" spans="26:27" ht="18" x14ac:dyDescent="0.25">
      <c r="Z49" s="10" t="s">
        <v>45</v>
      </c>
      <c r="AA49" s="10"/>
    </row>
    <row r="50" spans="26:27" ht="18" x14ac:dyDescent="0.25">
      <c r="Z50" s="10" t="s">
        <v>12</v>
      </c>
      <c r="AA50" s="10"/>
    </row>
  </sheetData>
  <mergeCells count="10">
    <mergeCell ref="C5:E5"/>
    <mergeCell ref="U7:W7"/>
    <mergeCell ref="X7:AA7"/>
    <mergeCell ref="AB7:AB8"/>
    <mergeCell ref="B7:B8"/>
    <mergeCell ref="C7:I7"/>
    <mergeCell ref="J7:M7"/>
    <mergeCell ref="N7:P7"/>
    <mergeCell ref="Q7:Q8"/>
    <mergeCell ref="R7:T7"/>
  </mergeCells>
  <printOptions horizontalCentered="1"/>
  <pageMargins left="0.25" right="0.25" top="0.75" bottom="0.75" header="0.3" footer="0.3"/>
  <pageSetup paperSize="9" scale="4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pageSetUpPr fitToPage="1"/>
  </sheetPr>
  <dimension ref="B1:AB52"/>
  <sheetViews>
    <sheetView zoomScale="55" zoomScaleNormal="55" zoomScaleSheetLayoutView="85" workbookViewId="0">
      <pane ySplit="8" topLeftCell="A9" activePane="bottomLeft" state="frozen"/>
      <selection pane="bottomLeft" activeCell="F10" sqref="F10"/>
    </sheetView>
  </sheetViews>
  <sheetFormatPr baseColWidth="10" defaultColWidth="11.42578125" defaultRowHeight="15" x14ac:dyDescent="0.25"/>
  <cols>
    <col min="1" max="2" width="11.42578125" customWidth="1"/>
    <col min="3" max="3" width="12.28515625" bestFit="1" customWidth="1"/>
    <col min="4" max="4" width="14.42578125" customWidth="1"/>
    <col min="5" max="5" width="11.42578125" customWidth="1"/>
    <col min="7" max="7" width="12.28515625" bestFit="1" customWidth="1"/>
    <col min="16" max="16" width="13.42578125" customWidth="1"/>
    <col min="17" max="17" width="13.140625" customWidth="1"/>
    <col min="20" max="20" width="14.7109375" bestFit="1" customWidth="1"/>
    <col min="21" max="21" width="11.7109375" bestFit="1" customWidth="1"/>
    <col min="22" max="22" width="13.28515625" bestFit="1" customWidth="1"/>
    <col min="23" max="23" width="12.5703125" bestFit="1" customWidth="1"/>
    <col min="24" max="24" width="11.5703125" bestFit="1" customWidth="1"/>
    <col min="25" max="25" width="14" bestFit="1" customWidth="1"/>
    <col min="26" max="26" width="13.42578125" bestFit="1" customWidth="1"/>
    <col min="27" max="27" width="15.140625" customWidth="1"/>
    <col min="28" max="28" width="16.140625" customWidth="1"/>
  </cols>
  <sheetData>
    <row r="1" spans="2:28" x14ac:dyDescent="0.25">
      <c r="D1" s="35"/>
    </row>
    <row r="2" spans="2:28" ht="15.75" customHeight="1" x14ac:dyDescent="0.25">
      <c r="G2" s="26" t="s">
        <v>29</v>
      </c>
    </row>
    <row r="3" spans="2:28" ht="15.75" customHeight="1" x14ac:dyDescent="0.25">
      <c r="G3" s="26" t="s">
        <v>28</v>
      </c>
    </row>
    <row r="4" spans="2:28" ht="15.75" customHeight="1" x14ac:dyDescent="0.35">
      <c r="G4" s="27" t="s">
        <v>30</v>
      </c>
      <c r="N4" s="36">
        <f>'Cocina C'!N4</f>
        <v>45689</v>
      </c>
    </row>
    <row r="5" spans="2:28" ht="18.75" x14ac:dyDescent="0.3">
      <c r="B5" s="15"/>
      <c r="C5" s="87" t="s">
        <v>32</v>
      </c>
      <c r="D5" s="87"/>
      <c r="E5" s="87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 t="s">
        <v>42</v>
      </c>
      <c r="V5" s="15" t="s">
        <v>43</v>
      </c>
      <c r="W5" s="15"/>
    </row>
    <row r="6" spans="2:28" ht="18.75" x14ac:dyDescent="0.3"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3" t="s">
        <v>27</v>
      </c>
      <c r="O6" s="37">
        <f>S6*16.5%</f>
        <v>4290</v>
      </c>
      <c r="P6" s="38" t="s">
        <v>26</v>
      </c>
      <c r="Q6" s="37">
        <f>(S6*8)/100</f>
        <v>2080</v>
      </c>
      <c r="R6" s="15" t="s">
        <v>25</v>
      </c>
      <c r="S6" s="12">
        <v>26000</v>
      </c>
      <c r="T6" s="15" t="s">
        <v>41</v>
      </c>
      <c r="U6" s="49">
        <v>1079</v>
      </c>
      <c r="V6" s="50">
        <f>U6/31</f>
        <v>34.806451612903224</v>
      </c>
      <c r="W6" s="15"/>
    </row>
    <row r="7" spans="2:28" ht="46.5" customHeight="1" x14ac:dyDescent="0.25">
      <c r="B7" s="84" t="s">
        <v>24</v>
      </c>
      <c r="C7" s="82" t="s">
        <v>9</v>
      </c>
      <c r="D7" s="82"/>
      <c r="E7" s="82"/>
      <c r="F7" s="82"/>
      <c r="G7" s="82"/>
      <c r="H7" s="82"/>
      <c r="I7" s="82"/>
      <c r="J7" s="82" t="s">
        <v>23</v>
      </c>
      <c r="K7" s="82"/>
      <c r="L7" s="82"/>
      <c r="M7" s="82"/>
      <c r="N7" s="82" t="s">
        <v>22</v>
      </c>
      <c r="O7" s="82"/>
      <c r="P7" s="82"/>
      <c r="Q7" s="83" t="s">
        <v>21</v>
      </c>
      <c r="R7" s="82" t="s">
        <v>20</v>
      </c>
      <c r="S7" s="82"/>
      <c r="T7" s="82"/>
      <c r="U7" s="82" t="s">
        <v>10</v>
      </c>
      <c r="V7" s="82"/>
      <c r="W7" s="82"/>
      <c r="X7" s="82" t="s">
        <v>11</v>
      </c>
      <c r="Y7" s="82"/>
      <c r="Z7" s="82"/>
      <c r="AA7" s="82"/>
      <c r="AB7" s="83" t="s">
        <v>8</v>
      </c>
    </row>
    <row r="8" spans="2:28" s="70" customFormat="1" ht="30" x14ac:dyDescent="0.25">
      <c r="B8" s="84"/>
      <c r="C8" s="69" t="s">
        <v>1</v>
      </c>
      <c r="D8" s="69" t="s">
        <v>0</v>
      </c>
      <c r="E8" s="69" t="s">
        <v>2</v>
      </c>
      <c r="F8" s="69" t="s">
        <v>19</v>
      </c>
      <c r="G8" s="69" t="s">
        <v>18</v>
      </c>
      <c r="H8" s="69" t="s">
        <v>17</v>
      </c>
      <c r="I8" s="69" t="s">
        <v>3</v>
      </c>
      <c r="J8" s="69" t="s">
        <v>1</v>
      </c>
      <c r="K8" s="69" t="s">
        <v>0</v>
      </c>
      <c r="L8" s="69" t="s">
        <v>2</v>
      </c>
      <c r="M8" s="69" t="s">
        <v>3</v>
      </c>
      <c r="N8" s="69" t="s">
        <v>4</v>
      </c>
      <c r="O8" s="69" t="s">
        <v>5</v>
      </c>
      <c r="P8" s="69" t="s">
        <v>16</v>
      </c>
      <c r="Q8" s="83"/>
      <c r="R8" s="69" t="s">
        <v>6</v>
      </c>
      <c r="S8" s="69" t="s">
        <v>15</v>
      </c>
      <c r="T8" s="69" t="s">
        <v>16</v>
      </c>
      <c r="U8" s="69" t="s">
        <v>4</v>
      </c>
      <c r="V8" s="69" t="s">
        <v>5</v>
      </c>
      <c r="W8" s="69" t="s">
        <v>16</v>
      </c>
      <c r="X8" s="69" t="s">
        <v>6</v>
      </c>
      <c r="Y8" s="69" t="s">
        <v>15</v>
      </c>
      <c r="Z8" s="31" t="s">
        <v>14</v>
      </c>
      <c r="AA8" s="69" t="s">
        <v>7</v>
      </c>
      <c r="AB8" s="83"/>
    </row>
    <row r="9" spans="2:28" x14ac:dyDescent="0.25">
      <c r="B9" s="32"/>
      <c r="C9" s="2">
        <v>1</v>
      </c>
      <c r="D9" s="2">
        <v>2</v>
      </c>
      <c r="E9" s="2">
        <v>3</v>
      </c>
      <c r="F9" s="2"/>
      <c r="G9" s="2">
        <v>4</v>
      </c>
      <c r="H9" s="2">
        <v>5</v>
      </c>
      <c r="I9" s="2">
        <v>6</v>
      </c>
      <c r="J9" s="2">
        <v>7</v>
      </c>
      <c r="K9" s="2">
        <v>8</v>
      </c>
      <c r="L9" s="2">
        <v>9</v>
      </c>
      <c r="M9" s="2">
        <v>10</v>
      </c>
      <c r="N9" s="2">
        <v>11</v>
      </c>
      <c r="O9" s="2">
        <v>12</v>
      </c>
      <c r="P9" s="2">
        <v>13</v>
      </c>
      <c r="Q9" s="2">
        <v>14</v>
      </c>
      <c r="R9" s="2">
        <v>15</v>
      </c>
      <c r="S9" s="2">
        <v>16</v>
      </c>
      <c r="T9" s="2">
        <v>17</v>
      </c>
      <c r="U9" s="2">
        <v>18</v>
      </c>
      <c r="V9" s="2">
        <v>19</v>
      </c>
      <c r="W9" s="2">
        <v>20</v>
      </c>
      <c r="X9" s="2">
        <v>21</v>
      </c>
      <c r="Y9" s="2">
        <v>22</v>
      </c>
      <c r="Z9" s="2">
        <v>23</v>
      </c>
      <c r="AA9" s="2">
        <v>24</v>
      </c>
      <c r="AB9" s="2">
        <v>25</v>
      </c>
    </row>
    <row r="10" spans="2:28" ht="18" x14ac:dyDescent="0.25">
      <c r="B10" s="3"/>
      <c r="C10" s="3"/>
      <c r="D10" s="3"/>
      <c r="E10" s="3"/>
      <c r="F10" s="4"/>
      <c r="G10" s="4"/>
      <c r="H10" s="3"/>
      <c r="I10" s="3"/>
      <c r="J10" s="3"/>
      <c r="K10" s="3"/>
      <c r="L10" s="3"/>
      <c r="M10" s="3"/>
      <c r="N10" s="5"/>
      <c r="O10" s="5"/>
      <c r="P10" s="5"/>
      <c r="Q10" s="5"/>
      <c r="R10" s="5"/>
      <c r="S10" s="5"/>
      <c r="T10" s="3"/>
      <c r="U10" s="3"/>
      <c r="V10" s="3"/>
      <c r="W10" s="3"/>
      <c r="X10" s="3"/>
      <c r="Y10" s="3"/>
      <c r="Z10" s="3"/>
      <c r="AA10" s="3"/>
      <c r="AB10" s="2"/>
    </row>
    <row r="11" spans="2:28" s="68" customFormat="1" ht="18" x14ac:dyDescent="0.25">
      <c r="B11" s="59"/>
      <c r="C11" s="60"/>
      <c r="D11" s="60"/>
      <c r="E11" s="60"/>
      <c r="F11" s="61"/>
      <c r="G11" s="62"/>
      <c r="H11" s="60"/>
      <c r="I11" s="60"/>
      <c r="J11" s="63"/>
      <c r="K11" s="63"/>
      <c r="L11" s="63"/>
      <c r="M11" s="63"/>
      <c r="N11" s="64"/>
      <c r="O11" s="65"/>
      <c r="P11" s="64"/>
      <c r="Q11" s="64"/>
      <c r="R11" s="60"/>
      <c r="S11" s="63"/>
      <c r="T11" s="60"/>
      <c r="U11" s="60"/>
      <c r="V11" s="60"/>
      <c r="W11" s="60"/>
      <c r="X11" s="60"/>
      <c r="Y11" s="60"/>
      <c r="Z11" s="60"/>
      <c r="AA11" s="66"/>
      <c r="AB11" s="67"/>
    </row>
    <row r="12" spans="2:28" ht="18" x14ac:dyDescent="0.25">
      <c r="B12" s="3"/>
      <c r="C12" s="5"/>
      <c r="D12" s="5"/>
      <c r="E12" s="5"/>
      <c r="F12" s="9"/>
      <c r="G12" s="22"/>
      <c r="H12" s="7"/>
      <c r="I12" s="5"/>
      <c r="J12" s="6"/>
      <c r="K12" s="6"/>
      <c r="L12" s="6"/>
      <c r="M12" s="6"/>
      <c r="N12" s="5"/>
      <c r="O12" s="23"/>
      <c r="P12" s="5"/>
      <c r="Q12" s="5"/>
      <c r="R12" s="7"/>
      <c r="S12" s="6"/>
      <c r="T12" s="7"/>
      <c r="U12" s="7"/>
      <c r="V12" s="7"/>
      <c r="W12" s="7"/>
      <c r="X12" s="7"/>
      <c r="Y12" s="7"/>
      <c r="Z12" s="7"/>
      <c r="AA12" s="24"/>
      <c r="AB12" s="25"/>
    </row>
    <row r="13" spans="2:28" ht="18" x14ac:dyDescent="0.25">
      <c r="B13" s="3"/>
      <c r="C13" s="5"/>
      <c r="D13" s="5"/>
      <c r="E13" s="5"/>
      <c r="F13" s="9"/>
      <c r="G13" s="22"/>
      <c r="H13" s="7"/>
      <c r="I13" s="5"/>
      <c r="J13" s="6"/>
      <c r="K13" s="6"/>
      <c r="L13" s="6"/>
      <c r="M13" s="6"/>
      <c r="N13" s="5"/>
      <c r="O13" s="23"/>
      <c r="P13" s="5"/>
      <c r="Q13" s="5"/>
      <c r="R13" s="7"/>
      <c r="S13" s="6"/>
      <c r="T13" s="7"/>
      <c r="U13" s="7"/>
      <c r="V13" s="7"/>
      <c r="W13" s="7"/>
      <c r="X13" s="7"/>
      <c r="Y13" s="7"/>
      <c r="Z13" s="7"/>
      <c r="AA13" s="24"/>
      <c r="AB13" s="25"/>
    </row>
    <row r="14" spans="2:28" ht="17.45" x14ac:dyDescent="0.3">
      <c r="B14" s="3">
        <v>28</v>
      </c>
      <c r="C14" s="5">
        <v>248213</v>
      </c>
      <c r="D14" s="5">
        <v>542157</v>
      </c>
      <c r="E14" s="5">
        <v>120370</v>
      </c>
      <c r="F14" s="8">
        <f t="shared" ref="F14:F41" si="0">C14+D14+E14</f>
        <v>910740</v>
      </c>
      <c r="G14" s="22">
        <f t="shared" ref="G12:G40" si="1">(C15+D15+E15)+((S14/24)*3)</f>
        <v>910580.75</v>
      </c>
      <c r="H14" s="7">
        <f t="shared" ref="H12:H40" si="2">G14+((K14/12)*2.5)</f>
        <v>910599.91666666663</v>
      </c>
      <c r="I14" s="5">
        <v>99610</v>
      </c>
      <c r="J14" s="6">
        <f t="shared" ref="J13:J40" si="3">C14-C15</f>
        <v>69</v>
      </c>
      <c r="K14" s="6">
        <f t="shared" ref="K13:K40" si="4">D14-D15</f>
        <v>92</v>
      </c>
      <c r="L14" s="6">
        <f t="shared" ref="L13:L40" si="5">E14-E15</f>
        <v>21</v>
      </c>
      <c r="M14" s="6">
        <f t="shared" ref="M13:M40" si="6">I14-I15</f>
        <v>15</v>
      </c>
      <c r="N14" s="5">
        <f t="shared" ref="N12:N40" si="7">N15</f>
        <v>153.21428571428572</v>
      </c>
      <c r="O14" s="23">
        <f t="shared" ref="O13:O41" si="8">L14</f>
        <v>21</v>
      </c>
      <c r="P14" s="5">
        <f t="shared" ref="P13:P41" si="9">N14-O14</f>
        <v>132.21428571428572</v>
      </c>
      <c r="Q14" s="5">
        <f t="shared" ref="Q13:Q41" si="10">H14-G14</f>
        <v>19.166666666627862</v>
      </c>
      <c r="R14" s="7">
        <f t="shared" ref="R12:R39" si="11">R15</f>
        <v>928.57142857142856</v>
      </c>
      <c r="S14" s="6">
        <f t="shared" ref="S13:S41" si="12">J14+K14+L14</f>
        <v>182</v>
      </c>
      <c r="T14" s="7">
        <f t="shared" ref="T13:T41" si="13">R14-S14</f>
        <v>746.57142857142856</v>
      </c>
      <c r="U14" s="7">
        <f t="shared" ref="U13:U40" si="14">U15+N14</f>
        <v>4290.0000000000009</v>
      </c>
      <c r="V14" s="7">
        <f t="shared" ref="V13:V40" si="15">V15+O14</f>
        <v>696</v>
      </c>
      <c r="W14" s="7">
        <f t="shared" ref="W13:W41" si="16">U14-V14</f>
        <v>3594.0000000000009</v>
      </c>
      <c r="X14" s="7">
        <f t="shared" ref="X13:X40" si="17">X15+R14</f>
        <v>25999.999999999996</v>
      </c>
      <c r="Y14" s="7">
        <f t="shared" ref="Y13:Y40" si="18">Y15+S14</f>
        <v>7434</v>
      </c>
      <c r="Z14" s="7">
        <f t="shared" ref="Z13:Z41" si="19">X14-Y14</f>
        <v>18565.999999999996</v>
      </c>
      <c r="AA14" s="24">
        <f t="shared" ref="AA13:AA41" si="20">COS(ATAN(M14/S14))</f>
        <v>0.99662087626620866</v>
      </c>
      <c r="AB14" s="25"/>
    </row>
    <row r="15" spans="2:28" ht="18" x14ac:dyDescent="0.25">
      <c r="B15" s="3">
        <v>27</v>
      </c>
      <c r="C15" s="5">
        <f>C16+83</f>
        <v>248144</v>
      </c>
      <c r="D15" s="5">
        <f>D16+79</f>
        <v>542065</v>
      </c>
      <c r="E15" s="5">
        <f>E16+3</f>
        <v>120349</v>
      </c>
      <c r="F15" s="8">
        <f t="shared" si="0"/>
        <v>910558</v>
      </c>
      <c r="G15" s="22">
        <f t="shared" si="1"/>
        <v>910413.625</v>
      </c>
      <c r="H15" s="7">
        <f t="shared" si="2"/>
        <v>910430.08333333337</v>
      </c>
      <c r="I15" s="5">
        <f t="shared" ref="I15" si="21">I16+4</f>
        <v>99595</v>
      </c>
      <c r="J15" s="6">
        <f t="shared" si="3"/>
        <v>83</v>
      </c>
      <c r="K15" s="6">
        <f t="shared" si="4"/>
        <v>79</v>
      </c>
      <c r="L15" s="6">
        <f t="shared" si="5"/>
        <v>3</v>
      </c>
      <c r="M15" s="7">
        <f>I15-I16</f>
        <v>4</v>
      </c>
      <c r="N15" s="5">
        <f t="shared" si="7"/>
        <v>153.21428571428572</v>
      </c>
      <c r="O15" s="23">
        <f t="shared" si="8"/>
        <v>3</v>
      </c>
      <c r="P15" s="5">
        <f t="shared" si="9"/>
        <v>150.21428571428572</v>
      </c>
      <c r="Q15" s="5">
        <f t="shared" si="10"/>
        <v>16.458333333372138</v>
      </c>
      <c r="R15" s="7">
        <f t="shared" si="11"/>
        <v>928.57142857142856</v>
      </c>
      <c r="S15" s="6">
        <f t="shared" si="12"/>
        <v>165</v>
      </c>
      <c r="T15" s="7">
        <f t="shared" si="13"/>
        <v>763.57142857142856</v>
      </c>
      <c r="U15" s="7">
        <f t="shared" si="14"/>
        <v>4136.7857142857156</v>
      </c>
      <c r="V15" s="7">
        <f t="shared" si="15"/>
        <v>675</v>
      </c>
      <c r="W15" s="7">
        <f t="shared" si="16"/>
        <v>3461.7857142857156</v>
      </c>
      <c r="X15" s="7">
        <f t="shared" si="17"/>
        <v>25071.428571428569</v>
      </c>
      <c r="Y15" s="7">
        <f t="shared" si="18"/>
        <v>7252</v>
      </c>
      <c r="Z15" s="7">
        <f t="shared" si="19"/>
        <v>17819.428571428569</v>
      </c>
      <c r="AA15" s="24">
        <f t="shared" si="20"/>
        <v>0.99970628188961463</v>
      </c>
      <c r="AB15" s="25"/>
    </row>
    <row r="16" spans="2:28" ht="18" x14ac:dyDescent="0.25">
      <c r="B16" s="3">
        <v>26</v>
      </c>
      <c r="C16" s="5">
        <f>C17+90</f>
        <v>248061</v>
      </c>
      <c r="D16" s="5">
        <f t="shared" ref="D16" si="22">D17+26</f>
        <v>541986</v>
      </c>
      <c r="E16" s="5">
        <f>E17+3</f>
        <v>120346</v>
      </c>
      <c r="F16" s="8">
        <f t="shared" si="0"/>
        <v>910393</v>
      </c>
      <c r="G16" s="22">
        <f t="shared" si="1"/>
        <v>910288.875</v>
      </c>
      <c r="H16" s="7">
        <f t="shared" si="2"/>
        <v>910294.29166666663</v>
      </c>
      <c r="I16" s="5">
        <f>I17+9</f>
        <v>99591</v>
      </c>
      <c r="J16" s="6">
        <f t="shared" si="3"/>
        <v>90</v>
      </c>
      <c r="K16" s="6">
        <f t="shared" si="4"/>
        <v>26</v>
      </c>
      <c r="L16" s="6">
        <f t="shared" si="5"/>
        <v>3</v>
      </c>
      <c r="M16" s="6">
        <f t="shared" si="6"/>
        <v>9</v>
      </c>
      <c r="N16" s="5">
        <f t="shared" si="7"/>
        <v>153.21428571428572</v>
      </c>
      <c r="O16" s="23">
        <f t="shared" si="8"/>
        <v>3</v>
      </c>
      <c r="P16" s="5">
        <f t="shared" si="9"/>
        <v>150.21428571428572</v>
      </c>
      <c r="Q16" s="5">
        <f t="shared" si="10"/>
        <v>5.4166666666278616</v>
      </c>
      <c r="R16" s="7">
        <f t="shared" si="11"/>
        <v>928.57142857142856</v>
      </c>
      <c r="S16" s="6">
        <f t="shared" si="12"/>
        <v>119</v>
      </c>
      <c r="T16" s="7">
        <f t="shared" si="13"/>
        <v>809.57142857142856</v>
      </c>
      <c r="U16" s="7">
        <f t="shared" si="14"/>
        <v>3983.5714285714298</v>
      </c>
      <c r="V16" s="7">
        <f t="shared" si="15"/>
        <v>672</v>
      </c>
      <c r="W16" s="7">
        <f t="shared" si="16"/>
        <v>3311.5714285714298</v>
      </c>
      <c r="X16" s="7">
        <f t="shared" si="17"/>
        <v>24142.857142857141</v>
      </c>
      <c r="Y16" s="7">
        <f t="shared" si="18"/>
        <v>7087</v>
      </c>
      <c r="Z16" s="7">
        <f t="shared" si="19"/>
        <v>17055.857142857141</v>
      </c>
      <c r="AA16" s="24">
        <f t="shared" si="20"/>
        <v>0.99715224341392772</v>
      </c>
      <c r="AB16" s="25"/>
    </row>
    <row r="17" spans="2:28" ht="18" x14ac:dyDescent="0.25">
      <c r="B17" s="3">
        <v>25</v>
      </c>
      <c r="C17" s="5">
        <f>C18+110</f>
        <v>247971</v>
      </c>
      <c r="D17" s="5">
        <f>D18+22</f>
        <v>541960</v>
      </c>
      <c r="E17" s="5">
        <f>E18+26</f>
        <v>120343</v>
      </c>
      <c r="F17" s="8">
        <f t="shared" si="0"/>
        <v>910274</v>
      </c>
      <c r="G17" s="22">
        <f t="shared" si="1"/>
        <v>910135.75</v>
      </c>
      <c r="H17" s="7">
        <f t="shared" si="2"/>
        <v>910140.33333333337</v>
      </c>
      <c r="I17" s="5">
        <f>I18+10</f>
        <v>99582</v>
      </c>
      <c r="J17" s="6">
        <f t="shared" si="3"/>
        <v>110</v>
      </c>
      <c r="K17" s="6">
        <f t="shared" si="4"/>
        <v>22</v>
      </c>
      <c r="L17" s="6">
        <f t="shared" si="5"/>
        <v>26</v>
      </c>
      <c r="M17" s="6">
        <f t="shared" si="6"/>
        <v>10</v>
      </c>
      <c r="N17" s="5">
        <f t="shared" si="7"/>
        <v>153.21428571428572</v>
      </c>
      <c r="O17" s="23">
        <f t="shared" si="8"/>
        <v>26</v>
      </c>
      <c r="P17" s="5">
        <f t="shared" si="9"/>
        <v>127.21428571428572</v>
      </c>
      <c r="Q17" s="5">
        <f t="shared" si="10"/>
        <v>4.5833333333721384</v>
      </c>
      <c r="R17" s="7">
        <f t="shared" si="11"/>
        <v>928.57142857142856</v>
      </c>
      <c r="S17" s="6">
        <f t="shared" si="12"/>
        <v>158</v>
      </c>
      <c r="T17" s="7">
        <f t="shared" si="13"/>
        <v>770.57142857142856</v>
      </c>
      <c r="U17" s="7">
        <f t="shared" si="14"/>
        <v>3830.357142857144</v>
      </c>
      <c r="V17" s="7">
        <f t="shared" si="15"/>
        <v>669</v>
      </c>
      <c r="W17" s="7">
        <f t="shared" si="16"/>
        <v>3161.357142857144</v>
      </c>
      <c r="X17" s="7">
        <f t="shared" si="17"/>
        <v>23214.285714285714</v>
      </c>
      <c r="Y17" s="7">
        <f t="shared" si="18"/>
        <v>6968</v>
      </c>
      <c r="Z17" s="7">
        <f t="shared" si="19"/>
        <v>16246.285714285714</v>
      </c>
      <c r="AA17" s="24">
        <f t="shared" si="20"/>
        <v>0.99800311314771839</v>
      </c>
      <c r="AB17" s="25"/>
    </row>
    <row r="18" spans="2:28" ht="18" x14ac:dyDescent="0.25">
      <c r="B18" s="3">
        <v>24</v>
      </c>
      <c r="C18" s="5">
        <f>C19+136</f>
        <v>247861</v>
      </c>
      <c r="D18" s="5">
        <f>D19+152</f>
        <v>541938</v>
      </c>
      <c r="E18" s="5">
        <f>E19+31</f>
        <v>120317</v>
      </c>
      <c r="F18" s="8">
        <f t="shared" si="0"/>
        <v>910116</v>
      </c>
      <c r="G18" s="22">
        <f t="shared" si="1"/>
        <v>909836.875</v>
      </c>
      <c r="H18" s="7">
        <f t="shared" si="2"/>
        <v>909868.54166666663</v>
      </c>
      <c r="I18" s="5">
        <f>I19+30</f>
        <v>99572</v>
      </c>
      <c r="J18" s="6">
        <f t="shared" si="3"/>
        <v>136</v>
      </c>
      <c r="K18" s="6">
        <f t="shared" si="4"/>
        <v>152</v>
      </c>
      <c r="L18" s="6">
        <f t="shared" si="5"/>
        <v>31</v>
      </c>
      <c r="M18" s="6">
        <f t="shared" si="6"/>
        <v>30</v>
      </c>
      <c r="N18" s="5">
        <f t="shared" si="7"/>
        <v>153.21428571428572</v>
      </c>
      <c r="O18" s="23">
        <f t="shared" si="8"/>
        <v>31</v>
      </c>
      <c r="P18" s="5">
        <f t="shared" si="9"/>
        <v>122.21428571428572</v>
      </c>
      <c r="Q18" s="5">
        <f t="shared" si="10"/>
        <v>31.666666666627862</v>
      </c>
      <c r="R18" s="7">
        <f t="shared" si="11"/>
        <v>928.57142857142856</v>
      </c>
      <c r="S18" s="6">
        <f t="shared" si="12"/>
        <v>319</v>
      </c>
      <c r="T18" s="7">
        <f t="shared" si="13"/>
        <v>609.57142857142856</v>
      </c>
      <c r="U18" s="7">
        <f t="shared" si="14"/>
        <v>3677.1428571428582</v>
      </c>
      <c r="V18" s="7">
        <f t="shared" si="15"/>
        <v>643</v>
      </c>
      <c r="W18" s="7">
        <f t="shared" si="16"/>
        <v>3034.1428571428582</v>
      </c>
      <c r="X18" s="7">
        <f t="shared" si="17"/>
        <v>22285.714285714286</v>
      </c>
      <c r="Y18" s="7">
        <f t="shared" si="18"/>
        <v>6810</v>
      </c>
      <c r="Z18" s="7">
        <f t="shared" si="19"/>
        <v>15475.714285714286</v>
      </c>
      <c r="AA18" s="24">
        <f t="shared" si="20"/>
        <v>0.99560699191824364</v>
      </c>
      <c r="AB18" s="25"/>
    </row>
    <row r="19" spans="2:28" ht="18" x14ac:dyDescent="0.25">
      <c r="B19" s="3">
        <v>23</v>
      </c>
      <c r="C19" s="5">
        <v>247725</v>
      </c>
      <c r="D19" s="5">
        <v>541786</v>
      </c>
      <c r="E19" s="5">
        <v>120286</v>
      </c>
      <c r="F19" s="8">
        <f t="shared" si="0"/>
        <v>909797</v>
      </c>
      <c r="G19" s="22">
        <f t="shared" si="1"/>
        <v>909538.875</v>
      </c>
      <c r="H19" s="7">
        <f t="shared" si="2"/>
        <v>909572.83333333337</v>
      </c>
      <c r="I19" s="5">
        <v>99542</v>
      </c>
      <c r="J19" s="6">
        <f t="shared" si="3"/>
        <v>104</v>
      </c>
      <c r="K19" s="6">
        <f t="shared" si="4"/>
        <v>163</v>
      </c>
      <c r="L19" s="6">
        <f t="shared" si="5"/>
        <v>28</v>
      </c>
      <c r="M19" s="6">
        <f t="shared" si="6"/>
        <v>32</v>
      </c>
      <c r="N19" s="5">
        <f t="shared" si="7"/>
        <v>153.21428571428572</v>
      </c>
      <c r="O19" s="3">
        <f t="shared" si="8"/>
        <v>28</v>
      </c>
      <c r="P19" s="5">
        <f t="shared" si="9"/>
        <v>125.21428571428572</v>
      </c>
      <c r="Q19" s="5">
        <f t="shared" si="10"/>
        <v>33.958333333372138</v>
      </c>
      <c r="R19" s="7">
        <f t="shared" si="11"/>
        <v>928.57142857142856</v>
      </c>
      <c r="S19" s="6">
        <f t="shared" si="12"/>
        <v>295</v>
      </c>
      <c r="T19" s="7">
        <f t="shared" si="13"/>
        <v>633.57142857142856</v>
      </c>
      <c r="U19" s="7">
        <f t="shared" si="14"/>
        <v>3523.9285714285725</v>
      </c>
      <c r="V19" s="7">
        <f t="shared" si="15"/>
        <v>612</v>
      </c>
      <c r="W19" s="7">
        <f t="shared" si="16"/>
        <v>2911.9285714285725</v>
      </c>
      <c r="X19" s="7">
        <f t="shared" si="17"/>
        <v>21357.142857142859</v>
      </c>
      <c r="Y19" s="7">
        <f t="shared" si="18"/>
        <v>6491</v>
      </c>
      <c r="Z19" s="7">
        <f t="shared" si="19"/>
        <v>14866.142857142859</v>
      </c>
      <c r="AA19" s="24">
        <f t="shared" si="20"/>
        <v>0.99416805022927257</v>
      </c>
      <c r="AB19" s="1"/>
    </row>
    <row r="20" spans="2:28" ht="18" x14ac:dyDescent="0.25">
      <c r="B20" s="3">
        <v>22</v>
      </c>
      <c r="C20" s="5">
        <f>C21+112</f>
        <v>247621</v>
      </c>
      <c r="D20" s="5">
        <f>D21+147</f>
        <v>541623</v>
      </c>
      <c r="E20" s="5">
        <f t="shared" ref="E20:E39" si="23">E21+26</f>
        <v>120258</v>
      </c>
      <c r="F20" s="8">
        <f t="shared" si="0"/>
        <v>909502</v>
      </c>
      <c r="G20" s="22">
        <f t="shared" si="1"/>
        <v>909252.625</v>
      </c>
      <c r="H20" s="7">
        <f t="shared" si="2"/>
        <v>909283.25</v>
      </c>
      <c r="I20" s="5">
        <f>I21+26</f>
        <v>99510</v>
      </c>
      <c r="J20" s="6">
        <f t="shared" si="3"/>
        <v>112</v>
      </c>
      <c r="K20" s="6">
        <f t="shared" si="4"/>
        <v>147</v>
      </c>
      <c r="L20" s="6">
        <f t="shared" si="5"/>
        <v>26</v>
      </c>
      <c r="M20" s="6">
        <f t="shared" si="6"/>
        <v>26</v>
      </c>
      <c r="N20" s="5">
        <f t="shared" si="7"/>
        <v>153.21428571428572</v>
      </c>
      <c r="O20" s="3">
        <f t="shared" si="8"/>
        <v>26</v>
      </c>
      <c r="P20" s="5">
        <f t="shared" si="9"/>
        <v>127.21428571428572</v>
      </c>
      <c r="Q20" s="5">
        <f t="shared" si="10"/>
        <v>30.625</v>
      </c>
      <c r="R20" s="7">
        <f t="shared" si="11"/>
        <v>928.57142857142856</v>
      </c>
      <c r="S20" s="6">
        <f t="shared" si="12"/>
        <v>285</v>
      </c>
      <c r="T20" s="7">
        <f t="shared" si="13"/>
        <v>643.57142857142856</v>
      </c>
      <c r="U20" s="7">
        <f t="shared" si="14"/>
        <v>3370.7142857142867</v>
      </c>
      <c r="V20" s="7">
        <f t="shared" si="15"/>
        <v>584</v>
      </c>
      <c r="W20" s="7">
        <f t="shared" si="16"/>
        <v>2786.7142857142867</v>
      </c>
      <c r="X20" s="7">
        <f t="shared" si="17"/>
        <v>20428.571428571431</v>
      </c>
      <c r="Y20" s="7">
        <f t="shared" si="18"/>
        <v>6196</v>
      </c>
      <c r="Z20" s="7">
        <f t="shared" si="19"/>
        <v>14232.571428571431</v>
      </c>
      <c r="AA20" s="24">
        <f t="shared" si="20"/>
        <v>0.99586451514543606</v>
      </c>
      <c r="AB20" s="1"/>
    </row>
    <row r="21" spans="2:28" ht="18" x14ac:dyDescent="0.25">
      <c r="B21" s="3">
        <v>21</v>
      </c>
      <c r="C21" s="5">
        <f>C22+121</f>
        <v>247509</v>
      </c>
      <c r="D21" s="5">
        <f>D22+132</f>
        <v>541476</v>
      </c>
      <c r="E21" s="5">
        <f>E22+25</f>
        <v>120232</v>
      </c>
      <c r="F21" s="8">
        <f t="shared" si="0"/>
        <v>909217</v>
      </c>
      <c r="G21" s="22">
        <f t="shared" si="1"/>
        <v>908973.75</v>
      </c>
      <c r="H21" s="7">
        <f t="shared" si="2"/>
        <v>909001.25</v>
      </c>
      <c r="I21" s="5">
        <f>I22+37</f>
        <v>99484</v>
      </c>
      <c r="J21" s="6">
        <f t="shared" si="3"/>
        <v>121</v>
      </c>
      <c r="K21" s="6">
        <f t="shared" si="4"/>
        <v>132</v>
      </c>
      <c r="L21" s="6">
        <f t="shared" si="5"/>
        <v>25</v>
      </c>
      <c r="M21" s="6">
        <f t="shared" si="6"/>
        <v>37</v>
      </c>
      <c r="N21" s="5">
        <f t="shared" si="7"/>
        <v>153.21428571428572</v>
      </c>
      <c r="O21" s="3">
        <f t="shared" si="8"/>
        <v>25</v>
      </c>
      <c r="P21" s="5">
        <f t="shared" si="9"/>
        <v>128.21428571428572</v>
      </c>
      <c r="Q21" s="5">
        <f t="shared" si="10"/>
        <v>27.5</v>
      </c>
      <c r="R21" s="7">
        <f t="shared" si="11"/>
        <v>928.57142857142856</v>
      </c>
      <c r="S21" s="6">
        <f t="shared" si="12"/>
        <v>278</v>
      </c>
      <c r="T21" s="7">
        <f t="shared" si="13"/>
        <v>650.57142857142856</v>
      </c>
      <c r="U21" s="7">
        <f t="shared" si="14"/>
        <v>3217.5000000000009</v>
      </c>
      <c r="V21" s="7">
        <f t="shared" si="15"/>
        <v>558</v>
      </c>
      <c r="W21" s="7">
        <f t="shared" si="16"/>
        <v>2659.5000000000009</v>
      </c>
      <c r="X21" s="7">
        <f t="shared" si="17"/>
        <v>19500.000000000004</v>
      </c>
      <c r="Y21" s="7">
        <f t="shared" si="18"/>
        <v>5911</v>
      </c>
      <c r="Z21" s="7">
        <f t="shared" si="19"/>
        <v>13589.000000000004</v>
      </c>
      <c r="AA21" s="24">
        <f t="shared" si="20"/>
        <v>0.99125901447540421</v>
      </c>
      <c r="AB21" s="1"/>
    </row>
    <row r="22" spans="2:28" ht="18" x14ac:dyDescent="0.25">
      <c r="B22" s="3">
        <v>20</v>
      </c>
      <c r="C22" s="5">
        <f>C23+130</f>
        <v>247388</v>
      </c>
      <c r="D22" s="5">
        <f>D23+131</f>
        <v>541344</v>
      </c>
      <c r="E22" s="5">
        <f>E23+22</f>
        <v>120207</v>
      </c>
      <c r="F22" s="8">
        <f t="shared" si="0"/>
        <v>908939</v>
      </c>
      <c r="G22" s="22">
        <f t="shared" si="1"/>
        <v>908691.375</v>
      </c>
      <c r="H22" s="7">
        <f t="shared" si="2"/>
        <v>908718.66666666663</v>
      </c>
      <c r="I22" s="5">
        <f>I23+33</f>
        <v>99447</v>
      </c>
      <c r="J22" s="6">
        <f t="shared" si="3"/>
        <v>130</v>
      </c>
      <c r="K22" s="6">
        <f t="shared" si="4"/>
        <v>131</v>
      </c>
      <c r="L22" s="6">
        <f t="shared" si="5"/>
        <v>22</v>
      </c>
      <c r="M22" s="6">
        <f t="shared" si="6"/>
        <v>33</v>
      </c>
      <c r="N22" s="5">
        <f t="shared" si="7"/>
        <v>153.21428571428572</v>
      </c>
      <c r="O22" s="3">
        <f t="shared" si="8"/>
        <v>22</v>
      </c>
      <c r="P22" s="5">
        <f t="shared" si="9"/>
        <v>131.21428571428572</v>
      </c>
      <c r="Q22" s="5">
        <f t="shared" si="10"/>
        <v>27.291666666627862</v>
      </c>
      <c r="R22" s="7">
        <f t="shared" si="11"/>
        <v>928.57142857142856</v>
      </c>
      <c r="S22" s="6">
        <f t="shared" si="12"/>
        <v>283</v>
      </c>
      <c r="T22" s="7">
        <f t="shared" si="13"/>
        <v>645.57142857142856</v>
      </c>
      <c r="U22" s="7">
        <f t="shared" si="14"/>
        <v>3064.2857142857151</v>
      </c>
      <c r="V22" s="7">
        <f t="shared" si="15"/>
        <v>533</v>
      </c>
      <c r="W22" s="7">
        <f t="shared" si="16"/>
        <v>2531.2857142857151</v>
      </c>
      <c r="X22" s="7">
        <f t="shared" si="17"/>
        <v>18571.428571428576</v>
      </c>
      <c r="Y22" s="7">
        <f t="shared" si="18"/>
        <v>5633</v>
      </c>
      <c r="Z22" s="7">
        <f t="shared" si="19"/>
        <v>12938.428571428576</v>
      </c>
      <c r="AA22" s="24">
        <f t="shared" si="20"/>
        <v>0.99326987035468184</v>
      </c>
      <c r="AB22" s="1"/>
    </row>
    <row r="23" spans="2:28" ht="18" x14ac:dyDescent="0.25">
      <c r="B23" s="3">
        <v>19</v>
      </c>
      <c r="C23" s="5">
        <f t="shared" ref="C23:C28" si="24">C24+120</f>
        <v>247258</v>
      </c>
      <c r="D23" s="5">
        <f>D24+123</f>
        <v>541213</v>
      </c>
      <c r="E23" s="5">
        <f t="shared" si="23"/>
        <v>120185</v>
      </c>
      <c r="F23" s="8">
        <f t="shared" si="0"/>
        <v>908656</v>
      </c>
      <c r="G23" s="22">
        <f t="shared" si="1"/>
        <v>908420.625</v>
      </c>
      <c r="H23" s="7">
        <f t="shared" si="2"/>
        <v>908446.25</v>
      </c>
      <c r="I23" s="5">
        <f>I24+26</f>
        <v>99414</v>
      </c>
      <c r="J23" s="6">
        <f t="shared" si="3"/>
        <v>120</v>
      </c>
      <c r="K23" s="6">
        <f t="shared" si="4"/>
        <v>123</v>
      </c>
      <c r="L23" s="6">
        <f t="shared" si="5"/>
        <v>26</v>
      </c>
      <c r="M23" s="6">
        <f t="shared" si="6"/>
        <v>26</v>
      </c>
      <c r="N23" s="5">
        <f t="shared" si="7"/>
        <v>153.21428571428572</v>
      </c>
      <c r="O23" s="3">
        <f t="shared" si="8"/>
        <v>26</v>
      </c>
      <c r="P23" s="5">
        <f t="shared" si="9"/>
        <v>127.21428571428572</v>
      </c>
      <c r="Q23" s="5">
        <f t="shared" si="10"/>
        <v>25.625</v>
      </c>
      <c r="R23" s="7">
        <f t="shared" si="11"/>
        <v>928.57142857142856</v>
      </c>
      <c r="S23" s="6">
        <f t="shared" si="12"/>
        <v>269</v>
      </c>
      <c r="T23" s="7">
        <f t="shared" si="13"/>
        <v>659.57142857142856</v>
      </c>
      <c r="U23" s="7">
        <f t="shared" si="14"/>
        <v>2911.0714285714294</v>
      </c>
      <c r="V23" s="7">
        <f t="shared" si="15"/>
        <v>511</v>
      </c>
      <c r="W23" s="7">
        <f t="shared" si="16"/>
        <v>2400.0714285714294</v>
      </c>
      <c r="X23" s="7">
        <f t="shared" si="17"/>
        <v>17642.857142857149</v>
      </c>
      <c r="Y23" s="7">
        <f t="shared" si="18"/>
        <v>5350</v>
      </c>
      <c r="Z23" s="7">
        <f t="shared" si="19"/>
        <v>12292.857142857149</v>
      </c>
      <c r="AA23" s="24">
        <f t="shared" si="20"/>
        <v>0.99536145053603187</v>
      </c>
      <c r="AB23" s="1"/>
    </row>
    <row r="24" spans="2:28" ht="18" x14ac:dyDescent="0.25">
      <c r="B24" s="3">
        <v>18</v>
      </c>
      <c r="C24" s="5">
        <f>C25+129</f>
        <v>247138</v>
      </c>
      <c r="D24" s="5">
        <f>D25+125</f>
        <v>541090</v>
      </c>
      <c r="E24" s="5">
        <f>E25+30</f>
        <v>120159</v>
      </c>
      <c r="F24" s="8">
        <f t="shared" si="0"/>
        <v>908387</v>
      </c>
      <c r="G24" s="22">
        <f t="shared" si="1"/>
        <v>908138.5</v>
      </c>
      <c r="H24" s="7">
        <f t="shared" si="2"/>
        <v>908164.54166666663</v>
      </c>
      <c r="I24" s="5">
        <f>I25+31</f>
        <v>99388</v>
      </c>
      <c r="J24" s="6">
        <f t="shared" si="3"/>
        <v>129</v>
      </c>
      <c r="K24" s="6">
        <f t="shared" si="4"/>
        <v>125</v>
      </c>
      <c r="L24" s="6">
        <f t="shared" si="5"/>
        <v>30</v>
      </c>
      <c r="M24" s="6">
        <f t="shared" si="6"/>
        <v>31</v>
      </c>
      <c r="N24" s="5">
        <f t="shared" si="7"/>
        <v>153.21428571428572</v>
      </c>
      <c r="O24" s="3">
        <f t="shared" si="8"/>
        <v>30</v>
      </c>
      <c r="P24" s="5">
        <f t="shared" si="9"/>
        <v>123.21428571428572</v>
      </c>
      <c r="Q24" s="5">
        <f t="shared" si="10"/>
        <v>26.041666666627862</v>
      </c>
      <c r="R24" s="7">
        <f t="shared" si="11"/>
        <v>928.57142857142856</v>
      </c>
      <c r="S24" s="6">
        <f t="shared" si="12"/>
        <v>284</v>
      </c>
      <c r="T24" s="7">
        <f t="shared" si="13"/>
        <v>644.57142857142856</v>
      </c>
      <c r="U24" s="7">
        <f t="shared" si="14"/>
        <v>2757.8571428571436</v>
      </c>
      <c r="V24" s="7">
        <f t="shared" si="15"/>
        <v>485</v>
      </c>
      <c r="W24" s="7">
        <f t="shared" si="16"/>
        <v>2272.8571428571436</v>
      </c>
      <c r="X24" s="7">
        <f t="shared" si="17"/>
        <v>16714.285714285721</v>
      </c>
      <c r="Y24" s="7">
        <f t="shared" si="18"/>
        <v>5081</v>
      </c>
      <c r="Z24" s="7">
        <f t="shared" si="19"/>
        <v>11633.285714285721</v>
      </c>
      <c r="AA24" s="24">
        <f t="shared" si="20"/>
        <v>0.9940953134574857</v>
      </c>
      <c r="AB24" s="1"/>
    </row>
    <row r="25" spans="2:28" ht="18" x14ac:dyDescent="0.25">
      <c r="B25" s="3">
        <v>17</v>
      </c>
      <c r="C25" s="5">
        <f>C26+124</f>
        <v>247009</v>
      </c>
      <c r="D25" s="5">
        <f>D26+130</f>
        <v>540965</v>
      </c>
      <c r="E25" s="5">
        <f>E26+24</f>
        <v>120129</v>
      </c>
      <c r="F25" s="8">
        <f t="shared" si="0"/>
        <v>908103</v>
      </c>
      <c r="G25" s="22">
        <f>(C26+D26+E26)+((S25/24)*3)</f>
        <v>907859.75</v>
      </c>
      <c r="H25" s="7">
        <f t="shared" si="2"/>
        <v>907886.83333333337</v>
      </c>
      <c r="I25" s="5">
        <f>I26+29</f>
        <v>99357</v>
      </c>
      <c r="J25" s="6">
        <f t="shared" ref="J25:L27" si="25">C25-C26</f>
        <v>124</v>
      </c>
      <c r="K25" s="6">
        <f t="shared" si="25"/>
        <v>130</v>
      </c>
      <c r="L25" s="6">
        <f t="shared" si="25"/>
        <v>24</v>
      </c>
      <c r="M25" s="7">
        <f t="shared" si="6"/>
        <v>29</v>
      </c>
      <c r="N25" s="5">
        <f t="shared" si="7"/>
        <v>153.21428571428572</v>
      </c>
      <c r="O25" s="3">
        <f t="shared" si="8"/>
        <v>24</v>
      </c>
      <c r="P25" s="5">
        <f t="shared" si="9"/>
        <v>129.21428571428572</v>
      </c>
      <c r="Q25" s="5">
        <f t="shared" si="10"/>
        <v>27.083333333372138</v>
      </c>
      <c r="R25" s="7">
        <f t="shared" si="11"/>
        <v>928.57142857142856</v>
      </c>
      <c r="S25" s="6">
        <f t="shared" si="12"/>
        <v>278</v>
      </c>
      <c r="T25" s="7">
        <f t="shared" si="13"/>
        <v>650.57142857142856</v>
      </c>
      <c r="U25" s="7">
        <f t="shared" si="14"/>
        <v>2604.6428571428578</v>
      </c>
      <c r="V25" s="6">
        <f t="shared" si="15"/>
        <v>455</v>
      </c>
      <c r="W25" s="7">
        <f t="shared" si="16"/>
        <v>2149.6428571428578</v>
      </c>
      <c r="X25" s="7">
        <f t="shared" si="17"/>
        <v>15785.714285714292</v>
      </c>
      <c r="Y25" s="7">
        <f t="shared" si="18"/>
        <v>4797</v>
      </c>
      <c r="Z25" s="7">
        <f t="shared" si="19"/>
        <v>10988.714285714292</v>
      </c>
      <c r="AA25" s="24">
        <f t="shared" si="20"/>
        <v>0.9946030363919065</v>
      </c>
      <c r="AB25" s="1"/>
    </row>
    <row r="26" spans="2:28" ht="18" x14ac:dyDescent="0.25">
      <c r="B26" s="3">
        <v>16</v>
      </c>
      <c r="C26" s="5">
        <f>C27+119</f>
        <v>246885</v>
      </c>
      <c r="D26" s="5">
        <f>D27+141</f>
        <v>540835</v>
      </c>
      <c r="E26" s="5">
        <f>E27+21</f>
        <v>120105</v>
      </c>
      <c r="F26" s="8">
        <f>C26+D26+E26</f>
        <v>907825</v>
      </c>
      <c r="G26" s="22">
        <f>(C27+D27+E27)+((S26/24)*3)</f>
        <v>907579.125</v>
      </c>
      <c r="H26" s="7">
        <f t="shared" si="2"/>
        <v>907608.5</v>
      </c>
      <c r="I26" s="5">
        <f>I27+21</f>
        <v>99328</v>
      </c>
      <c r="J26" s="6">
        <f t="shared" si="25"/>
        <v>119</v>
      </c>
      <c r="K26" s="6">
        <f t="shared" si="25"/>
        <v>141</v>
      </c>
      <c r="L26" s="6">
        <f t="shared" si="25"/>
        <v>21</v>
      </c>
      <c r="M26" s="7">
        <f t="shared" si="6"/>
        <v>21</v>
      </c>
      <c r="N26" s="5">
        <f t="shared" si="7"/>
        <v>153.21428571428572</v>
      </c>
      <c r="O26" s="3">
        <f t="shared" si="8"/>
        <v>21</v>
      </c>
      <c r="P26" s="5">
        <f t="shared" si="9"/>
        <v>132.21428571428572</v>
      </c>
      <c r="Q26" s="5">
        <f t="shared" si="10"/>
        <v>29.375</v>
      </c>
      <c r="R26" s="7">
        <f t="shared" si="11"/>
        <v>928.57142857142856</v>
      </c>
      <c r="S26" s="6">
        <f t="shared" si="12"/>
        <v>281</v>
      </c>
      <c r="T26" s="7">
        <f t="shared" si="13"/>
        <v>647.57142857142856</v>
      </c>
      <c r="U26" s="7">
        <f t="shared" si="14"/>
        <v>2451.428571428572</v>
      </c>
      <c r="V26" s="6">
        <f t="shared" si="15"/>
        <v>431</v>
      </c>
      <c r="W26" s="7">
        <f t="shared" si="16"/>
        <v>2020.428571428572</v>
      </c>
      <c r="X26" s="7">
        <f t="shared" si="17"/>
        <v>14857.142857142862</v>
      </c>
      <c r="Y26" s="7">
        <f t="shared" si="18"/>
        <v>4519</v>
      </c>
      <c r="Z26" s="7">
        <f t="shared" si="19"/>
        <v>10338.142857142862</v>
      </c>
      <c r="AA26" s="24">
        <f t="shared" si="20"/>
        <v>0.997219125231947</v>
      </c>
      <c r="AB26" s="1"/>
    </row>
    <row r="27" spans="2:28" ht="18" x14ac:dyDescent="0.25">
      <c r="B27" s="3">
        <v>15</v>
      </c>
      <c r="C27" s="5">
        <f>C28+126</f>
        <v>246766</v>
      </c>
      <c r="D27" s="5">
        <f>D28+138</f>
        <v>540694</v>
      </c>
      <c r="E27" s="5">
        <f>E28+29</f>
        <v>120084</v>
      </c>
      <c r="F27" s="8">
        <f t="shared" si="0"/>
        <v>907544</v>
      </c>
      <c r="G27" s="22">
        <f t="shared" si="1"/>
        <v>907287.625</v>
      </c>
      <c r="H27" s="7">
        <f t="shared" si="2"/>
        <v>907316.375</v>
      </c>
      <c r="I27" s="5">
        <f>I28+19</f>
        <v>99307</v>
      </c>
      <c r="J27" s="6">
        <f t="shared" si="25"/>
        <v>126</v>
      </c>
      <c r="K27" s="6">
        <f t="shared" si="25"/>
        <v>138</v>
      </c>
      <c r="L27" s="6">
        <f t="shared" si="25"/>
        <v>29</v>
      </c>
      <c r="M27" s="7">
        <f t="shared" si="6"/>
        <v>19</v>
      </c>
      <c r="N27" s="5">
        <f t="shared" si="7"/>
        <v>153.21428571428572</v>
      </c>
      <c r="O27" s="3">
        <f t="shared" si="8"/>
        <v>29</v>
      </c>
      <c r="P27" s="5">
        <f t="shared" si="9"/>
        <v>124.21428571428572</v>
      </c>
      <c r="Q27" s="5">
        <f t="shared" si="10"/>
        <v>28.75</v>
      </c>
      <c r="R27" s="7">
        <f t="shared" si="11"/>
        <v>928.57142857142856</v>
      </c>
      <c r="S27" s="6">
        <f>J27+K27+L27</f>
        <v>293</v>
      </c>
      <c r="T27" s="7">
        <f t="shared" si="13"/>
        <v>635.57142857142856</v>
      </c>
      <c r="U27" s="7">
        <f t="shared" si="14"/>
        <v>2298.2142857142862</v>
      </c>
      <c r="V27" s="6">
        <f t="shared" si="15"/>
        <v>410</v>
      </c>
      <c r="W27" s="7">
        <f t="shared" si="16"/>
        <v>1888.2142857142862</v>
      </c>
      <c r="X27" s="7">
        <f t="shared" si="17"/>
        <v>13928.571428571433</v>
      </c>
      <c r="Y27" s="7">
        <f t="shared" si="18"/>
        <v>4238</v>
      </c>
      <c r="Z27" s="7">
        <f t="shared" si="19"/>
        <v>9690.571428571433</v>
      </c>
      <c r="AA27" s="24">
        <f t="shared" si="20"/>
        <v>0.99790407893152389</v>
      </c>
      <c r="AB27" s="1"/>
    </row>
    <row r="28" spans="2:28" ht="18" x14ac:dyDescent="0.25">
      <c r="B28" s="3">
        <v>14</v>
      </c>
      <c r="C28" s="5">
        <f t="shared" si="24"/>
        <v>246640</v>
      </c>
      <c r="D28" s="5">
        <f>D29+133</f>
        <v>540556</v>
      </c>
      <c r="E28" s="5">
        <f>E29+37</f>
        <v>120055</v>
      </c>
      <c r="F28" s="8">
        <f t="shared" si="0"/>
        <v>907251</v>
      </c>
      <c r="G28" s="22">
        <f t="shared" si="1"/>
        <v>906997.25</v>
      </c>
      <c r="H28" s="7">
        <f t="shared" si="2"/>
        <v>907024.95833333337</v>
      </c>
      <c r="I28" s="5">
        <f>I29+17</f>
        <v>99288</v>
      </c>
      <c r="J28" s="6">
        <f t="shared" si="3"/>
        <v>120</v>
      </c>
      <c r="K28" s="6">
        <f t="shared" si="4"/>
        <v>133</v>
      </c>
      <c r="L28" s="6">
        <f t="shared" si="5"/>
        <v>37</v>
      </c>
      <c r="M28" s="7">
        <f t="shared" si="6"/>
        <v>17</v>
      </c>
      <c r="N28" s="5">
        <f t="shared" si="7"/>
        <v>153.21428571428572</v>
      </c>
      <c r="O28" s="3">
        <f t="shared" si="8"/>
        <v>37</v>
      </c>
      <c r="P28" s="5">
        <f t="shared" si="9"/>
        <v>116.21428571428572</v>
      </c>
      <c r="Q28" s="5">
        <f t="shared" si="10"/>
        <v>27.708333333372138</v>
      </c>
      <c r="R28" s="7">
        <f t="shared" si="11"/>
        <v>928.57142857142856</v>
      </c>
      <c r="S28" s="6">
        <f t="shared" si="12"/>
        <v>290</v>
      </c>
      <c r="T28" s="7">
        <f t="shared" si="13"/>
        <v>638.57142857142856</v>
      </c>
      <c r="U28" s="7">
        <f t="shared" si="14"/>
        <v>2145.0000000000005</v>
      </c>
      <c r="V28" s="6">
        <f t="shared" si="15"/>
        <v>381</v>
      </c>
      <c r="W28" s="7">
        <f t="shared" si="16"/>
        <v>1764.0000000000005</v>
      </c>
      <c r="X28" s="7">
        <f t="shared" si="17"/>
        <v>13000.000000000004</v>
      </c>
      <c r="Y28" s="7">
        <f t="shared" si="18"/>
        <v>3945</v>
      </c>
      <c r="Z28" s="7">
        <f t="shared" si="19"/>
        <v>9055.0000000000036</v>
      </c>
      <c r="AA28" s="24">
        <f t="shared" si="20"/>
        <v>0.99828622300798764</v>
      </c>
      <c r="AB28" s="1"/>
    </row>
    <row r="29" spans="2:28" ht="18" x14ac:dyDescent="0.25">
      <c r="B29" s="3">
        <v>13</v>
      </c>
      <c r="C29" s="5">
        <f>C30+122</f>
        <v>246520</v>
      </c>
      <c r="D29" s="5">
        <f>D30+124</f>
        <v>540423</v>
      </c>
      <c r="E29" s="5">
        <f t="shared" si="23"/>
        <v>120018</v>
      </c>
      <c r="F29" s="8">
        <f t="shared" si="0"/>
        <v>906961</v>
      </c>
      <c r="G29" s="22">
        <f t="shared" si="1"/>
        <v>906723</v>
      </c>
      <c r="H29" s="7">
        <f t="shared" si="2"/>
        <v>906748.83333333337</v>
      </c>
      <c r="I29" s="5">
        <f>I30+22</f>
        <v>99271</v>
      </c>
      <c r="J29" s="6">
        <f t="shared" si="3"/>
        <v>122</v>
      </c>
      <c r="K29" s="6">
        <f t="shared" si="4"/>
        <v>124</v>
      </c>
      <c r="L29" s="6">
        <f t="shared" si="5"/>
        <v>26</v>
      </c>
      <c r="M29" s="6">
        <f t="shared" si="6"/>
        <v>22</v>
      </c>
      <c r="N29" s="5">
        <f t="shared" si="7"/>
        <v>153.21428571428572</v>
      </c>
      <c r="O29" s="3">
        <f t="shared" si="8"/>
        <v>26</v>
      </c>
      <c r="P29" s="5">
        <f t="shared" si="9"/>
        <v>127.21428571428572</v>
      </c>
      <c r="Q29" s="5">
        <f t="shared" si="10"/>
        <v>25.833333333372138</v>
      </c>
      <c r="R29" s="7">
        <f t="shared" si="11"/>
        <v>928.57142857142856</v>
      </c>
      <c r="S29" s="6">
        <f t="shared" si="12"/>
        <v>272</v>
      </c>
      <c r="T29" s="7">
        <f t="shared" si="13"/>
        <v>656.57142857142856</v>
      </c>
      <c r="U29" s="7">
        <f t="shared" si="14"/>
        <v>1991.7857142857149</v>
      </c>
      <c r="V29" s="6">
        <f t="shared" si="15"/>
        <v>344</v>
      </c>
      <c r="W29" s="7">
        <f t="shared" si="16"/>
        <v>1647.7857142857149</v>
      </c>
      <c r="X29" s="7">
        <f t="shared" si="17"/>
        <v>12071.428571428574</v>
      </c>
      <c r="Y29" s="7">
        <f t="shared" si="18"/>
        <v>3655</v>
      </c>
      <c r="Z29" s="7">
        <f t="shared" si="19"/>
        <v>8416.4285714285743</v>
      </c>
      <c r="AA29" s="24">
        <f t="shared" si="20"/>
        <v>0.99674498443716508</v>
      </c>
      <c r="AB29" s="1"/>
    </row>
    <row r="30" spans="2:28" ht="18" x14ac:dyDescent="0.25">
      <c r="B30" s="3">
        <v>12</v>
      </c>
      <c r="C30" s="5">
        <f>C31+134</f>
        <v>246398</v>
      </c>
      <c r="D30" s="5">
        <f>D31+129</f>
        <v>540299</v>
      </c>
      <c r="E30" s="5">
        <f>E31+33</f>
        <v>119992</v>
      </c>
      <c r="F30" s="8">
        <f t="shared" si="0"/>
        <v>906689</v>
      </c>
      <c r="G30" s="22">
        <f t="shared" si="1"/>
        <v>906430</v>
      </c>
      <c r="H30" s="7">
        <f t="shared" si="2"/>
        <v>906456.875</v>
      </c>
      <c r="I30" s="5">
        <f t="shared" ref="I30:I36" si="26">I31+24</f>
        <v>99249</v>
      </c>
      <c r="J30" s="6">
        <f t="shared" si="3"/>
        <v>134</v>
      </c>
      <c r="K30" s="6">
        <f t="shared" si="4"/>
        <v>129</v>
      </c>
      <c r="L30" s="6">
        <f t="shared" si="5"/>
        <v>33</v>
      </c>
      <c r="M30" s="6">
        <f t="shared" si="6"/>
        <v>24</v>
      </c>
      <c r="N30" s="5">
        <f t="shared" si="7"/>
        <v>153.21428571428572</v>
      </c>
      <c r="O30" s="3">
        <f t="shared" si="8"/>
        <v>33</v>
      </c>
      <c r="P30" s="5">
        <f t="shared" si="9"/>
        <v>120.21428571428572</v>
      </c>
      <c r="Q30" s="5">
        <f t="shared" si="10"/>
        <v>26.875</v>
      </c>
      <c r="R30" s="7">
        <f t="shared" si="11"/>
        <v>928.57142857142856</v>
      </c>
      <c r="S30" s="6">
        <f t="shared" si="12"/>
        <v>296</v>
      </c>
      <c r="T30" s="7">
        <f t="shared" si="13"/>
        <v>632.57142857142856</v>
      </c>
      <c r="U30" s="7">
        <f t="shared" si="14"/>
        <v>1838.5714285714291</v>
      </c>
      <c r="V30" s="6">
        <f t="shared" si="15"/>
        <v>318</v>
      </c>
      <c r="W30" s="7">
        <f t="shared" si="16"/>
        <v>1520.5714285714291</v>
      </c>
      <c r="X30" s="7">
        <f t="shared" si="17"/>
        <v>11142.857142857145</v>
      </c>
      <c r="Y30" s="7">
        <f t="shared" si="18"/>
        <v>3383</v>
      </c>
      <c r="Z30" s="7">
        <f t="shared" si="19"/>
        <v>7759.8571428571449</v>
      </c>
      <c r="AA30" s="24">
        <f t="shared" si="20"/>
        <v>0.99672904811467589</v>
      </c>
      <c r="AB30" s="1"/>
    </row>
    <row r="31" spans="2:28" ht="18" x14ac:dyDescent="0.25">
      <c r="B31" s="3">
        <v>11</v>
      </c>
      <c r="C31" s="5">
        <f>C32+111</f>
        <v>246264</v>
      </c>
      <c r="D31" s="5">
        <f t="shared" ref="D31" si="27">D32+134</f>
        <v>540170</v>
      </c>
      <c r="E31" s="5">
        <f>E32+23</f>
        <v>119959</v>
      </c>
      <c r="F31" s="8">
        <f t="shared" si="0"/>
        <v>906393</v>
      </c>
      <c r="G31" s="22">
        <f t="shared" si="1"/>
        <v>906158.5</v>
      </c>
      <c r="H31" s="7">
        <f t="shared" si="2"/>
        <v>906186.41666666663</v>
      </c>
      <c r="I31" s="5">
        <f>I32+19</f>
        <v>99225</v>
      </c>
      <c r="J31" s="6">
        <f t="shared" si="3"/>
        <v>111</v>
      </c>
      <c r="K31" s="6">
        <f t="shared" si="4"/>
        <v>134</v>
      </c>
      <c r="L31" s="6">
        <f t="shared" si="5"/>
        <v>23</v>
      </c>
      <c r="M31" s="6">
        <f t="shared" si="6"/>
        <v>19</v>
      </c>
      <c r="N31" s="5">
        <f t="shared" si="7"/>
        <v>153.21428571428572</v>
      </c>
      <c r="O31" s="3">
        <f t="shared" si="8"/>
        <v>23</v>
      </c>
      <c r="P31" s="5">
        <f t="shared" si="9"/>
        <v>130.21428571428572</v>
      </c>
      <c r="Q31" s="5">
        <f t="shared" si="10"/>
        <v>27.916666666627862</v>
      </c>
      <c r="R31" s="7">
        <f t="shared" si="11"/>
        <v>928.57142857142856</v>
      </c>
      <c r="S31" s="6">
        <f t="shared" si="12"/>
        <v>268</v>
      </c>
      <c r="T31" s="7">
        <f t="shared" si="13"/>
        <v>660.57142857142856</v>
      </c>
      <c r="U31" s="7">
        <f t="shared" si="14"/>
        <v>1685.3571428571433</v>
      </c>
      <c r="V31" s="6">
        <f t="shared" si="15"/>
        <v>285</v>
      </c>
      <c r="W31" s="7">
        <f t="shared" si="16"/>
        <v>1400.3571428571433</v>
      </c>
      <c r="X31" s="7">
        <f t="shared" si="17"/>
        <v>10214.285714285716</v>
      </c>
      <c r="Y31" s="7">
        <f t="shared" si="18"/>
        <v>3087</v>
      </c>
      <c r="Z31" s="7">
        <f t="shared" si="19"/>
        <v>7127.2857142857156</v>
      </c>
      <c r="AA31" s="24">
        <f t="shared" si="20"/>
        <v>0.99749634636071649</v>
      </c>
      <c r="AB31" s="1"/>
    </row>
    <row r="32" spans="2:28" ht="18" x14ac:dyDescent="0.25">
      <c r="B32" s="3">
        <v>10</v>
      </c>
      <c r="C32" s="5">
        <f>C33+119</f>
        <v>246153</v>
      </c>
      <c r="D32" s="5">
        <f>D33+147</f>
        <v>540036</v>
      </c>
      <c r="E32" s="5">
        <f>E33+25</f>
        <v>119936</v>
      </c>
      <c r="F32" s="8">
        <f t="shared" si="0"/>
        <v>906125</v>
      </c>
      <c r="G32" s="22">
        <f t="shared" si="1"/>
        <v>905870.375</v>
      </c>
      <c r="H32" s="7">
        <f t="shared" si="2"/>
        <v>905901</v>
      </c>
      <c r="I32" s="5">
        <f t="shared" si="26"/>
        <v>99206</v>
      </c>
      <c r="J32" s="6">
        <f t="shared" si="3"/>
        <v>119</v>
      </c>
      <c r="K32" s="6">
        <f t="shared" si="4"/>
        <v>147</v>
      </c>
      <c r="L32" s="6">
        <f t="shared" si="5"/>
        <v>25</v>
      </c>
      <c r="M32" s="6">
        <f t="shared" si="6"/>
        <v>24</v>
      </c>
      <c r="N32" s="5">
        <f t="shared" si="7"/>
        <v>153.21428571428572</v>
      </c>
      <c r="O32" s="3">
        <f t="shared" si="8"/>
        <v>25</v>
      </c>
      <c r="P32" s="5">
        <f t="shared" si="9"/>
        <v>128.21428571428572</v>
      </c>
      <c r="Q32" s="5">
        <f t="shared" si="10"/>
        <v>30.625</v>
      </c>
      <c r="R32" s="7">
        <f t="shared" si="11"/>
        <v>928.57142857142856</v>
      </c>
      <c r="S32" s="6">
        <f t="shared" si="12"/>
        <v>291</v>
      </c>
      <c r="T32" s="7">
        <f t="shared" si="13"/>
        <v>637.57142857142856</v>
      </c>
      <c r="U32" s="7">
        <f t="shared" si="14"/>
        <v>1532.1428571428576</v>
      </c>
      <c r="V32" s="6">
        <f t="shared" si="15"/>
        <v>262</v>
      </c>
      <c r="W32" s="7">
        <f t="shared" si="16"/>
        <v>1270.1428571428576</v>
      </c>
      <c r="X32" s="7">
        <f t="shared" si="17"/>
        <v>9285.7142857142862</v>
      </c>
      <c r="Y32" s="7">
        <f t="shared" si="18"/>
        <v>2819</v>
      </c>
      <c r="Z32" s="7">
        <f t="shared" si="19"/>
        <v>6466.7142857142862</v>
      </c>
      <c r="AA32" s="24">
        <f t="shared" si="20"/>
        <v>0.99661625338340232</v>
      </c>
      <c r="AB32" s="1"/>
    </row>
    <row r="33" spans="2:28" ht="18" x14ac:dyDescent="0.25">
      <c r="B33" s="3">
        <v>9</v>
      </c>
      <c r="C33" s="5">
        <f>C34+123</f>
        <v>246034</v>
      </c>
      <c r="D33" s="5">
        <f>D34+144</f>
        <v>539889</v>
      </c>
      <c r="E33" s="5">
        <f>E34+29</f>
        <v>119911</v>
      </c>
      <c r="F33" s="8">
        <f t="shared" si="0"/>
        <v>905834</v>
      </c>
      <c r="G33" s="22">
        <f t="shared" si="1"/>
        <v>905575</v>
      </c>
      <c r="H33" s="7">
        <f t="shared" si="2"/>
        <v>905605</v>
      </c>
      <c r="I33" s="5">
        <f>I34+18</f>
        <v>99182</v>
      </c>
      <c r="J33" s="6">
        <f t="shared" si="3"/>
        <v>123</v>
      </c>
      <c r="K33" s="6">
        <f t="shared" si="4"/>
        <v>144</v>
      </c>
      <c r="L33" s="6">
        <f t="shared" si="5"/>
        <v>29</v>
      </c>
      <c r="M33" s="6">
        <f t="shared" si="6"/>
        <v>18</v>
      </c>
      <c r="N33" s="5">
        <f t="shared" si="7"/>
        <v>153.21428571428572</v>
      </c>
      <c r="O33" s="3">
        <f t="shared" si="8"/>
        <v>29</v>
      </c>
      <c r="P33" s="5">
        <f t="shared" si="9"/>
        <v>124.21428571428572</v>
      </c>
      <c r="Q33" s="5">
        <f t="shared" si="10"/>
        <v>30</v>
      </c>
      <c r="R33" s="7">
        <f t="shared" si="11"/>
        <v>928.57142857142856</v>
      </c>
      <c r="S33" s="6">
        <f t="shared" si="12"/>
        <v>296</v>
      </c>
      <c r="T33" s="7">
        <f t="shared" si="13"/>
        <v>632.57142857142856</v>
      </c>
      <c r="U33" s="7">
        <f t="shared" si="14"/>
        <v>1378.9285714285718</v>
      </c>
      <c r="V33" s="6">
        <f t="shared" si="15"/>
        <v>237</v>
      </c>
      <c r="W33" s="7">
        <f t="shared" si="16"/>
        <v>1141.9285714285718</v>
      </c>
      <c r="X33" s="7">
        <f t="shared" si="17"/>
        <v>8357.1428571428569</v>
      </c>
      <c r="Y33" s="7">
        <f t="shared" si="18"/>
        <v>2528</v>
      </c>
      <c r="Z33" s="7">
        <f t="shared" si="19"/>
        <v>5829.1428571428569</v>
      </c>
      <c r="AA33" s="24">
        <f t="shared" si="20"/>
        <v>0.99815613496829569</v>
      </c>
      <c r="AB33" s="1"/>
    </row>
    <row r="34" spans="2:28" ht="18" x14ac:dyDescent="0.25">
      <c r="B34" s="3">
        <v>8</v>
      </c>
      <c r="C34" s="5">
        <f>C35+127</f>
        <v>245911</v>
      </c>
      <c r="D34" s="5">
        <f>D35+139</f>
        <v>539745</v>
      </c>
      <c r="E34" s="5">
        <f t="shared" si="23"/>
        <v>119882</v>
      </c>
      <c r="F34" s="8">
        <f t="shared" si="0"/>
        <v>905538</v>
      </c>
      <c r="G34" s="22">
        <f t="shared" si="1"/>
        <v>905282.5</v>
      </c>
      <c r="H34" s="7">
        <f t="shared" si="2"/>
        <v>905311.45833333337</v>
      </c>
      <c r="I34" s="5">
        <f>I35+20</f>
        <v>99164</v>
      </c>
      <c r="J34" s="6">
        <f t="shared" si="3"/>
        <v>127</v>
      </c>
      <c r="K34" s="6">
        <f t="shared" si="4"/>
        <v>139</v>
      </c>
      <c r="L34" s="6">
        <f t="shared" si="5"/>
        <v>26</v>
      </c>
      <c r="M34" s="6">
        <f t="shared" si="6"/>
        <v>20</v>
      </c>
      <c r="N34" s="5">
        <f t="shared" si="7"/>
        <v>153.21428571428572</v>
      </c>
      <c r="O34" s="3">
        <f t="shared" si="8"/>
        <v>26</v>
      </c>
      <c r="P34" s="5">
        <f t="shared" si="9"/>
        <v>127.21428571428572</v>
      </c>
      <c r="Q34" s="5">
        <f t="shared" si="10"/>
        <v>28.958333333372138</v>
      </c>
      <c r="R34" s="7">
        <f t="shared" si="11"/>
        <v>928.57142857142856</v>
      </c>
      <c r="S34" s="6">
        <f t="shared" si="12"/>
        <v>292</v>
      </c>
      <c r="T34" s="7">
        <f t="shared" si="13"/>
        <v>636.57142857142856</v>
      </c>
      <c r="U34" s="7">
        <f t="shared" si="14"/>
        <v>1225.714285714286</v>
      </c>
      <c r="V34" s="6">
        <f t="shared" si="15"/>
        <v>208</v>
      </c>
      <c r="W34" s="7">
        <f t="shared" si="16"/>
        <v>1017.714285714286</v>
      </c>
      <c r="X34" s="7">
        <f t="shared" si="17"/>
        <v>7428.5714285714284</v>
      </c>
      <c r="Y34" s="7">
        <f t="shared" si="18"/>
        <v>2232</v>
      </c>
      <c r="Z34" s="7">
        <f t="shared" si="19"/>
        <v>5196.5714285714284</v>
      </c>
      <c r="AA34" s="24">
        <f t="shared" si="20"/>
        <v>0.99766256517344065</v>
      </c>
      <c r="AB34" s="1"/>
    </row>
    <row r="35" spans="2:28" ht="18" x14ac:dyDescent="0.25">
      <c r="B35" s="3">
        <v>7</v>
      </c>
      <c r="C35" s="5">
        <f>C36+115</f>
        <v>245784</v>
      </c>
      <c r="D35" s="5">
        <f>D36+134</f>
        <v>539606</v>
      </c>
      <c r="E35" s="5">
        <f>E36+22</f>
        <v>119856</v>
      </c>
      <c r="F35" s="8">
        <f t="shared" si="0"/>
        <v>905246</v>
      </c>
      <c r="G35" s="22">
        <f t="shared" si="1"/>
        <v>905008.875</v>
      </c>
      <c r="H35" s="7">
        <f t="shared" si="2"/>
        <v>905036.79166666663</v>
      </c>
      <c r="I35" s="5">
        <f>I36+23</f>
        <v>99144</v>
      </c>
      <c r="J35" s="6">
        <f t="shared" si="3"/>
        <v>115</v>
      </c>
      <c r="K35" s="6">
        <f t="shared" si="4"/>
        <v>134</v>
      </c>
      <c r="L35" s="6">
        <f t="shared" si="5"/>
        <v>22</v>
      </c>
      <c r="M35" s="6">
        <f t="shared" si="6"/>
        <v>23</v>
      </c>
      <c r="N35" s="5">
        <f t="shared" si="7"/>
        <v>153.21428571428572</v>
      </c>
      <c r="O35" s="3">
        <f t="shared" si="8"/>
        <v>22</v>
      </c>
      <c r="P35" s="5">
        <f t="shared" si="9"/>
        <v>131.21428571428572</v>
      </c>
      <c r="Q35" s="5">
        <f t="shared" si="10"/>
        <v>27.916666666627862</v>
      </c>
      <c r="R35" s="7">
        <f t="shared" si="11"/>
        <v>928.57142857142856</v>
      </c>
      <c r="S35" s="6">
        <f t="shared" si="12"/>
        <v>271</v>
      </c>
      <c r="T35" s="7">
        <f t="shared" si="13"/>
        <v>657.57142857142856</v>
      </c>
      <c r="U35" s="7">
        <f t="shared" si="14"/>
        <v>1072.5000000000002</v>
      </c>
      <c r="V35" s="6">
        <f t="shared" si="15"/>
        <v>182</v>
      </c>
      <c r="W35" s="7">
        <f t="shared" si="16"/>
        <v>890.50000000000023</v>
      </c>
      <c r="X35" s="7">
        <f t="shared" si="17"/>
        <v>6500</v>
      </c>
      <c r="Y35" s="7">
        <f t="shared" si="18"/>
        <v>1940</v>
      </c>
      <c r="Z35" s="7">
        <f t="shared" si="19"/>
        <v>4560</v>
      </c>
      <c r="AA35" s="24">
        <f t="shared" si="20"/>
        <v>0.99641780999496676</v>
      </c>
      <c r="AB35" s="1"/>
    </row>
    <row r="36" spans="2:28" ht="18" x14ac:dyDescent="0.25">
      <c r="B36" s="3">
        <v>6</v>
      </c>
      <c r="C36" s="5">
        <f>C37+122</f>
        <v>245669</v>
      </c>
      <c r="D36" s="5">
        <f>D37+131</f>
        <v>539472</v>
      </c>
      <c r="E36" s="5">
        <f>E37+20</f>
        <v>119834</v>
      </c>
      <c r="F36" s="8">
        <f t="shared" si="0"/>
        <v>904975</v>
      </c>
      <c r="G36" s="22">
        <f t="shared" si="1"/>
        <v>904736.125</v>
      </c>
      <c r="H36" s="7">
        <f t="shared" si="2"/>
        <v>904763.41666666663</v>
      </c>
      <c r="I36" s="5">
        <f t="shared" si="26"/>
        <v>99121</v>
      </c>
      <c r="J36" s="6">
        <f t="shared" si="3"/>
        <v>122</v>
      </c>
      <c r="K36" s="6">
        <f t="shared" si="4"/>
        <v>131</v>
      </c>
      <c r="L36" s="6">
        <f t="shared" si="5"/>
        <v>20</v>
      </c>
      <c r="M36" s="6">
        <f t="shared" si="6"/>
        <v>24</v>
      </c>
      <c r="N36" s="5">
        <f t="shared" si="7"/>
        <v>153.21428571428572</v>
      </c>
      <c r="O36" s="3">
        <f t="shared" si="8"/>
        <v>20</v>
      </c>
      <c r="P36" s="5">
        <f t="shared" si="9"/>
        <v>133.21428571428572</v>
      </c>
      <c r="Q36" s="5">
        <f t="shared" si="10"/>
        <v>27.291666666627862</v>
      </c>
      <c r="R36" s="7">
        <f t="shared" si="11"/>
        <v>928.57142857142856</v>
      </c>
      <c r="S36" s="6">
        <f t="shared" si="12"/>
        <v>273</v>
      </c>
      <c r="T36" s="7">
        <f t="shared" si="13"/>
        <v>655.57142857142856</v>
      </c>
      <c r="U36" s="7">
        <f t="shared" si="14"/>
        <v>919.28571428571445</v>
      </c>
      <c r="V36" s="6">
        <f t="shared" si="15"/>
        <v>160</v>
      </c>
      <c r="W36" s="7">
        <f t="shared" si="16"/>
        <v>759.28571428571445</v>
      </c>
      <c r="X36" s="7">
        <f t="shared" si="17"/>
        <v>5571.4285714285716</v>
      </c>
      <c r="Y36" s="7">
        <f t="shared" si="18"/>
        <v>1669</v>
      </c>
      <c r="Z36" s="7">
        <f t="shared" si="19"/>
        <v>3902.4285714285716</v>
      </c>
      <c r="AA36" s="24">
        <f t="shared" si="20"/>
        <v>0.99615798795584853</v>
      </c>
      <c r="AB36" s="1"/>
    </row>
    <row r="37" spans="2:28" ht="17.45" x14ac:dyDescent="0.3">
      <c r="B37" s="3">
        <v>5</v>
      </c>
      <c r="C37" s="5">
        <f>C38+116</f>
        <v>245547</v>
      </c>
      <c r="D37" s="5">
        <f>D38+136</f>
        <v>539341</v>
      </c>
      <c r="E37" s="5">
        <f>E38+28</f>
        <v>119814</v>
      </c>
      <c r="F37" s="8">
        <f t="shared" si="0"/>
        <v>904702</v>
      </c>
      <c r="G37" s="22">
        <f t="shared" si="1"/>
        <v>904457</v>
      </c>
      <c r="H37" s="7">
        <f t="shared" si="2"/>
        <v>904485.33333333337</v>
      </c>
      <c r="I37" s="5">
        <f>I38+25</f>
        <v>99097</v>
      </c>
      <c r="J37" s="6">
        <f t="shared" si="3"/>
        <v>116</v>
      </c>
      <c r="K37" s="6">
        <f t="shared" si="4"/>
        <v>136</v>
      </c>
      <c r="L37" s="6">
        <f t="shared" si="5"/>
        <v>28</v>
      </c>
      <c r="M37" s="6">
        <f t="shared" si="6"/>
        <v>25</v>
      </c>
      <c r="N37" s="5">
        <f t="shared" si="7"/>
        <v>153.21428571428572</v>
      </c>
      <c r="O37" s="3">
        <f t="shared" si="8"/>
        <v>28</v>
      </c>
      <c r="P37" s="5">
        <f t="shared" si="9"/>
        <v>125.21428571428572</v>
      </c>
      <c r="Q37" s="5">
        <f t="shared" si="10"/>
        <v>28.333333333372138</v>
      </c>
      <c r="R37" s="7">
        <f t="shared" si="11"/>
        <v>928.57142857142856</v>
      </c>
      <c r="S37" s="6">
        <f t="shared" si="12"/>
        <v>280</v>
      </c>
      <c r="T37" s="7">
        <f t="shared" si="13"/>
        <v>648.57142857142856</v>
      </c>
      <c r="U37" s="7">
        <f t="shared" si="14"/>
        <v>766.07142857142867</v>
      </c>
      <c r="V37" s="6">
        <f t="shared" si="15"/>
        <v>140</v>
      </c>
      <c r="W37" s="7">
        <f t="shared" si="16"/>
        <v>626.07142857142867</v>
      </c>
      <c r="X37" s="7">
        <f t="shared" si="17"/>
        <v>4642.8571428571431</v>
      </c>
      <c r="Y37" s="7">
        <f t="shared" si="18"/>
        <v>1396</v>
      </c>
      <c r="Z37" s="7">
        <f t="shared" si="19"/>
        <v>3246.8571428571431</v>
      </c>
      <c r="AA37" s="24">
        <f t="shared" si="20"/>
        <v>0.99603770531446179</v>
      </c>
      <c r="AB37" s="1"/>
    </row>
    <row r="38" spans="2:28" ht="17.45" x14ac:dyDescent="0.3">
      <c r="B38" s="3">
        <v>4</v>
      </c>
      <c r="C38" s="5">
        <f>C39+119</f>
        <v>245431</v>
      </c>
      <c r="D38" s="5">
        <f>D39+126</f>
        <v>539205</v>
      </c>
      <c r="E38" s="5">
        <f>E39+31</f>
        <v>119786</v>
      </c>
      <c r="F38" s="8">
        <f t="shared" si="0"/>
        <v>904422</v>
      </c>
      <c r="G38" s="22">
        <f t="shared" si="1"/>
        <v>904180.5</v>
      </c>
      <c r="H38" s="7">
        <f t="shared" si="2"/>
        <v>904206.75</v>
      </c>
      <c r="I38" s="5">
        <f>I39+17</f>
        <v>99072</v>
      </c>
      <c r="J38" s="6">
        <f t="shared" si="3"/>
        <v>119</v>
      </c>
      <c r="K38" s="6">
        <f t="shared" si="4"/>
        <v>126</v>
      </c>
      <c r="L38" s="6">
        <f t="shared" si="5"/>
        <v>31</v>
      </c>
      <c r="M38" s="6">
        <f t="shared" si="6"/>
        <v>17</v>
      </c>
      <c r="N38" s="5">
        <f t="shared" si="7"/>
        <v>153.21428571428572</v>
      </c>
      <c r="O38" s="3">
        <f t="shared" si="8"/>
        <v>31</v>
      </c>
      <c r="P38" s="5">
        <f t="shared" si="9"/>
        <v>122.21428571428572</v>
      </c>
      <c r="Q38" s="5">
        <f t="shared" si="10"/>
        <v>26.25</v>
      </c>
      <c r="R38" s="7">
        <f t="shared" si="11"/>
        <v>928.57142857142856</v>
      </c>
      <c r="S38" s="6">
        <f t="shared" si="12"/>
        <v>276</v>
      </c>
      <c r="T38" s="7">
        <f t="shared" si="13"/>
        <v>652.57142857142856</v>
      </c>
      <c r="U38" s="7">
        <f t="shared" si="14"/>
        <v>612.85714285714289</v>
      </c>
      <c r="V38" s="6">
        <f t="shared" si="15"/>
        <v>112</v>
      </c>
      <c r="W38" s="7">
        <f t="shared" si="16"/>
        <v>500.85714285714289</v>
      </c>
      <c r="X38" s="7">
        <f t="shared" si="17"/>
        <v>3714.2857142857142</v>
      </c>
      <c r="Y38" s="7">
        <f t="shared" si="18"/>
        <v>1116</v>
      </c>
      <c r="Z38" s="7">
        <f t="shared" si="19"/>
        <v>2598.2857142857142</v>
      </c>
      <c r="AA38" s="24">
        <f t="shared" si="20"/>
        <v>0.99810845755159772</v>
      </c>
      <c r="AB38" s="1"/>
    </row>
    <row r="39" spans="2:28" ht="17.45" x14ac:dyDescent="0.3">
      <c r="B39" s="3">
        <v>3</v>
      </c>
      <c r="C39" s="5">
        <f>C40+121</f>
        <v>245312</v>
      </c>
      <c r="D39" s="5">
        <f>D40+131</f>
        <v>539079</v>
      </c>
      <c r="E39" s="5">
        <f t="shared" si="23"/>
        <v>119755</v>
      </c>
      <c r="F39" s="8">
        <f t="shared" si="0"/>
        <v>904146</v>
      </c>
      <c r="G39" s="22">
        <f t="shared" si="1"/>
        <v>903902.75</v>
      </c>
      <c r="H39" s="7">
        <f t="shared" si="2"/>
        <v>903930.04166666663</v>
      </c>
      <c r="I39" s="5">
        <f>I40+21</f>
        <v>99055</v>
      </c>
      <c r="J39" s="6">
        <f t="shared" si="3"/>
        <v>121</v>
      </c>
      <c r="K39" s="6">
        <f t="shared" si="4"/>
        <v>131</v>
      </c>
      <c r="L39" s="6">
        <f t="shared" si="5"/>
        <v>26</v>
      </c>
      <c r="M39" s="6">
        <f t="shared" si="6"/>
        <v>21</v>
      </c>
      <c r="N39" s="5">
        <f t="shared" si="7"/>
        <v>153.21428571428572</v>
      </c>
      <c r="O39" s="3">
        <f t="shared" si="8"/>
        <v>26</v>
      </c>
      <c r="P39" s="5">
        <f t="shared" si="9"/>
        <v>127.21428571428572</v>
      </c>
      <c r="Q39" s="5">
        <f t="shared" si="10"/>
        <v>27.291666666627862</v>
      </c>
      <c r="R39" s="7">
        <f t="shared" si="11"/>
        <v>928.57142857142856</v>
      </c>
      <c r="S39" s="6">
        <f t="shared" si="12"/>
        <v>278</v>
      </c>
      <c r="T39" s="7">
        <f t="shared" si="13"/>
        <v>650.57142857142856</v>
      </c>
      <c r="U39" s="7">
        <f t="shared" si="14"/>
        <v>459.64285714285717</v>
      </c>
      <c r="V39" s="6">
        <f t="shared" si="15"/>
        <v>81</v>
      </c>
      <c r="W39" s="7">
        <f t="shared" si="16"/>
        <v>378.64285714285717</v>
      </c>
      <c r="X39" s="7">
        <f t="shared" si="17"/>
        <v>2785.7142857142858</v>
      </c>
      <c r="Y39" s="7">
        <f t="shared" si="18"/>
        <v>840</v>
      </c>
      <c r="Z39" s="7">
        <f t="shared" si="19"/>
        <v>1945.7142857142858</v>
      </c>
      <c r="AA39" s="24">
        <f t="shared" si="20"/>
        <v>0.99715903941518957</v>
      </c>
      <c r="AB39" s="1"/>
    </row>
    <row r="40" spans="2:28" ht="17.45" x14ac:dyDescent="0.3">
      <c r="B40" s="3">
        <v>2</v>
      </c>
      <c r="C40" s="5">
        <f>C41+124</f>
        <v>245191</v>
      </c>
      <c r="D40" s="5">
        <f>D41+129</f>
        <v>538948</v>
      </c>
      <c r="E40" s="5">
        <f>E41+29</f>
        <v>119729</v>
      </c>
      <c r="F40" s="8">
        <f t="shared" si="0"/>
        <v>903868</v>
      </c>
      <c r="G40" s="22">
        <f t="shared" si="1"/>
        <v>903621.25</v>
      </c>
      <c r="H40" s="7">
        <f t="shared" si="2"/>
        <v>903648.125</v>
      </c>
      <c r="I40" s="5">
        <f>I41+22</f>
        <v>99034</v>
      </c>
      <c r="J40" s="6">
        <f t="shared" si="3"/>
        <v>124</v>
      </c>
      <c r="K40" s="6">
        <f t="shared" si="4"/>
        <v>129</v>
      </c>
      <c r="L40" s="6">
        <f t="shared" si="5"/>
        <v>29</v>
      </c>
      <c r="M40" s="6">
        <f t="shared" si="6"/>
        <v>22</v>
      </c>
      <c r="N40" s="5">
        <f t="shared" si="7"/>
        <v>153.21428571428572</v>
      </c>
      <c r="O40" s="3">
        <f t="shared" si="8"/>
        <v>29</v>
      </c>
      <c r="P40" s="5">
        <f t="shared" si="9"/>
        <v>124.21428571428572</v>
      </c>
      <c r="Q40" s="5">
        <f t="shared" si="10"/>
        <v>26.875</v>
      </c>
      <c r="R40" s="7">
        <f>R41</f>
        <v>928.57142857142856</v>
      </c>
      <c r="S40" s="6">
        <f t="shared" si="12"/>
        <v>282</v>
      </c>
      <c r="T40" s="7">
        <f t="shared" si="13"/>
        <v>646.57142857142856</v>
      </c>
      <c r="U40" s="7">
        <f t="shared" si="14"/>
        <v>306.42857142857144</v>
      </c>
      <c r="V40" s="6">
        <f t="shared" si="15"/>
        <v>55</v>
      </c>
      <c r="W40" s="7">
        <f t="shared" si="16"/>
        <v>251.42857142857144</v>
      </c>
      <c r="X40" s="7">
        <f t="shared" si="17"/>
        <v>1857.1428571428571</v>
      </c>
      <c r="Y40" s="7">
        <f t="shared" si="18"/>
        <v>562</v>
      </c>
      <c r="Z40" s="7">
        <f t="shared" si="19"/>
        <v>1295.1428571428571</v>
      </c>
      <c r="AA40" s="24">
        <f t="shared" si="20"/>
        <v>0.99697071418347394</v>
      </c>
      <c r="AB40" s="1"/>
    </row>
    <row r="41" spans="2:28" ht="18" thickBot="1" x14ac:dyDescent="0.35">
      <c r="B41" s="3">
        <v>1</v>
      </c>
      <c r="C41" s="5">
        <f>C42+120</f>
        <v>245067</v>
      </c>
      <c r="D41" s="5">
        <f>D42+134</f>
        <v>538819</v>
      </c>
      <c r="E41" s="5">
        <f>E42+26</f>
        <v>119700</v>
      </c>
      <c r="F41" s="8">
        <f t="shared" si="0"/>
        <v>903586</v>
      </c>
      <c r="G41" s="22">
        <f>(C42+D42+E42)+((S41/24)*3)</f>
        <v>903341</v>
      </c>
      <c r="H41" s="7">
        <f>G41+((K41/12)*2.5)</f>
        <v>903368.91666666663</v>
      </c>
      <c r="I41" s="5">
        <f>I42+24</f>
        <v>99012</v>
      </c>
      <c r="J41" s="6">
        <f>C41-C42</f>
        <v>120</v>
      </c>
      <c r="K41" s="6">
        <f>D41-D42</f>
        <v>134</v>
      </c>
      <c r="L41" s="6">
        <f>E41-E42</f>
        <v>26</v>
      </c>
      <c r="M41" s="6">
        <f>I41-I42</f>
        <v>24</v>
      </c>
      <c r="N41" s="43">
        <f>O6/28</f>
        <v>153.21428571428572</v>
      </c>
      <c r="O41" s="3">
        <f t="shared" si="8"/>
        <v>26</v>
      </c>
      <c r="P41" s="5">
        <f t="shared" si="9"/>
        <v>127.21428571428572</v>
      </c>
      <c r="Q41" s="5">
        <f t="shared" si="10"/>
        <v>27.916666666627862</v>
      </c>
      <c r="R41" s="45">
        <f>S6/28</f>
        <v>928.57142857142856</v>
      </c>
      <c r="S41" s="6">
        <f t="shared" si="12"/>
        <v>280</v>
      </c>
      <c r="T41" s="7">
        <f t="shared" si="13"/>
        <v>648.57142857142856</v>
      </c>
      <c r="U41" s="7">
        <f>N41</f>
        <v>153.21428571428572</v>
      </c>
      <c r="V41" s="6">
        <f>O41</f>
        <v>26</v>
      </c>
      <c r="W41" s="7">
        <f t="shared" si="16"/>
        <v>127.21428571428572</v>
      </c>
      <c r="X41" s="7">
        <f>R41</f>
        <v>928.57142857142856</v>
      </c>
      <c r="Y41" s="7">
        <f>S41</f>
        <v>280</v>
      </c>
      <c r="Z41" s="7">
        <f t="shared" si="19"/>
        <v>648.57142857142856</v>
      </c>
      <c r="AA41" s="56">
        <f t="shared" si="20"/>
        <v>0.99634664904175096</v>
      </c>
      <c r="AB41" s="1"/>
    </row>
    <row r="42" spans="2:28" ht="52.9" thickBot="1" x14ac:dyDescent="0.35">
      <c r="B42" s="33" t="s">
        <v>13</v>
      </c>
      <c r="C42" s="3">
        <v>244947</v>
      </c>
      <c r="D42" s="3">
        <v>538685</v>
      </c>
      <c r="E42" s="3">
        <v>119674</v>
      </c>
      <c r="F42" s="9">
        <v>903306</v>
      </c>
      <c r="G42" s="9">
        <v>903248.60416666663</v>
      </c>
      <c r="H42" s="9">
        <v>903248.60416666663</v>
      </c>
      <c r="I42" s="3">
        <v>98988</v>
      </c>
      <c r="J42" s="10"/>
      <c r="K42" s="10"/>
      <c r="L42" s="10"/>
      <c r="M42" s="46">
        <f>SUM(M14:M41)</f>
        <v>622</v>
      </c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57">
        <f>AVERAGE(AA11:AA41)</f>
        <v>0.9964187100104418</v>
      </c>
    </row>
    <row r="43" spans="2:28" ht="17.45" x14ac:dyDescent="0.3">
      <c r="B43" s="34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2:28" ht="17.45" x14ac:dyDescent="0.3"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2:28" ht="17.45" x14ac:dyDescent="0.3"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9" spans="26:27" ht="18" x14ac:dyDescent="0.25">
      <c r="Z49" s="10" t="s">
        <v>38</v>
      </c>
    </row>
    <row r="50" spans="26:27" ht="18" x14ac:dyDescent="0.25">
      <c r="Z50" s="10" t="s">
        <v>44</v>
      </c>
      <c r="AA50" s="10"/>
    </row>
    <row r="51" spans="26:27" ht="18" x14ac:dyDescent="0.25">
      <c r="Z51" s="10" t="s">
        <v>45</v>
      </c>
      <c r="AA51" s="10"/>
    </row>
    <row r="52" spans="26:27" ht="18" x14ac:dyDescent="0.25">
      <c r="Z52" s="10" t="s">
        <v>12</v>
      </c>
      <c r="AA52" s="10"/>
    </row>
  </sheetData>
  <mergeCells count="9">
    <mergeCell ref="U7:W7"/>
    <mergeCell ref="X7:AA7"/>
    <mergeCell ref="AB7:AB8"/>
    <mergeCell ref="B7:B8"/>
    <mergeCell ref="C7:I7"/>
    <mergeCell ref="J7:M7"/>
    <mergeCell ref="N7:P7"/>
    <mergeCell ref="Q7:Q8"/>
    <mergeCell ref="R7:T7"/>
  </mergeCells>
  <printOptions horizontalCentered="1"/>
  <pageMargins left="0.25" right="0.25" top="0.75" bottom="0.75" header="0.3" footer="0.3"/>
  <pageSetup paperSize="9" scale="4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pageSetUpPr fitToPage="1"/>
  </sheetPr>
  <dimension ref="B2:AB54"/>
  <sheetViews>
    <sheetView topLeftCell="A8" zoomScale="85" zoomScaleNormal="85" zoomScaleSheetLayoutView="70" workbookViewId="0">
      <selection activeCell="A11" sqref="A11:XFD13"/>
    </sheetView>
  </sheetViews>
  <sheetFormatPr baseColWidth="10" defaultColWidth="11.42578125" defaultRowHeight="15" x14ac:dyDescent="0.25"/>
  <cols>
    <col min="1" max="2" width="11.42578125" customWidth="1"/>
    <col min="3" max="3" width="12.28515625" bestFit="1" customWidth="1"/>
    <col min="4" max="4" width="10.5703125" customWidth="1"/>
    <col min="5" max="5" width="11.42578125" customWidth="1"/>
    <col min="6" max="6" width="12.28515625" customWidth="1"/>
    <col min="7" max="7" width="11.42578125" customWidth="1"/>
    <col min="8" max="9" width="12.28515625" bestFit="1" customWidth="1"/>
    <col min="13" max="13" width="18.28515625" customWidth="1"/>
    <col min="16" max="16" width="13.42578125" bestFit="1" customWidth="1"/>
    <col min="17" max="17" width="13.140625" customWidth="1"/>
    <col min="20" max="20" width="14.7109375" bestFit="1" customWidth="1"/>
    <col min="21" max="21" width="11.7109375" bestFit="1" customWidth="1"/>
    <col min="22" max="22" width="13.28515625" bestFit="1" customWidth="1"/>
    <col min="23" max="23" width="12.5703125" bestFit="1" customWidth="1"/>
    <col min="24" max="24" width="11.5703125" bestFit="1" customWidth="1"/>
    <col min="25" max="25" width="14" bestFit="1" customWidth="1"/>
    <col min="26" max="26" width="13.42578125" bestFit="1" customWidth="1"/>
    <col min="27" max="27" width="15.140625" customWidth="1"/>
    <col min="28" max="28" width="16.140625" customWidth="1"/>
  </cols>
  <sheetData>
    <row r="2" spans="2:28" ht="15.75" customHeight="1" x14ac:dyDescent="0.25">
      <c r="G2" s="26" t="s">
        <v>29</v>
      </c>
    </row>
    <row r="3" spans="2:28" ht="15.75" customHeight="1" x14ac:dyDescent="0.25">
      <c r="G3" s="26" t="s">
        <v>28</v>
      </c>
    </row>
    <row r="4" spans="2:28" ht="15.75" customHeight="1" x14ac:dyDescent="0.35">
      <c r="G4" s="27" t="s">
        <v>30</v>
      </c>
      <c r="N4" s="36">
        <f>'Ciencia A'!N4</f>
        <v>45689</v>
      </c>
    </row>
    <row r="5" spans="2:28" x14ac:dyDescent="0.25">
      <c r="C5" s="86" t="s">
        <v>31</v>
      </c>
      <c r="D5" s="86"/>
      <c r="T5" s="52"/>
      <c r="U5" s="52" t="s">
        <v>42</v>
      </c>
      <c r="V5" s="52" t="s">
        <v>43</v>
      </c>
    </row>
    <row r="6" spans="2:28" ht="18.75" x14ac:dyDescent="0.3">
      <c r="N6" s="13" t="s">
        <v>27</v>
      </c>
      <c r="O6" s="29">
        <f>S6*16.5%</f>
        <v>1650</v>
      </c>
      <c r="P6" s="30" t="s">
        <v>26</v>
      </c>
      <c r="Q6" s="11">
        <f>(S6*8)/100</f>
        <v>800</v>
      </c>
      <c r="R6" s="13" t="s">
        <v>25</v>
      </c>
      <c r="S6" s="12">
        <v>10000</v>
      </c>
      <c r="T6" s="52" t="s">
        <v>41</v>
      </c>
      <c r="U6" s="52">
        <v>362</v>
      </c>
      <c r="V6" s="51">
        <f>U6/31</f>
        <v>11.67741935483871</v>
      </c>
    </row>
    <row r="7" spans="2:28" ht="46.5" customHeight="1" x14ac:dyDescent="0.25">
      <c r="B7" s="84" t="s">
        <v>24</v>
      </c>
      <c r="C7" s="82" t="s">
        <v>9</v>
      </c>
      <c r="D7" s="82"/>
      <c r="E7" s="82"/>
      <c r="F7" s="82"/>
      <c r="G7" s="82"/>
      <c r="H7" s="82"/>
      <c r="I7" s="82"/>
      <c r="J7" s="82" t="s">
        <v>23</v>
      </c>
      <c r="K7" s="82"/>
      <c r="L7" s="82"/>
      <c r="M7" s="82"/>
      <c r="N7" s="82" t="s">
        <v>22</v>
      </c>
      <c r="O7" s="82"/>
      <c r="P7" s="82"/>
      <c r="Q7" s="83" t="s">
        <v>21</v>
      </c>
      <c r="R7" s="82" t="s">
        <v>20</v>
      </c>
      <c r="S7" s="82"/>
      <c r="T7" s="82"/>
      <c r="U7" s="82" t="s">
        <v>10</v>
      </c>
      <c r="V7" s="82"/>
      <c r="W7" s="82"/>
      <c r="X7" s="82" t="s">
        <v>11</v>
      </c>
      <c r="Y7" s="82"/>
      <c r="Z7" s="82"/>
      <c r="AA7" s="82"/>
      <c r="AB7" s="83" t="s">
        <v>8</v>
      </c>
    </row>
    <row r="8" spans="2:28" ht="30" x14ac:dyDescent="0.25">
      <c r="B8" s="84"/>
      <c r="C8" s="14" t="s">
        <v>1</v>
      </c>
      <c r="D8" s="14" t="s">
        <v>0</v>
      </c>
      <c r="E8" s="14" t="s">
        <v>2</v>
      </c>
      <c r="F8" s="14" t="s">
        <v>19</v>
      </c>
      <c r="G8" s="14" t="s">
        <v>18</v>
      </c>
      <c r="H8" s="14" t="s">
        <v>17</v>
      </c>
      <c r="I8" s="14" t="s">
        <v>3</v>
      </c>
      <c r="J8" s="14" t="s">
        <v>1</v>
      </c>
      <c r="K8" s="14" t="s">
        <v>0</v>
      </c>
      <c r="L8" s="14" t="s">
        <v>2</v>
      </c>
      <c r="M8" s="14" t="s">
        <v>3</v>
      </c>
      <c r="N8" s="14" t="s">
        <v>4</v>
      </c>
      <c r="O8" s="14" t="s">
        <v>5</v>
      </c>
      <c r="P8" s="14" t="s">
        <v>16</v>
      </c>
      <c r="Q8" s="83"/>
      <c r="R8" s="14" t="s">
        <v>6</v>
      </c>
      <c r="S8" s="14" t="s">
        <v>15</v>
      </c>
      <c r="T8" s="14" t="s">
        <v>16</v>
      </c>
      <c r="U8" s="14" t="s">
        <v>4</v>
      </c>
      <c r="V8" s="14" t="s">
        <v>5</v>
      </c>
      <c r="W8" s="14" t="s">
        <v>16</v>
      </c>
      <c r="X8" s="14" t="s">
        <v>6</v>
      </c>
      <c r="Y8" s="14" t="s">
        <v>15</v>
      </c>
      <c r="Z8" s="31" t="s">
        <v>14</v>
      </c>
      <c r="AA8" s="14" t="s">
        <v>7</v>
      </c>
      <c r="AB8" s="83"/>
    </row>
    <row r="9" spans="2:28" x14ac:dyDescent="0.25">
      <c r="B9" s="32"/>
      <c r="C9" s="2">
        <v>1</v>
      </c>
      <c r="D9" s="2">
        <v>2</v>
      </c>
      <c r="E9" s="2">
        <v>3</v>
      </c>
      <c r="F9" s="2"/>
      <c r="G9" s="2">
        <v>4</v>
      </c>
      <c r="H9" s="2">
        <v>5</v>
      </c>
      <c r="I9" s="2">
        <v>6</v>
      </c>
      <c r="J9" s="2">
        <v>7</v>
      </c>
      <c r="K9" s="2">
        <v>8</v>
      </c>
      <c r="L9" s="2">
        <v>9</v>
      </c>
      <c r="M9" s="2">
        <v>10</v>
      </c>
      <c r="N9" s="2">
        <v>11</v>
      </c>
      <c r="O9" s="2">
        <v>12</v>
      </c>
      <c r="P9" s="2">
        <v>13</v>
      </c>
      <c r="Q9" s="2">
        <v>14</v>
      </c>
      <c r="R9" s="2">
        <v>15</v>
      </c>
      <c r="S9" s="2">
        <v>16</v>
      </c>
      <c r="T9" s="2">
        <v>17</v>
      </c>
      <c r="U9" s="2">
        <v>18</v>
      </c>
      <c r="V9" s="2">
        <v>19</v>
      </c>
      <c r="W9" s="2">
        <v>20</v>
      </c>
      <c r="X9" s="2">
        <v>21</v>
      </c>
      <c r="Y9" s="2">
        <v>22</v>
      </c>
      <c r="Z9" s="2">
        <v>23</v>
      </c>
      <c r="AA9" s="2">
        <v>24</v>
      </c>
      <c r="AB9" s="2">
        <v>25</v>
      </c>
    </row>
    <row r="10" spans="2:28" ht="18" x14ac:dyDescent="0.25">
      <c r="B10" s="3"/>
      <c r="C10" s="3"/>
      <c r="D10" s="3"/>
      <c r="E10" s="3"/>
      <c r="F10" s="4"/>
      <c r="G10" s="4"/>
      <c r="H10" s="3"/>
      <c r="I10" s="3"/>
      <c r="J10" s="3"/>
      <c r="K10" s="3"/>
      <c r="L10" s="3"/>
      <c r="M10" s="3"/>
      <c r="N10" s="5"/>
      <c r="O10" s="5"/>
      <c r="P10" s="5"/>
      <c r="Q10" s="5"/>
      <c r="R10" s="5"/>
      <c r="S10" s="5"/>
      <c r="T10" s="3"/>
      <c r="U10" s="3"/>
      <c r="V10" s="3"/>
      <c r="W10" s="3"/>
      <c r="X10" s="3"/>
      <c r="Y10" s="3"/>
      <c r="Z10" s="3"/>
      <c r="AA10" s="3"/>
      <c r="AB10" s="2"/>
    </row>
    <row r="11" spans="2:28" s="68" customFormat="1" ht="18" x14ac:dyDescent="0.25">
      <c r="B11" s="59"/>
      <c r="C11" s="60"/>
      <c r="D11" s="60"/>
      <c r="E11" s="60"/>
      <c r="F11" s="61"/>
      <c r="G11" s="62"/>
      <c r="H11" s="60"/>
      <c r="I11" s="60"/>
      <c r="J11" s="63"/>
      <c r="K11" s="63"/>
      <c r="L11" s="63"/>
      <c r="M11" s="63"/>
      <c r="N11" s="64"/>
      <c r="O11" s="65"/>
      <c r="P11" s="64"/>
      <c r="Q11" s="64"/>
      <c r="R11" s="60"/>
      <c r="S11" s="63"/>
      <c r="T11" s="60"/>
      <c r="U11" s="60"/>
      <c r="V11" s="60"/>
      <c r="W11" s="60"/>
      <c r="X11" s="60"/>
      <c r="Y11" s="60"/>
      <c r="Z11" s="60"/>
      <c r="AA11" s="66"/>
      <c r="AB11" s="67"/>
    </row>
    <row r="12" spans="2:28" ht="18" x14ac:dyDescent="0.25">
      <c r="B12" s="3"/>
      <c r="C12" s="3"/>
      <c r="D12" s="3"/>
      <c r="E12" s="3"/>
      <c r="F12" s="8"/>
      <c r="G12" s="22"/>
      <c r="H12" s="7"/>
      <c r="I12" s="3"/>
      <c r="J12" s="6"/>
      <c r="K12" s="6"/>
      <c r="L12" s="6"/>
      <c r="M12" s="6"/>
      <c r="N12" s="5"/>
      <c r="O12" s="23"/>
      <c r="P12" s="5"/>
      <c r="Q12" s="5"/>
      <c r="R12" s="7"/>
      <c r="S12" s="6"/>
      <c r="T12" s="7"/>
      <c r="U12" s="7"/>
      <c r="V12" s="7"/>
      <c r="W12" s="7"/>
      <c r="X12" s="7"/>
      <c r="Y12" s="7"/>
      <c r="Z12" s="7"/>
      <c r="AA12" s="24"/>
      <c r="AB12" s="25"/>
    </row>
    <row r="13" spans="2:28" ht="18" x14ac:dyDescent="0.25">
      <c r="B13" s="3"/>
      <c r="C13" s="3"/>
      <c r="D13" s="3"/>
      <c r="E13" s="3"/>
      <c r="F13" s="8"/>
      <c r="G13" s="22"/>
      <c r="H13" s="7"/>
      <c r="I13" s="3"/>
      <c r="J13" s="6"/>
      <c r="K13" s="6"/>
      <c r="L13" s="6"/>
      <c r="M13" s="6"/>
      <c r="N13" s="5"/>
      <c r="O13" s="23"/>
      <c r="P13" s="5"/>
      <c r="Q13" s="5"/>
      <c r="R13" s="7"/>
      <c r="S13" s="6"/>
      <c r="T13" s="7"/>
      <c r="U13" s="7"/>
      <c r="V13" s="7"/>
      <c r="W13" s="7"/>
      <c r="X13" s="7"/>
      <c r="Y13" s="7"/>
      <c r="Z13" s="7"/>
      <c r="AA13" s="24"/>
      <c r="AB13" s="25"/>
    </row>
    <row r="14" spans="2:28" ht="17.45" x14ac:dyDescent="0.3">
      <c r="B14" s="3">
        <v>28</v>
      </c>
      <c r="C14" s="77">
        <v>256015</v>
      </c>
      <c r="D14" s="77">
        <v>511058</v>
      </c>
      <c r="E14" s="77">
        <v>168619</v>
      </c>
      <c r="F14" s="78">
        <f t="shared" ref="F13:F40" si="0">C14+D14+E14</f>
        <v>935692</v>
      </c>
      <c r="G14" s="79">
        <f t="shared" ref="G13:G40" si="1">(C15+D15+E15)+((S14/24)*7.5)</f>
        <v>935664.5</v>
      </c>
      <c r="H14" s="80">
        <f t="shared" ref="H13:H40" si="2">G14+((K14/12)*2.5)</f>
        <v>935672.20833333337</v>
      </c>
      <c r="I14" s="77">
        <v>299214</v>
      </c>
      <c r="J14" s="6">
        <f t="shared" ref="J13:L41" si="3">C14-C15</f>
        <v>0</v>
      </c>
      <c r="K14" s="6">
        <f t="shared" si="3"/>
        <v>37</v>
      </c>
      <c r="L14" s="6">
        <f t="shared" si="3"/>
        <v>3</v>
      </c>
      <c r="M14" s="6">
        <f>I14-I15</f>
        <v>5</v>
      </c>
      <c r="N14" s="5">
        <f t="shared" ref="N11:N16" si="4">N15</f>
        <v>58.928571428571431</v>
      </c>
      <c r="O14" s="23">
        <f t="shared" ref="O11:O41" si="5">L14</f>
        <v>3</v>
      </c>
      <c r="P14" s="5">
        <f t="shared" ref="P13:P41" si="6">N14-O14</f>
        <v>55.928571428571431</v>
      </c>
      <c r="Q14" s="5">
        <f t="shared" ref="Q13:Q41" si="7">H14-G14</f>
        <v>7.7083333333721384</v>
      </c>
      <c r="R14" s="7">
        <f t="shared" ref="R11:R16" si="8">R15</f>
        <v>357.14285714285717</v>
      </c>
      <c r="S14" s="6">
        <f t="shared" ref="S13:S41" si="9">J14+K14+L14</f>
        <v>40</v>
      </c>
      <c r="T14" s="7">
        <f t="shared" ref="T13:T41" si="10">R14-S14</f>
        <v>317.14285714285717</v>
      </c>
      <c r="U14" s="7">
        <f t="shared" ref="U13:V40" si="11">U15+N14</f>
        <v>1649.9999999999991</v>
      </c>
      <c r="V14" s="7">
        <f t="shared" si="11"/>
        <v>105</v>
      </c>
      <c r="W14" s="7">
        <f t="shared" ref="W13:W41" si="12">U14-V14</f>
        <v>1544.9999999999991</v>
      </c>
      <c r="X14" s="7">
        <f t="shared" ref="X13:Y40" si="13">X15+R14</f>
        <v>9999.9999999999982</v>
      </c>
      <c r="Y14" s="7">
        <f t="shared" si="13"/>
        <v>1397</v>
      </c>
      <c r="Z14" s="7">
        <f t="shared" ref="Z13:Z41" si="14">X14-Y14</f>
        <v>8602.9999999999982</v>
      </c>
      <c r="AA14" s="24">
        <f t="shared" ref="AA13:AA41" si="15">COS(ATAN(M14/S14))</f>
        <v>0.99227787671366763</v>
      </c>
      <c r="AB14" s="25"/>
    </row>
    <row r="15" spans="2:28" ht="18" x14ac:dyDescent="0.25">
      <c r="B15" s="3">
        <v>27</v>
      </c>
      <c r="C15" s="3">
        <v>256015</v>
      </c>
      <c r="D15" s="3">
        <v>511021</v>
      </c>
      <c r="E15" s="3">
        <v>168616</v>
      </c>
      <c r="F15" s="8">
        <f t="shared" si="0"/>
        <v>935652</v>
      </c>
      <c r="G15" s="22">
        <f t="shared" si="1"/>
        <v>935621.75</v>
      </c>
      <c r="H15" s="7">
        <f t="shared" si="2"/>
        <v>935623.83333333337</v>
      </c>
      <c r="I15" s="3">
        <v>299209</v>
      </c>
      <c r="J15" s="6">
        <f t="shared" si="3"/>
        <v>29</v>
      </c>
      <c r="K15" s="6">
        <f t="shared" si="3"/>
        <v>10</v>
      </c>
      <c r="L15" s="6">
        <f t="shared" si="3"/>
        <v>5</v>
      </c>
      <c r="M15" s="6">
        <f t="shared" ref="M15:M41" si="16">I15-I16</f>
        <v>9</v>
      </c>
      <c r="N15" s="5">
        <f t="shared" si="4"/>
        <v>58.928571428571431</v>
      </c>
      <c r="O15" s="23">
        <f t="shared" si="5"/>
        <v>5</v>
      </c>
      <c r="P15" s="5">
        <f t="shared" si="6"/>
        <v>53.928571428571431</v>
      </c>
      <c r="Q15" s="5">
        <f t="shared" si="7"/>
        <v>2.0833333333721384</v>
      </c>
      <c r="R15" s="7">
        <f t="shared" si="8"/>
        <v>357.14285714285717</v>
      </c>
      <c r="S15" s="6">
        <f t="shared" si="9"/>
        <v>44</v>
      </c>
      <c r="T15" s="7">
        <f t="shared" si="10"/>
        <v>313.14285714285717</v>
      </c>
      <c r="U15" s="7">
        <f t="shared" si="11"/>
        <v>1591.0714285714278</v>
      </c>
      <c r="V15" s="7">
        <f t="shared" si="11"/>
        <v>102</v>
      </c>
      <c r="W15" s="7">
        <f t="shared" si="12"/>
        <v>1489.0714285714278</v>
      </c>
      <c r="X15" s="7">
        <f t="shared" si="13"/>
        <v>9642.8571428571413</v>
      </c>
      <c r="Y15" s="7">
        <f t="shared" si="13"/>
        <v>1357</v>
      </c>
      <c r="Z15" s="7">
        <f t="shared" si="14"/>
        <v>8285.8571428571413</v>
      </c>
      <c r="AA15" s="24">
        <f t="shared" si="15"/>
        <v>0.97971493228256545</v>
      </c>
      <c r="AB15" s="25"/>
    </row>
    <row r="16" spans="2:28" s="68" customFormat="1" ht="18" x14ac:dyDescent="0.25">
      <c r="B16" s="59">
        <v>26</v>
      </c>
      <c r="C16" s="3">
        <f>C17+24</f>
        <v>255986</v>
      </c>
      <c r="D16" s="3">
        <f>D17+13</f>
        <v>511011</v>
      </c>
      <c r="E16" s="3">
        <f>E17+3</f>
        <v>168611</v>
      </c>
      <c r="F16" s="61">
        <f t="shared" si="0"/>
        <v>935608</v>
      </c>
      <c r="G16" s="62">
        <f t="shared" si="1"/>
        <v>935580.5</v>
      </c>
      <c r="H16" s="60">
        <f t="shared" si="2"/>
        <v>935583.20833333337</v>
      </c>
      <c r="I16" s="3">
        <f>I17+11</f>
        <v>299200</v>
      </c>
      <c r="J16" s="63">
        <f t="shared" si="3"/>
        <v>24</v>
      </c>
      <c r="K16" s="63">
        <f t="shared" si="3"/>
        <v>13</v>
      </c>
      <c r="L16" s="63">
        <f t="shared" si="3"/>
        <v>3</v>
      </c>
      <c r="M16" s="63">
        <f t="shared" si="16"/>
        <v>11</v>
      </c>
      <c r="N16" s="64">
        <f t="shared" si="4"/>
        <v>58.928571428571431</v>
      </c>
      <c r="O16" s="65">
        <f t="shared" si="5"/>
        <v>3</v>
      </c>
      <c r="P16" s="64">
        <f t="shared" si="6"/>
        <v>55.928571428571431</v>
      </c>
      <c r="Q16" s="64">
        <f t="shared" si="7"/>
        <v>2.7083333333721384</v>
      </c>
      <c r="R16" s="60">
        <f t="shared" si="8"/>
        <v>357.14285714285717</v>
      </c>
      <c r="S16" s="63">
        <f t="shared" si="9"/>
        <v>40</v>
      </c>
      <c r="T16" s="60">
        <f t="shared" si="10"/>
        <v>317.14285714285717</v>
      </c>
      <c r="U16" s="60">
        <f t="shared" si="11"/>
        <v>1532.1428571428564</v>
      </c>
      <c r="V16" s="60">
        <f t="shared" si="11"/>
        <v>97</v>
      </c>
      <c r="W16" s="60">
        <f t="shared" si="12"/>
        <v>1435.1428571428564</v>
      </c>
      <c r="X16" s="60">
        <f t="shared" si="13"/>
        <v>9285.7142857142844</v>
      </c>
      <c r="Y16" s="60">
        <f t="shared" si="13"/>
        <v>1313</v>
      </c>
      <c r="Z16" s="60">
        <f t="shared" si="14"/>
        <v>7972.7142857142844</v>
      </c>
      <c r="AA16" s="66">
        <f t="shared" si="15"/>
        <v>0.96420539280379036</v>
      </c>
      <c r="AB16" s="67"/>
    </row>
    <row r="17" spans="2:28" ht="18" x14ac:dyDescent="0.25">
      <c r="B17" s="3">
        <v>25</v>
      </c>
      <c r="C17" s="3">
        <f>C18+26</f>
        <v>255962</v>
      </c>
      <c r="D17" s="3">
        <f>D18+12</f>
        <v>510998</v>
      </c>
      <c r="E17" s="3">
        <f>E18+4</f>
        <v>168608</v>
      </c>
      <c r="F17" s="8">
        <f t="shared" si="0"/>
        <v>935568</v>
      </c>
      <c r="G17" s="22">
        <f t="shared" si="1"/>
        <v>935539.125</v>
      </c>
      <c r="H17" s="7">
        <f t="shared" si="2"/>
        <v>935541.625</v>
      </c>
      <c r="I17" s="3">
        <f>I18+10</f>
        <v>299189</v>
      </c>
      <c r="J17" s="6">
        <f t="shared" si="3"/>
        <v>26</v>
      </c>
      <c r="K17" s="6">
        <f t="shared" si="3"/>
        <v>12</v>
      </c>
      <c r="L17" s="6">
        <f t="shared" si="3"/>
        <v>4</v>
      </c>
      <c r="M17" s="6">
        <f t="shared" si="16"/>
        <v>10</v>
      </c>
      <c r="N17" s="5">
        <f t="shared" ref="N17:N40" si="17">N18</f>
        <v>58.928571428571431</v>
      </c>
      <c r="O17" s="23">
        <f t="shared" si="5"/>
        <v>4</v>
      </c>
      <c r="P17" s="5">
        <f t="shared" si="6"/>
        <v>54.928571428571431</v>
      </c>
      <c r="Q17" s="5">
        <f t="shared" si="7"/>
        <v>2.5</v>
      </c>
      <c r="R17" s="7">
        <f t="shared" ref="R17:R39" si="18">R18</f>
        <v>357.14285714285717</v>
      </c>
      <c r="S17" s="6">
        <f t="shared" si="9"/>
        <v>42</v>
      </c>
      <c r="T17" s="7">
        <f t="shared" si="10"/>
        <v>315.14285714285717</v>
      </c>
      <c r="U17" s="7">
        <f t="shared" si="11"/>
        <v>1473.2142857142851</v>
      </c>
      <c r="V17" s="7">
        <f t="shared" si="11"/>
        <v>94</v>
      </c>
      <c r="W17" s="7">
        <f t="shared" si="12"/>
        <v>1379.2142857142851</v>
      </c>
      <c r="X17" s="7">
        <f t="shared" si="13"/>
        <v>8928.5714285714275</v>
      </c>
      <c r="Y17" s="7">
        <f t="shared" si="13"/>
        <v>1273</v>
      </c>
      <c r="Z17" s="7">
        <f t="shared" si="14"/>
        <v>7655.5714285714275</v>
      </c>
      <c r="AA17" s="24">
        <f t="shared" si="15"/>
        <v>0.97280621468536688</v>
      </c>
      <c r="AB17" s="25"/>
    </row>
    <row r="18" spans="2:28" ht="18" x14ac:dyDescent="0.25">
      <c r="B18" s="3">
        <v>24</v>
      </c>
      <c r="C18" s="3">
        <f>C19+28</f>
        <v>255936</v>
      </c>
      <c r="D18" s="3">
        <f>D19+30</f>
        <v>510986</v>
      </c>
      <c r="E18" s="3">
        <f>E19+6</f>
        <v>168604</v>
      </c>
      <c r="F18" s="8">
        <f t="shared" si="0"/>
        <v>935526</v>
      </c>
      <c r="G18" s="22">
        <f t="shared" si="1"/>
        <v>935482</v>
      </c>
      <c r="H18" s="7">
        <f t="shared" si="2"/>
        <v>935488.25</v>
      </c>
      <c r="I18" s="3">
        <f>I19+13</f>
        <v>299179</v>
      </c>
      <c r="J18" s="6">
        <f t="shared" si="3"/>
        <v>28</v>
      </c>
      <c r="K18" s="6">
        <f t="shared" si="3"/>
        <v>30</v>
      </c>
      <c r="L18" s="6">
        <f t="shared" si="3"/>
        <v>6</v>
      </c>
      <c r="M18" s="6">
        <f t="shared" si="16"/>
        <v>13</v>
      </c>
      <c r="N18" s="5">
        <f t="shared" si="17"/>
        <v>58.928571428571431</v>
      </c>
      <c r="O18" s="23">
        <f t="shared" si="5"/>
        <v>6</v>
      </c>
      <c r="P18" s="5">
        <f t="shared" si="6"/>
        <v>52.928571428571431</v>
      </c>
      <c r="Q18" s="5">
        <f t="shared" si="7"/>
        <v>6.25</v>
      </c>
      <c r="R18" s="7">
        <f t="shared" si="18"/>
        <v>357.14285714285717</v>
      </c>
      <c r="S18" s="6">
        <f t="shared" si="9"/>
        <v>64</v>
      </c>
      <c r="T18" s="7">
        <f t="shared" si="10"/>
        <v>293.14285714285717</v>
      </c>
      <c r="U18" s="7">
        <f t="shared" si="11"/>
        <v>1414.2857142857138</v>
      </c>
      <c r="V18" s="7">
        <f t="shared" si="11"/>
        <v>90</v>
      </c>
      <c r="W18" s="7">
        <f t="shared" si="12"/>
        <v>1324.2857142857138</v>
      </c>
      <c r="X18" s="7">
        <f t="shared" si="13"/>
        <v>8571.4285714285706</v>
      </c>
      <c r="Y18" s="7">
        <f t="shared" si="13"/>
        <v>1231</v>
      </c>
      <c r="Z18" s="7">
        <f t="shared" si="14"/>
        <v>7340.4285714285706</v>
      </c>
      <c r="AA18" s="24">
        <f t="shared" si="15"/>
        <v>0.97998731958205343</v>
      </c>
      <c r="AB18" s="25"/>
    </row>
    <row r="19" spans="2:28" ht="18" x14ac:dyDescent="0.25">
      <c r="B19" s="3">
        <v>23</v>
      </c>
      <c r="C19" s="3">
        <v>255908</v>
      </c>
      <c r="D19" s="3">
        <v>510956</v>
      </c>
      <c r="E19" s="3">
        <v>168598</v>
      </c>
      <c r="F19" s="8">
        <f t="shared" si="0"/>
        <v>935462</v>
      </c>
      <c r="G19" s="22">
        <f t="shared" si="1"/>
        <v>935423.5</v>
      </c>
      <c r="H19" s="7">
        <f t="shared" si="2"/>
        <v>935429.95833333337</v>
      </c>
      <c r="I19" s="3">
        <v>299166</v>
      </c>
      <c r="J19" s="7">
        <f>C19-C20</f>
        <v>16</v>
      </c>
      <c r="K19" s="6">
        <f t="shared" si="3"/>
        <v>31</v>
      </c>
      <c r="L19" s="6">
        <f t="shared" si="3"/>
        <v>9</v>
      </c>
      <c r="M19" s="6">
        <f t="shared" si="16"/>
        <v>8</v>
      </c>
      <c r="N19" s="5">
        <f t="shared" si="17"/>
        <v>58.928571428571431</v>
      </c>
      <c r="O19" s="3">
        <f t="shared" si="5"/>
        <v>9</v>
      </c>
      <c r="P19" s="5">
        <f t="shared" si="6"/>
        <v>49.928571428571431</v>
      </c>
      <c r="Q19" s="5">
        <f t="shared" si="7"/>
        <v>6.4583333333721384</v>
      </c>
      <c r="R19" s="7">
        <f t="shared" si="18"/>
        <v>357.14285714285717</v>
      </c>
      <c r="S19" s="6">
        <f t="shared" si="9"/>
        <v>56</v>
      </c>
      <c r="T19" s="7">
        <f t="shared" si="10"/>
        <v>301.14285714285717</v>
      </c>
      <c r="U19" s="7">
        <f t="shared" si="11"/>
        <v>1355.3571428571424</v>
      </c>
      <c r="V19" s="7">
        <f t="shared" si="11"/>
        <v>84</v>
      </c>
      <c r="W19" s="7">
        <f t="shared" si="12"/>
        <v>1271.3571428571424</v>
      </c>
      <c r="X19" s="7">
        <f t="shared" si="13"/>
        <v>8214.2857142857138</v>
      </c>
      <c r="Y19" s="7">
        <f t="shared" si="13"/>
        <v>1167</v>
      </c>
      <c r="Z19" s="7">
        <f t="shared" si="14"/>
        <v>7047.2857142857138</v>
      </c>
      <c r="AA19" s="24">
        <f t="shared" si="15"/>
        <v>0.98994949366116658</v>
      </c>
      <c r="AB19" s="1"/>
    </row>
    <row r="20" spans="2:28" ht="18" x14ac:dyDescent="0.25">
      <c r="B20" s="3">
        <v>22</v>
      </c>
      <c r="C20" s="5">
        <f>C21+17</f>
        <v>255892</v>
      </c>
      <c r="D20" s="5">
        <f>D21+39</f>
        <v>510925</v>
      </c>
      <c r="E20" s="5">
        <f>E21+5</f>
        <v>168589</v>
      </c>
      <c r="F20" s="8">
        <f t="shared" si="0"/>
        <v>935406</v>
      </c>
      <c r="G20" s="22">
        <f t="shared" si="1"/>
        <v>935364.0625</v>
      </c>
      <c r="H20" s="7">
        <f t="shared" si="2"/>
        <v>935372.1875</v>
      </c>
      <c r="I20" s="5">
        <f t="shared" ref="I20:I40" si="19">I21+9</f>
        <v>299158</v>
      </c>
      <c r="J20" s="6">
        <f t="shared" si="3"/>
        <v>17</v>
      </c>
      <c r="K20" s="6">
        <f t="shared" si="3"/>
        <v>39</v>
      </c>
      <c r="L20" s="6">
        <f t="shared" si="3"/>
        <v>5</v>
      </c>
      <c r="M20" s="6">
        <f t="shared" si="16"/>
        <v>9</v>
      </c>
      <c r="N20" s="5">
        <f t="shared" si="17"/>
        <v>58.928571428571431</v>
      </c>
      <c r="O20" s="3">
        <f t="shared" si="5"/>
        <v>5</v>
      </c>
      <c r="P20" s="5">
        <f t="shared" si="6"/>
        <v>53.928571428571431</v>
      </c>
      <c r="Q20" s="5">
        <f t="shared" si="7"/>
        <v>8.125</v>
      </c>
      <c r="R20" s="7">
        <f t="shared" si="18"/>
        <v>357.14285714285717</v>
      </c>
      <c r="S20" s="6">
        <f t="shared" si="9"/>
        <v>61</v>
      </c>
      <c r="T20" s="7">
        <f t="shared" si="10"/>
        <v>296.14285714285717</v>
      </c>
      <c r="U20" s="7">
        <f t="shared" si="11"/>
        <v>1296.4285714285711</v>
      </c>
      <c r="V20" s="7">
        <f t="shared" si="11"/>
        <v>75</v>
      </c>
      <c r="W20" s="7">
        <f t="shared" si="12"/>
        <v>1221.4285714285711</v>
      </c>
      <c r="X20" s="7">
        <f t="shared" si="13"/>
        <v>7857.142857142856</v>
      </c>
      <c r="Y20" s="7">
        <f t="shared" si="13"/>
        <v>1111</v>
      </c>
      <c r="Z20" s="7">
        <f t="shared" si="14"/>
        <v>6746.142857142856</v>
      </c>
      <c r="AA20" s="24">
        <f t="shared" si="15"/>
        <v>0.98929036357448474</v>
      </c>
      <c r="AB20" s="1"/>
    </row>
    <row r="21" spans="2:28" ht="18" x14ac:dyDescent="0.25">
      <c r="B21" s="3">
        <v>21</v>
      </c>
      <c r="C21" s="5">
        <f>C22+20</f>
        <v>255875</v>
      </c>
      <c r="D21" s="5">
        <f>D22+36</f>
        <v>510886</v>
      </c>
      <c r="E21" s="5">
        <f>E22+4</f>
        <v>168584</v>
      </c>
      <c r="F21" s="8">
        <f t="shared" si="0"/>
        <v>935345</v>
      </c>
      <c r="G21" s="22">
        <f t="shared" si="1"/>
        <v>935303.75</v>
      </c>
      <c r="H21" s="7">
        <f t="shared" si="2"/>
        <v>935311.25</v>
      </c>
      <c r="I21" s="5">
        <f>I22+6</f>
        <v>299149</v>
      </c>
      <c r="J21" s="6">
        <f t="shared" si="3"/>
        <v>20</v>
      </c>
      <c r="K21" s="6">
        <f t="shared" si="3"/>
        <v>36</v>
      </c>
      <c r="L21" s="6">
        <f t="shared" si="3"/>
        <v>4</v>
      </c>
      <c r="M21" s="6">
        <f t="shared" si="16"/>
        <v>6</v>
      </c>
      <c r="N21" s="5">
        <f t="shared" si="17"/>
        <v>58.928571428571431</v>
      </c>
      <c r="O21" s="3">
        <f t="shared" si="5"/>
        <v>4</v>
      </c>
      <c r="P21" s="5">
        <f t="shared" si="6"/>
        <v>54.928571428571431</v>
      </c>
      <c r="Q21" s="5">
        <f t="shared" si="7"/>
        <v>7.5</v>
      </c>
      <c r="R21" s="7">
        <f t="shared" si="18"/>
        <v>357.14285714285717</v>
      </c>
      <c r="S21" s="6">
        <f t="shared" si="9"/>
        <v>60</v>
      </c>
      <c r="T21" s="7">
        <f t="shared" si="10"/>
        <v>297.14285714285717</v>
      </c>
      <c r="U21" s="7">
        <f t="shared" si="11"/>
        <v>1237.4999999999998</v>
      </c>
      <c r="V21" s="7">
        <f t="shared" si="11"/>
        <v>70</v>
      </c>
      <c r="W21" s="7">
        <f t="shared" si="12"/>
        <v>1167.4999999999998</v>
      </c>
      <c r="X21" s="7">
        <f t="shared" si="13"/>
        <v>7499.9999999999991</v>
      </c>
      <c r="Y21" s="7">
        <f t="shared" si="13"/>
        <v>1050</v>
      </c>
      <c r="Z21" s="7">
        <f t="shared" si="14"/>
        <v>6449.9999999999991</v>
      </c>
      <c r="AA21" s="24">
        <f t="shared" si="15"/>
        <v>0.99503719020998915</v>
      </c>
      <c r="AB21" s="1"/>
    </row>
    <row r="22" spans="2:28" ht="18" x14ac:dyDescent="0.25">
      <c r="B22" s="3">
        <v>20</v>
      </c>
      <c r="C22" s="5">
        <f>C23+17</f>
        <v>255855</v>
      </c>
      <c r="D22" s="5">
        <f>D23+24</f>
        <v>510850</v>
      </c>
      <c r="E22" s="5">
        <f>E23+8</f>
        <v>168580</v>
      </c>
      <c r="F22" s="8">
        <f t="shared" si="0"/>
        <v>935285</v>
      </c>
      <c r="G22" s="22">
        <f t="shared" si="1"/>
        <v>935251.3125</v>
      </c>
      <c r="H22" s="7">
        <f t="shared" si="2"/>
        <v>935256.3125</v>
      </c>
      <c r="I22" s="5">
        <f>I23+11</f>
        <v>299143</v>
      </c>
      <c r="J22" s="6">
        <f t="shared" si="3"/>
        <v>17</v>
      </c>
      <c r="K22" s="6">
        <f t="shared" si="3"/>
        <v>24</v>
      </c>
      <c r="L22" s="6">
        <f t="shared" si="3"/>
        <v>8</v>
      </c>
      <c r="M22" s="6">
        <f t="shared" si="16"/>
        <v>11</v>
      </c>
      <c r="N22" s="5">
        <f t="shared" si="17"/>
        <v>58.928571428571431</v>
      </c>
      <c r="O22" s="3">
        <f t="shared" si="5"/>
        <v>8</v>
      </c>
      <c r="P22" s="5">
        <f t="shared" si="6"/>
        <v>50.928571428571431</v>
      </c>
      <c r="Q22" s="5">
        <f t="shared" si="7"/>
        <v>5</v>
      </c>
      <c r="R22" s="7">
        <f t="shared" si="18"/>
        <v>357.14285714285717</v>
      </c>
      <c r="S22" s="6">
        <f t="shared" si="9"/>
        <v>49</v>
      </c>
      <c r="T22" s="7">
        <f t="shared" si="10"/>
        <v>308.14285714285717</v>
      </c>
      <c r="U22" s="7">
        <f t="shared" si="11"/>
        <v>1178.5714285714284</v>
      </c>
      <c r="V22" s="7">
        <f t="shared" si="11"/>
        <v>66</v>
      </c>
      <c r="W22" s="7">
        <f t="shared" si="12"/>
        <v>1112.5714285714284</v>
      </c>
      <c r="X22" s="7">
        <f t="shared" si="13"/>
        <v>7142.8571428571422</v>
      </c>
      <c r="Y22" s="7">
        <f t="shared" si="13"/>
        <v>990</v>
      </c>
      <c r="Z22" s="7">
        <f t="shared" si="14"/>
        <v>6152.8571428571422</v>
      </c>
      <c r="AA22" s="24">
        <f t="shared" si="15"/>
        <v>0.9757162520935706</v>
      </c>
      <c r="AB22" s="1"/>
    </row>
    <row r="23" spans="2:28" ht="18" x14ac:dyDescent="0.25">
      <c r="B23" s="3">
        <v>19</v>
      </c>
      <c r="C23" s="5">
        <f>C24+14</f>
        <v>255838</v>
      </c>
      <c r="D23" s="5">
        <f>D24+19</f>
        <v>510826</v>
      </c>
      <c r="E23" s="5">
        <f t="shared" ref="E23:E24" si="20">E24+3</f>
        <v>168572</v>
      </c>
      <c r="F23" s="8">
        <f t="shared" si="0"/>
        <v>935236</v>
      </c>
      <c r="G23" s="22">
        <f t="shared" si="1"/>
        <v>935211.25</v>
      </c>
      <c r="H23" s="7">
        <f t="shared" si="2"/>
        <v>935215.20833333337</v>
      </c>
      <c r="I23" s="5">
        <f>I24+12</f>
        <v>299132</v>
      </c>
      <c r="J23" s="6">
        <f t="shared" si="3"/>
        <v>14</v>
      </c>
      <c r="K23" s="6">
        <f t="shared" si="3"/>
        <v>19</v>
      </c>
      <c r="L23" s="6">
        <f t="shared" si="3"/>
        <v>3</v>
      </c>
      <c r="M23" s="6">
        <f t="shared" si="16"/>
        <v>12</v>
      </c>
      <c r="N23" s="5">
        <f t="shared" si="17"/>
        <v>58.928571428571431</v>
      </c>
      <c r="O23" s="3">
        <f t="shared" si="5"/>
        <v>3</v>
      </c>
      <c r="P23" s="5">
        <f t="shared" si="6"/>
        <v>55.928571428571431</v>
      </c>
      <c r="Q23" s="5">
        <v>9</v>
      </c>
      <c r="R23" s="7">
        <f t="shared" si="18"/>
        <v>357.14285714285717</v>
      </c>
      <c r="S23" s="6">
        <f t="shared" si="9"/>
        <v>36</v>
      </c>
      <c r="T23" s="7">
        <f t="shared" si="10"/>
        <v>321.14285714285717</v>
      </c>
      <c r="U23" s="7">
        <f t="shared" si="11"/>
        <v>1119.6428571428571</v>
      </c>
      <c r="V23" s="7">
        <f t="shared" si="11"/>
        <v>58</v>
      </c>
      <c r="W23" s="7">
        <f t="shared" si="12"/>
        <v>1061.6428571428571</v>
      </c>
      <c r="X23" s="7">
        <f t="shared" si="13"/>
        <v>6785.7142857142853</v>
      </c>
      <c r="Y23" s="7">
        <f t="shared" si="13"/>
        <v>941</v>
      </c>
      <c r="Z23" s="7">
        <f t="shared" si="14"/>
        <v>5844.7142857142853</v>
      </c>
      <c r="AA23" s="24">
        <f t="shared" si="15"/>
        <v>0.94868329805051377</v>
      </c>
      <c r="AB23" s="1"/>
    </row>
    <row r="24" spans="2:28" ht="18" x14ac:dyDescent="0.25">
      <c r="B24" s="3">
        <v>18</v>
      </c>
      <c r="C24" s="5">
        <f>C25+22</f>
        <v>255824</v>
      </c>
      <c r="D24" s="5">
        <f>D25+17</f>
        <v>510807</v>
      </c>
      <c r="E24" s="5">
        <f t="shared" si="20"/>
        <v>168569</v>
      </c>
      <c r="F24" s="8">
        <f t="shared" si="0"/>
        <v>935200</v>
      </c>
      <c r="G24" s="22">
        <f t="shared" si="1"/>
        <v>935171.125</v>
      </c>
      <c r="H24" s="7">
        <f>G24+((K24/12)*2.5)</f>
        <v>935174.66666666663</v>
      </c>
      <c r="I24" s="5">
        <f>I25+5</f>
        <v>299120</v>
      </c>
      <c r="J24" s="6">
        <f t="shared" si="3"/>
        <v>22</v>
      </c>
      <c r="K24" s="6">
        <f t="shared" si="3"/>
        <v>17</v>
      </c>
      <c r="L24" s="6">
        <f t="shared" si="3"/>
        <v>3</v>
      </c>
      <c r="M24" s="6">
        <f t="shared" si="16"/>
        <v>5</v>
      </c>
      <c r="N24" s="5">
        <f t="shared" si="17"/>
        <v>58.928571428571431</v>
      </c>
      <c r="O24" s="3">
        <f t="shared" si="5"/>
        <v>3</v>
      </c>
      <c r="P24" s="5">
        <f t="shared" si="6"/>
        <v>55.928571428571431</v>
      </c>
      <c r="Q24" s="5">
        <v>7</v>
      </c>
      <c r="R24" s="7">
        <f t="shared" si="18"/>
        <v>357.14285714285717</v>
      </c>
      <c r="S24" s="6">
        <f t="shared" si="9"/>
        <v>42</v>
      </c>
      <c r="T24" s="7">
        <f t="shared" si="10"/>
        <v>315.14285714285717</v>
      </c>
      <c r="U24" s="7">
        <f t="shared" si="11"/>
        <v>1060.7142857142858</v>
      </c>
      <c r="V24" s="7">
        <f t="shared" si="11"/>
        <v>55</v>
      </c>
      <c r="W24" s="7">
        <f t="shared" si="12"/>
        <v>1005.7142857142858</v>
      </c>
      <c r="X24" s="7">
        <f t="shared" si="13"/>
        <v>6428.5714285714284</v>
      </c>
      <c r="Y24" s="7">
        <f t="shared" si="13"/>
        <v>905</v>
      </c>
      <c r="Z24" s="7">
        <f t="shared" si="14"/>
        <v>5523.5714285714284</v>
      </c>
      <c r="AA24" s="24">
        <f t="shared" si="15"/>
        <v>0.99298827419494384</v>
      </c>
      <c r="AB24" s="1"/>
    </row>
    <row r="25" spans="2:28" ht="18" x14ac:dyDescent="0.25">
      <c r="B25" s="3">
        <v>17</v>
      </c>
      <c r="C25" s="5">
        <f>C26+24</f>
        <v>255802</v>
      </c>
      <c r="D25" s="5">
        <f>D26+20</f>
        <v>510790</v>
      </c>
      <c r="E25" s="5">
        <f>E26+6</f>
        <v>168566</v>
      </c>
      <c r="F25" s="8">
        <f t="shared" si="0"/>
        <v>935158</v>
      </c>
      <c r="G25" s="22">
        <f t="shared" si="1"/>
        <v>935123.625</v>
      </c>
      <c r="H25" s="7">
        <f t="shared" si="2"/>
        <v>935127.79166666663</v>
      </c>
      <c r="I25" s="5">
        <f t="shared" si="19"/>
        <v>299115</v>
      </c>
      <c r="J25" s="6">
        <f t="shared" si="3"/>
        <v>24</v>
      </c>
      <c r="K25" s="6">
        <f t="shared" si="3"/>
        <v>20</v>
      </c>
      <c r="L25" s="6">
        <f t="shared" si="3"/>
        <v>6</v>
      </c>
      <c r="M25" s="7">
        <f t="shared" si="16"/>
        <v>9</v>
      </c>
      <c r="N25" s="5">
        <f t="shared" si="17"/>
        <v>58.928571428571431</v>
      </c>
      <c r="O25" s="3">
        <f t="shared" si="5"/>
        <v>6</v>
      </c>
      <c r="P25" s="5">
        <f t="shared" si="6"/>
        <v>52.928571428571431</v>
      </c>
      <c r="Q25" s="5">
        <f t="shared" si="7"/>
        <v>4.1666666666278616</v>
      </c>
      <c r="R25" s="7">
        <f t="shared" si="18"/>
        <v>357.14285714285717</v>
      </c>
      <c r="S25" s="6">
        <f t="shared" si="9"/>
        <v>50</v>
      </c>
      <c r="T25" s="7">
        <f t="shared" si="10"/>
        <v>307.14285714285717</v>
      </c>
      <c r="U25" s="7">
        <f t="shared" si="11"/>
        <v>1001.7857142857144</v>
      </c>
      <c r="V25" s="6">
        <f t="shared" si="11"/>
        <v>52</v>
      </c>
      <c r="W25" s="7">
        <f t="shared" si="12"/>
        <v>949.78571428571445</v>
      </c>
      <c r="X25" s="7">
        <f t="shared" si="13"/>
        <v>6071.4285714285716</v>
      </c>
      <c r="Y25" s="7">
        <f t="shared" si="13"/>
        <v>863</v>
      </c>
      <c r="Z25" s="7">
        <f t="shared" si="14"/>
        <v>5208.4285714285716</v>
      </c>
      <c r="AA25" s="24">
        <f t="shared" si="15"/>
        <v>0.98418332397369535</v>
      </c>
      <c r="AB25" s="1"/>
    </row>
    <row r="26" spans="2:28" ht="18" x14ac:dyDescent="0.25">
      <c r="B26" s="3">
        <v>16</v>
      </c>
      <c r="C26" s="5">
        <f>C27+15</f>
        <v>255778</v>
      </c>
      <c r="D26" s="5">
        <f>D27+25</f>
        <v>510770</v>
      </c>
      <c r="E26" s="5">
        <f>E27+0</f>
        <v>168560</v>
      </c>
      <c r="F26" s="8">
        <f t="shared" si="0"/>
        <v>935108</v>
      </c>
      <c r="G26" s="22">
        <f t="shared" si="1"/>
        <v>935080.5</v>
      </c>
      <c r="H26" s="7">
        <f t="shared" si="2"/>
        <v>935085.70833333337</v>
      </c>
      <c r="I26" s="5">
        <f>I27+8</f>
        <v>299106</v>
      </c>
      <c r="J26" s="6">
        <f t="shared" si="3"/>
        <v>15</v>
      </c>
      <c r="K26" s="6">
        <f t="shared" si="3"/>
        <v>25</v>
      </c>
      <c r="L26" s="6">
        <f t="shared" si="3"/>
        <v>0</v>
      </c>
      <c r="M26" s="7">
        <f t="shared" si="16"/>
        <v>8</v>
      </c>
      <c r="N26" s="5">
        <f t="shared" si="17"/>
        <v>58.928571428571431</v>
      </c>
      <c r="O26" s="3">
        <f t="shared" si="5"/>
        <v>0</v>
      </c>
      <c r="P26" s="5">
        <f t="shared" si="6"/>
        <v>58.928571428571431</v>
      </c>
      <c r="Q26" s="5">
        <f t="shared" si="7"/>
        <v>5.2083333333721384</v>
      </c>
      <c r="R26" s="7">
        <f t="shared" si="18"/>
        <v>357.14285714285717</v>
      </c>
      <c r="S26" s="6">
        <f t="shared" si="9"/>
        <v>40</v>
      </c>
      <c r="T26" s="7">
        <f t="shared" si="10"/>
        <v>317.14285714285717</v>
      </c>
      <c r="U26" s="7">
        <f t="shared" si="11"/>
        <v>942.857142857143</v>
      </c>
      <c r="V26" s="6">
        <f t="shared" si="11"/>
        <v>46</v>
      </c>
      <c r="W26" s="7">
        <f t="shared" si="12"/>
        <v>896.857142857143</v>
      </c>
      <c r="X26" s="7">
        <f t="shared" si="13"/>
        <v>5714.2857142857147</v>
      </c>
      <c r="Y26" s="7">
        <f t="shared" si="13"/>
        <v>813</v>
      </c>
      <c r="Z26" s="7">
        <f t="shared" si="14"/>
        <v>4901.2857142857147</v>
      </c>
      <c r="AA26" s="24">
        <f t="shared" si="15"/>
        <v>0.98058067569092011</v>
      </c>
      <c r="AB26" s="1"/>
    </row>
    <row r="27" spans="2:28" ht="17.45" x14ac:dyDescent="0.3">
      <c r="B27" s="3">
        <v>15</v>
      </c>
      <c r="C27" s="5">
        <f>C28+30</f>
        <v>255763</v>
      </c>
      <c r="D27" s="5">
        <f>D28+34</f>
        <v>510745</v>
      </c>
      <c r="E27" s="5">
        <f>E28+7</f>
        <v>168560</v>
      </c>
      <c r="F27" s="8">
        <f t="shared" si="0"/>
        <v>935068</v>
      </c>
      <c r="G27" s="22">
        <f t="shared" si="1"/>
        <v>935019.1875</v>
      </c>
      <c r="H27" s="7">
        <f t="shared" si="2"/>
        <v>935026.27083333337</v>
      </c>
      <c r="I27" s="5">
        <f>I28+10</f>
        <v>299098</v>
      </c>
      <c r="J27" s="6">
        <f t="shared" si="3"/>
        <v>30</v>
      </c>
      <c r="K27" s="6">
        <f t="shared" si="3"/>
        <v>34</v>
      </c>
      <c r="L27" s="6">
        <f t="shared" si="3"/>
        <v>7</v>
      </c>
      <c r="M27" s="7">
        <f t="shared" si="16"/>
        <v>10</v>
      </c>
      <c r="N27" s="5">
        <f t="shared" si="17"/>
        <v>58.928571428571431</v>
      </c>
      <c r="O27" s="3">
        <f t="shared" si="5"/>
        <v>7</v>
      </c>
      <c r="P27" s="5">
        <f t="shared" si="6"/>
        <v>51.928571428571431</v>
      </c>
      <c r="Q27" s="5">
        <f t="shared" si="7"/>
        <v>7.0833333333721384</v>
      </c>
      <c r="R27" s="7">
        <f t="shared" si="18"/>
        <v>357.14285714285717</v>
      </c>
      <c r="S27" s="6">
        <f t="shared" si="9"/>
        <v>71</v>
      </c>
      <c r="T27" s="7">
        <f t="shared" si="10"/>
        <v>286.14285714285717</v>
      </c>
      <c r="U27" s="7">
        <f t="shared" si="11"/>
        <v>883.92857142857156</v>
      </c>
      <c r="V27" s="6">
        <f t="shared" si="11"/>
        <v>46</v>
      </c>
      <c r="W27" s="7">
        <f t="shared" si="12"/>
        <v>837.92857142857156</v>
      </c>
      <c r="X27" s="7">
        <f t="shared" si="13"/>
        <v>5357.1428571428578</v>
      </c>
      <c r="Y27" s="7">
        <f t="shared" si="13"/>
        <v>773</v>
      </c>
      <c r="Z27" s="7">
        <f t="shared" si="14"/>
        <v>4584.1428571428578</v>
      </c>
      <c r="AA27" s="24">
        <f t="shared" si="15"/>
        <v>0.99022650510583776</v>
      </c>
      <c r="AB27" s="1"/>
    </row>
    <row r="28" spans="2:28" ht="17.45" x14ac:dyDescent="0.3">
      <c r="B28" s="3">
        <v>14</v>
      </c>
      <c r="C28" s="5">
        <f>C29+29</f>
        <v>255733</v>
      </c>
      <c r="D28" s="5">
        <f>D29+21</f>
        <v>510711</v>
      </c>
      <c r="E28" s="5">
        <f>E29+0</f>
        <v>168553</v>
      </c>
      <c r="F28" s="8">
        <f t="shared" si="0"/>
        <v>934997</v>
      </c>
      <c r="G28" s="22">
        <f t="shared" si="1"/>
        <v>934962.625</v>
      </c>
      <c r="H28" s="7">
        <f t="shared" si="2"/>
        <v>934967</v>
      </c>
      <c r="I28" s="5">
        <f>I29+7</f>
        <v>299088</v>
      </c>
      <c r="J28" s="6">
        <f t="shared" si="3"/>
        <v>29</v>
      </c>
      <c r="K28" s="6">
        <f t="shared" si="3"/>
        <v>21</v>
      </c>
      <c r="L28" s="6">
        <f t="shared" si="3"/>
        <v>0</v>
      </c>
      <c r="M28" s="7">
        <f t="shared" si="16"/>
        <v>7</v>
      </c>
      <c r="N28" s="5">
        <f t="shared" si="17"/>
        <v>58.928571428571431</v>
      </c>
      <c r="O28" s="3">
        <f t="shared" si="5"/>
        <v>0</v>
      </c>
      <c r="P28" s="5">
        <f t="shared" si="6"/>
        <v>58.928571428571431</v>
      </c>
      <c r="Q28" s="5">
        <f t="shared" si="7"/>
        <v>4.375</v>
      </c>
      <c r="R28" s="7">
        <f t="shared" si="18"/>
        <v>357.14285714285717</v>
      </c>
      <c r="S28" s="6">
        <f t="shared" si="9"/>
        <v>50</v>
      </c>
      <c r="T28" s="7">
        <f t="shared" si="10"/>
        <v>307.14285714285717</v>
      </c>
      <c r="U28" s="7">
        <f t="shared" si="11"/>
        <v>825.00000000000011</v>
      </c>
      <c r="V28" s="6">
        <f t="shared" si="11"/>
        <v>39</v>
      </c>
      <c r="W28" s="7">
        <f t="shared" si="12"/>
        <v>786.00000000000011</v>
      </c>
      <c r="X28" s="7">
        <f t="shared" si="13"/>
        <v>5000.0000000000009</v>
      </c>
      <c r="Y28" s="7">
        <f t="shared" si="13"/>
        <v>702</v>
      </c>
      <c r="Z28" s="7">
        <f t="shared" si="14"/>
        <v>4298.0000000000009</v>
      </c>
      <c r="AA28" s="24">
        <f t="shared" si="15"/>
        <v>0.99034174667433017</v>
      </c>
      <c r="AB28" s="1"/>
    </row>
    <row r="29" spans="2:28" ht="17.45" x14ac:dyDescent="0.3">
      <c r="B29" s="3">
        <v>13</v>
      </c>
      <c r="C29" s="5">
        <f>C30+20</f>
        <v>255704</v>
      </c>
      <c r="D29" s="5">
        <f>D30+26</f>
        <v>510690</v>
      </c>
      <c r="E29" s="5">
        <f>E30+2</f>
        <v>168553</v>
      </c>
      <c r="F29" s="8">
        <f t="shared" si="0"/>
        <v>934947</v>
      </c>
      <c r="G29" s="22">
        <f t="shared" si="1"/>
        <v>934914</v>
      </c>
      <c r="H29" s="7">
        <f t="shared" si="2"/>
        <v>934919.41666666663</v>
      </c>
      <c r="I29" s="5">
        <f>I30+12</f>
        <v>299081</v>
      </c>
      <c r="J29" s="6">
        <f t="shared" si="3"/>
        <v>20</v>
      </c>
      <c r="K29" s="6">
        <f t="shared" si="3"/>
        <v>26</v>
      </c>
      <c r="L29" s="6">
        <f t="shared" si="3"/>
        <v>2</v>
      </c>
      <c r="M29" s="6">
        <f t="shared" si="16"/>
        <v>12</v>
      </c>
      <c r="N29" s="5">
        <f t="shared" si="17"/>
        <v>58.928571428571431</v>
      </c>
      <c r="O29" s="3">
        <f t="shared" si="5"/>
        <v>2</v>
      </c>
      <c r="P29" s="5">
        <f t="shared" si="6"/>
        <v>56.928571428571431</v>
      </c>
      <c r="Q29" s="5">
        <f t="shared" si="7"/>
        <v>5.4166666666278616</v>
      </c>
      <c r="R29" s="7">
        <f t="shared" si="18"/>
        <v>357.14285714285717</v>
      </c>
      <c r="S29" s="6">
        <f t="shared" si="9"/>
        <v>48</v>
      </c>
      <c r="T29" s="7">
        <f t="shared" si="10"/>
        <v>309.14285714285717</v>
      </c>
      <c r="U29" s="7">
        <f t="shared" si="11"/>
        <v>766.07142857142867</v>
      </c>
      <c r="V29" s="6">
        <f t="shared" si="11"/>
        <v>39</v>
      </c>
      <c r="W29" s="7">
        <f t="shared" si="12"/>
        <v>727.07142857142867</v>
      </c>
      <c r="X29" s="7">
        <f t="shared" si="13"/>
        <v>4642.857142857144</v>
      </c>
      <c r="Y29" s="7">
        <f t="shared" si="13"/>
        <v>652</v>
      </c>
      <c r="Z29" s="7">
        <f t="shared" si="14"/>
        <v>3990.857142857144</v>
      </c>
      <c r="AA29" s="24">
        <f t="shared" si="15"/>
        <v>0.97014250014533188</v>
      </c>
      <c r="AB29" s="1"/>
    </row>
    <row r="30" spans="2:28" ht="17.45" x14ac:dyDescent="0.3">
      <c r="B30" s="3">
        <v>12</v>
      </c>
      <c r="C30" s="5">
        <f>C31+19</f>
        <v>255684</v>
      </c>
      <c r="D30" s="5">
        <f>D31+35</f>
        <v>510664</v>
      </c>
      <c r="E30" s="5">
        <f>E31+5</f>
        <v>168551</v>
      </c>
      <c r="F30" s="8">
        <f t="shared" si="0"/>
        <v>934899</v>
      </c>
      <c r="G30" s="22">
        <f t="shared" si="1"/>
        <v>934858.4375</v>
      </c>
      <c r="H30" s="7">
        <f t="shared" si="2"/>
        <v>934865.72916666663</v>
      </c>
      <c r="I30" s="5">
        <f>I31+11</f>
        <v>299069</v>
      </c>
      <c r="J30" s="6">
        <f t="shared" si="3"/>
        <v>19</v>
      </c>
      <c r="K30" s="6">
        <f t="shared" si="3"/>
        <v>35</v>
      </c>
      <c r="L30" s="6">
        <f t="shared" si="3"/>
        <v>5</v>
      </c>
      <c r="M30" s="6">
        <f t="shared" si="16"/>
        <v>11</v>
      </c>
      <c r="N30" s="5">
        <f t="shared" si="17"/>
        <v>58.928571428571431</v>
      </c>
      <c r="O30" s="3">
        <f t="shared" si="5"/>
        <v>5</v>
      </c>
      <c r="P30" s="5">
        <f t="shared" si="6"/>
        <v>53.928571428571431</v>
      </c>
      <c r="Q30" s="5">
        <f t="shared" si="7"/>
        <v>7.2916666666278616</v>
      </c>
      <c r="R30" s="7">
        <f t="shared" si="18"/>
        <v>357.14285714285717</v>
      </c>
      <c r="S30" s="6">
        <f t="shared" si="9"/>
        <v>59</v>
      </c>
      <c r="T30" s="7">
        <f t="shared" si="10"/>
        <v>298.14285714285717</v>
      </c>
      <c r="U30" s="7">
        <f t="shared" si="11"/>
        <v>707.14285714285722</v>
      </c>
      <c r="V30" s="6">
        <f t="shared" si="11"/>
        <v>37</v>
      </c>
      <c r="W30" s="7">
        <f t="shared" si="12"/>
        <v>670.14285714285722</v>
      </c>
      <c r="X30" s="7">
        <f t="shared" si="13"/>
        <v>4285.7142857142871</v>
      </c>
      <c r="Y30" s="7">
        <f t="shared" si="13"/>
        <v>604</v>
      </c>
      <c r="Z30" s="7">
        <f t="shared" si="14"/>
        <v>3681.7142857142871</v>
      </c>
      <c r="AA30" s="24">
        <f t="shared" si="15"/>
        <v>0.98306029894424851</v>
      </c>
      <c r="AB30" s="1"/>
    </row>
    <row r="31" spans="2:28" ht="17.45" x14ac:dyDescent="0.3">
      <c r="B31" s="3">
        <v>11</v>
      </c>
      <c r="C31" s="5">
        <f>C32+28</f>
        <v>255665</v>
      </c>
      <c r="D31" s="5">
        <f>D32+31</f>
        <v>510629</v>
      </c>
      <c r="E31" s="5">
        <f>E32+0</f>
        <v>168546</v>
      </c>
      <c r="F31" s="8">
        <f t="shared" si="0"/>
        <v>934840</v>
      </c>
      <c r="G31" s="22">
        <f t="shared" si="1"/>
        <v>934799.4375</v>
      </c>
      <c r="H31" s="7">
        <f t="shared" si="2"/>
        <v>934805.89583333337</v>
      </c>
      <c r="I31" s="5">
        <f>I32+13</f>
        <v>299058</v>
      </c>
      <c r="J31" s="6">
        <f t="shared" si="3"/>
        <v>28</v>
      </c>
      <c r="K31" s="6">
        <f t="shared" si="3"/>
        <v>31</v>
      </c>
      <c r="L31" s="6">
        <f t="shared" si="3"/>
        <v>0</v>
      </c>
      <c r="M31" s="6">
        <f t="shared" si="16"/>
        <v>13</v>
      </c>
      <c r="N31" s="5">
        <f t="shared" si="17"/>
        <v>58.928571428571431</v>
      </c>
      <c r="O31" s="3">
        <f t="shared" si="5"/>
        <v>0</v>
      </c>
      <c r="P31" s="5">
        <f t="shared" si="6"/>
        <v>58.928571428571431</v>
      </c>
      <c r="Q31" s="5">
        <f t="shared" si="7"/>
        <v>6.4583333333721384</v>
      </c>
      <c r="R31" s="7">
        <f t="shared" si="18"/>
        <v>357.14285714285717</v>
      </c>
      <c r="S31" s="6">
        <f t="shared" si="9"/>
        <v>59</v>
      </c>
      <c r="T31" s="7">
        <f t="shared" si="10"/>
        <v>298.14285714285717</v>
      </c>
      <c r="U31" s="7">
        <f t="shared" si="11"/>
        <v>648.21428571428578</v>
      </c>
      <c r="V31" s="6">
        <f t="shared" si="11"/>
        <v>32</v>
      </c>
      <c r="W31" s="7">
        <f t="shared" si="12"/>
        <v>616.21428571428578</v>
      </c>
      <c r="X31" s="7">
        <f t="shared" si="13"/>
        <v>3928.5714285714298</v>
      </c>
      <c r="Y31" s="7">
        <f t="shared" si="13"/>
        <v>545</v>
      </c>
      <c r="Z31" s="7">
        <f t="shared" si="14"/>
        <v>3383.5714285714298</v>
      </c>
      <c r="AA31" s="24">
        <f t="shared" si="15"/>
        <v>0.97657494855079419</v>
      </c>
      <c r="AB31" s="1"/>
    </row>
    <row r="32" spans="2:28" ht="17.45" x14ac:dyDescent="0.3">
      <c r="B32" s="3">
        <v>10</v>
      </c>
      <c r="C32" s="5">
        <f>C33+23</f>
        <v>255637</v>
      </c>
      <c r="D32" s="5">
        <f t="shared" ref="D32" si="21">D33+27</f>
        <v>510598</v>
      </c>
      <c r="E32" s="5">
        <f>E33+0</f>
        <v>168546</v>
      </c>
      <c r="F32" s="8">
        <f t="shared" si="0"/>
        <v>934781</v>
      </c>
      <c r="G32" s="22">
        <f t="shared" si="1"/>
        <v>934746.625</v>
      </c>
      <c r="H32" s="7">
        <f t="shared" si="2"/>
        <v>934752.25</v>
      </c>
      <c r="I32" s="5">
        <f t="shared" si="19"/>
        <v>299045</v>
      </c>
      <c r="J32" s="6">
        <f t="shared" si="3"/>
        <v>23</v>
      </c>
      <c r="K32" s="6">
        <f t="shared" si="3"/>
        <v>27</v>
      </c>
      <c r="L32" s="6">
        <f t="shared" si="3"/>
        <v>0</v>
      </c>
      <c r="M32" s="6">
        <f t="shared" si="16"/>
        <v>9</v>
      </c>
      <c r="N32" s="5">
        <f t="shared" si="17"/>
        <v>58.928571428571431</v>
      </c>
      <c r="O32" s="3">
        <f t="shared" si="5"/>
        <v>0</v>
      </c>
      <c r="P32" s="5">
        <f t="shared" si="6"/>
        <v>58.928571428571431</v>
      </c>
      <c r="Q32" s="5">
        <f t="shared" si="7"/>
        <v>5.625</v>
      </c>
      <c r="R32" s="7">
        <f t="shared" si="18"/>
        <v>357.14285714285717</v>
      </c>
      <c r="S32" s="6">
        <f t="shared" si="9"/>
        <v>50</v>
      </c>
      <c r="T32" s="7">
        <f t="shared" si="10"/>
        <v>307.14285714285717</v>
      </c>
      <c r="U32" s="7">
        <f t="shared" si="11"/>
        <v>589.28571428571433</v>
      </c>
      <c r="V32" s="6">
        <f t="shared" si="11"/>
        <v>32</v>
      </c>
      <c r="W32" s="7">
        <f t="shared" si="12"/>
        <v>557.28571428571433</v>
      </c>
      <c r="X32" s="7">
        <f t="shared" si="13"/>
        <v>3571.4285714285725</v>
      </c>
      <c r="Y32" s="7">
        <f t="shared" si="13"/>
        <v>486</v>
      </c>
      <c r="Z32" s="7">
        <f t="shared" si="14"/>
        <v>3085.4285714285725</v>
      </c>
      <c r="AA32" s="24">
        <f t="shared" si="15"/>
        <v>0.98418332397369535</v>
      </c>
      <c r="AB32" s="1"/>
    </row>
    <row r="33" spans="2:28" ht="17.45" x14ac:dyDescent="0.3">
      <c r="B33" s="3">
        <v>9</v>
      </c>
      <c r="C33" s="5">
        <f>C34+25</f>
        <v>255614</v>
      </c>
      <c r="D33" s="5">
        <f>D34+23</f>
        <v>510571</v>
      </c>
      <c r="E33" s="5">
        <f>E34+5</f>
        <v>168546</v>
      </c>
      <c r="F33" s="8">
        <f t="shared" si="0"/>
        <v>934731</v>
      </c>
      <c r="G33" s="22">
        <f t="shared" si="1"/>
        <v>934694.5625</v>
      </c>
      <c r="H33" s="7">
        <f t="shared" si="2"/>
        <v>934699.35416666663</v>
      </c>
      <c r="I33" s="5">
        <f>I34+10</f>
        <v>299036</v>
      </c>
      <c r="J33" s="6">
        <f t="shared" si="3"/>
        <v>25</v>
      </c>
      <c r="K33" s="6">
        <f t="shared" si="3"/>
        <v>23</v>
      </c>
      <c r="L33" s="6">
        <f t="shared" si="3"/>
        <v>5</v>
      </c>
      <c r="M33" s="6">
        <f t="shared" si="16"/>
        <v>10</v>
      </c>
      <c r="N33" s="5">
        <f t="shared" si="17"/>
        <v>58.928571428571431</v>
      </c>
      <c r="O33" s="3">
        <f t="shared" si="5"/>
        <v>5</v>
      </c>
      <c r="P33" s="5">
        <f t="shared" si="6"/>
        <v>53.928571428571431</v>
      </c>
      <c r="Q33" s="5">
        <f t="shared" si="7"/>
        <v>4.7916666666278616</v>
      </c>
      <c r="R33" s="7">
        <f t="shared" si="18"/>
        <v>357.14285714285717</v>
      </c>
      <c r="S33" s="6">
        <f t="shared" si="9"/>
        <v>53</v>
      </c>
      <c r="T33" s="7">
        <f t="shared" si="10"/>
        <v>304.14285714285717</v>
      </c>
      <c r="U33" s="7">
        <f t="shared" si="11"/>
        <v>530.35714285714289</v>
      </c>
      <c r="V33" s="6">
        <f t="shared" si="11"/>
        <v>32</v>
      </c>
      <c r="W33" s="7">
        <f t="shared" si="12"/>
        <v>498.35714285714289</v>
      </c>
      <c r="X33" s="7">
        <f t="shared" si="13"/>
        <v>3214.2857142857151</v>
      </c>
      <c r="Y33" s="7">
        <f t="shared" si="13"/>
        <v>436</v>
      </c>
      <c r="Z33" s="7">
        <f t="shared" si="14"/>
        <v>2778.2857142857151</v>
      </c>
      <c r="AA33" s="24">
        <f t="shared" si="15"/>
        <v>0.98266165374847081</v>
      </c>
      <c r="AB33" s="1"/>
    </row>
    <row r="34" spans="2:28" ht="17.45" x14ac:dyDescent="0.3">
      <c r="B34" s="3">
        <v>8</v>
      </c>
      <c r="C34" s="5">
        <f>C35+21</f>
        <v>255589</v>
      </c>
      <c r="D34" s="5">
        <f>D35+24</f>
        <v>510548</v>
      </c>
      <c r="E34" s="5">
        <f t="shared" ref="E34:E40" si="22">E35+3</f>
        <v>168541</v>
      </c>
      <c r="F34" s="8">
        <f t="shared" si="0"/>
        <v>934678</v>
      </c>
      <c r="G34" s="22">
        <f t="shared" si="1"/>
        <v>934645</v>
      </c>
      <c r="H34" s="7">
        <f t="shared" si="2"/>
        <v>934650</v>
      </c>
      <c r="I34" s="5">
        <f>I35+6</f>
        <v>299026</v>
      </c>
      <c r="J34" s="6">
        <f t="shared" si="3"/>
        <v>21</v>
      </c>
      <c r="K34" s="6">
        <f t="shared" si="3"/>
        <v>24</v>
      </c>
      <c r="L34" s="6">
        <f t="shared" si="3"/>
        <v>3</v>
      </c>
      <c r="M34" s="6">
        <f t="shared" si="16"/>
        <v>6</v>
      </c>
      <c r="N34" s="5">
        <f t="shared" si="17"/>
        <v>58.928571428571431</v>
      </c>
      <c r="O34" s="3">
        <f t="shared" si="5"/>
        <v>3</v>
      </c>
      <c r="P34" s="5">
        <f t="shared" si="6"/>
        <v>55.928571428571431</v>
      </c>
      <c r="Q34" s="5">
        <f t="shared" si="7"/>
        <v>5</v>
      </c>
      <c r="R34" s="7">
        <f t="shared" si="18"/>
        <v>357.14285714285717</v>
      </c>
      <c r="S34" s="6">
        <f t="shared" si="9"/>
        <v>48</v>
      </c>
      <c r="T34" s="7">
        <f t="shared" si="10"/>
        <v>309.14285714285717</v>
      </c>
      <c r="U34" s="7">
        <f t="shared" si="11"/>
        <v>471.4285714285715</v>
      </c>
      <c r="V34" s="6">
        <f t="shared" si="11"/>
        <v>27</v>
      </c>
      <c r="W34" s="7">
        <f t="shared" si="12"/>
        <v>444.4285714285715</v>
      </c>
      <c r="X34" s="7">
        <f t="shared" si="13"/>
        <v>2857.1428571428578</v>
      </c>
      <c r="Y34" s="7">
        <f t="shared" si="13"/>
        <v>383</v>
      </c>
      <c r="Z34" s="7">
        <f t="shared" si="14"/>
        <v>2474.1428571428578</v>
      </c>
      <c r="AA34" s="24">
        <f t="shared" si="15"/>
        <v>0.99227787671366763</v>
      </c>
      <c r="AB34" s="1"/>
    </row>
    <row r="35" spans="2:28" ht="17.45" x14ac:dyDescent="0.3">
      <c r="B35" s="3">
        <v>7</v>
      </c>
      <c r="C35" s="5">
        <f>C36+16</f>
        <v>255568</v>
      </c>
      <c r="D35" s="5">
        <f>D36+29</f>
        <v>510524</v>
      </c>
      <c r="E35" s="5">
        <f t="shared" si="22"/>
        <v>168538</v>
      </c>
      <c r="F35" s="8">
        <f t="shared" si="0"/>
        <v>934630</v>
      </c>
      <c r="G35" s="22">
        <f t="shared" si="1"/>
        <v>934597</v>
      </c>
      <c r="H35" s="7">
        <f t="shared" si="2"/>
        <v>934603.04166666663</v>
      </c>
      <c r="I35" s="5">
        <f>I36+8</f>
        <v>299020</v>
      </c>
      <c r="J35" s="6">
        <f t="shared" si="3"/>
        <v>16</v>
      </c>
      <c r="K35" s="6">
        <f t="shared" si="3"/>
        <v>29</v>
      </c>
      <c r="L35" s="6">
        <f t="shared" si="3"/>
        <v>3</v>
      </c>
      <c r="M35" s="6">
        <f t="shared" si="16"/>
        <v>8</v>
      </c>
      <c r="N35" s="5">
        <f t="shared" si="17"/>
        <v>58.928571428571431</v>
      </c>
      <c r="O35" s="3">
        <f t="shared" si="5"/>
        <v>3</v>
      </c>
      <c r="P35" s="5">
        <f t="shared" si="6"/>
        <v>55.928571428571431</v>
      </c>
      <c r="Q35" s="5">
        <f t="shared" si="7"/>
        <v>6.0416666666278616</v>
      </c>
      <c r="R35" s="7">
        <f t="shared" si="18"/>
        <v>357.14285714285717</v>
      </c>
      <c r="S35" s="6">
        <f t="shared" si="9"/>
        <v>48</v>
      </c>
      <c r="T35" s="7">
        <f t="shared" si="10"/>
        <v>309.14285714285717</v>
      </c>
      <c r="U35" s="7">
        <f t="shared" si="11"/>
        <v>412.50000000000006</v>
      </c>
      <c r="V35" s="6">
        <f t="shared" si="11"/>
        <v>24</v>
      </c>
      <c r="W35" s="7">
        <f t="shared" si="12"/>
        <v>388.50000000000006</v>
      </c>
      <c r="X35" s="7">
        <f t="shared" si="13"/>
        <v>2500.0000000000005</v>
      </c>
      <c r="Y35" s="7">
        <f t="shared" si="13"/>
        <v>335</v>
      </c>
      <c r="Z35" s="7">
        <f t="shared" si="14"/>
        <v>2165.0000000000005</v>
      </c>
      <c r="AA35" s="24">
        <f t="shared" si="15"/>
        <v>0.98639392383214375</v>
      </c>
      <c r="AB35" s="1"/>
    </row>
    <row r="36" spans="2:28" ht="17.45" x14ac:dyDescent="0.3">
      <c r="B36" s="3">
        <v>6</v>
      </c>
      <c r="C36" s="5">
        <f>C37+11</f>
        <v>255552</v>
      </c>
      <c r="D36" s="5">
        <f>D37+33</f>
        <v>510495</v>
      </c>
      <c r="E36" s="5">
        <f>E37+9</f>
        <v>168535</v>
      </c>
      <c r="F36" s="8">
        <f t="shared" si="0"/>
        <v>934582</v>
      </c>
      <c r="G36" s="22">
        <f t="shared" si="1"/>
        <v>934545.5625</v>
      </c>
      <c r="H36" s="7">
        <f t="shared" si="2"/>
        <v>934552.4375</v>
      </c>
      <c r="I36" s="5">
        <f>I37+7</f>
        <v>299012</v>
      </c>
      <c r="J36" s="6">
        <f t="shared" si="3"/>
        <v>11</v>
      </c>
      <c r="K36" s="6">
        <f t="shared" si="3"/>
        <v>33</v>
      </c>
      <c r="L36" s="6">
        <f t="shared" si="3"/>
        <v>9</v>
      </c>
      <c r="M36" s="6">
        <f t="shared" si="16"/>
        <v>7</v>
      </c>
      <c r="N36" s="5">
        <f t="shared" si="17"/>
        <v>58.928571428571431</v>
      </c>
      <c r="O36" s="3">
        <f t="shared" si="5"/>
        <v>9</v>
      </c>
      <c r="P36" s="5">
        <f t="shared" si="6"/>
        <v>49.928571428571431</v>
      </c>
      <c r="Q36" s="5">
        <f t="shared" si="7"/>
        <v>6.875</v>
      </c>
      <c r="R36" s="7">
        <f t="shared" si="18"/>
        <v>357.14285714285717</v>
      </c>
      <c r="S36" s="6">
        <f t="shared" si="9"/>
        <v>53</v>
      </c>
      <c r="T36" s="7">
        <f t="shared" si="10"/>
        <v>304.14285714285717</v>
      </c>
      <c r="U36" s="7">
        <f t="shared" si="11"/>
        <v>353.57142857142861</v>
      </c>
      <c r="V36" s="6">
        <f t="shared" si="11"/>
        <v>21</v>
      </c>
      <c r="W36" s="7">
        <f t="shared" si="12"/>
        <v>332.57142857142861</v>
      </c>
      <c r="X36" s="7">
        <f t="shared" si="13"/>
        <v>2142.8571428571431</v>
      </c>
      <c r="Y36" s="7">
        <f t="shared" si="13"/>
        <v>287</v>
      </c>
      <c r="Z36" s="7">
        <f t="shared" si="14"/>
        <v>1855.8571428571431</v>
      </c>
      <c r="AA36" s="24">
        <f t="shared" si="15"/>
        <v>0.99139051007005452</v>
      </c>
      <c r="AB36" s="1"/>
    </row>
    <row r="37" spans="2:28" ht="17.45" x14ac:dyDescent="0.3">
      <c r="B37" s="3">
        <v>5</v>
      </c>
      <c r="C37" s="5">
        <f>C38+18</f>
        <v>255541</v>
      </c>
      <c r="D37" s="5">
        <f>D38+30</f>
        <v>510462</v>
      </c>
      <c r="E37" s="5">
        <f t="shared" si="22"/>
        <v>168526</v>
      </c>
      <c r="F37" s="8">
        <f t="shared" si="0"/>
        <v>934529</v>
      </c>
      <c r="G37" s="22">
        <f t="shared" si="1"/>
        <v>934493.9375</v>
      </c>
      <c r="H37" s="7">
        <f t="shared" si="2"/>
        <v>934500.1875</v>
      </c>
      <c r="I37" s="5">
        <f>I38+14</f>
        <v>299005</v>
      </c>
      <c r="J37" s="6">
        <f t="shared" si="3"/>
        <v>18</v>
      </c>
      <c r="K37" s="6">
        <f t="shared" si="3"/>
        <v>30</v>
      </c>
      <c r="L37" s="6">
        <f t="shared" si="3"/>
        <v>3</v>
      </c>
      <c r="M37" s="6">
        <f t="shared" si="16"/>
        <v>14</v>
      </c>
      <c r="N37" s="5">
        <f t="shared" si="17"/>
        <v>58.928571428571431</v>
      </c>
      <c r="O37" s="3">
        <f t="shared" si="5"/>
        <v>3</v>
      </c>
      <c r="P37" s="5">
        <f t="shared" si="6"/>
        <v>55.928571428571431</v>
      </c>
      <c r="Q37" s="5">
        <f t="shared" si="7"/>
        <v>6.25</v>
      </c>
      <c r="R37" s="7">
        <f t="shared" si="18"/>
        <v>357.14285714285717</v>
      </c>
      <c r="S37" s="6">
        <f t="shared" si="9"/>
        <v>51</v>
      </c>
      <c r="T37" s="7">
        <f t="shared" si="10"/>
        <v>306.14285714285717</v>
      </c>
      <c r="U37" s="7">
        <f t="shared" si="11"/>
        <v>294.64285714285717</v>
      </c>
      <c r="V37" s="6">
        <f t="shared" si="11"/>
        <v>12</v>
      </c>
      <c r="W37" s="7">
        <f t="shared" si="12"/>
        <v>282.64285714285717</v>
      </c>
      <c r="X37" s="7">
        <f t="shared" si="13"/>
        <v>1785.7142857142858</v>
      </c>
      <c r="Y37" s="7">
        <f t="shared" si="13"/>
        <v>234</v>
      </c>
      <c r="Z37" s="7">
        <f t="shared" si="14"/>
        <v>1551.7142857142858</v>
      </c>
      <c r="AA37" s="24">
        <f t="shared" si="15"/>
        <v>0.96432614791711824</v>
      </c>
      <c r="AB37" s="1"/>
    </row>
    <row r="38" spans="2:28" ht="17.45" x14ac:dyDescent="0.3">
      <c r="B38" s="3">
        <v>4</v>
      </c>
      <c r="C38" s="5">
        <f>C39+22</f>
        <v>255523</v>
      </c>
      <c r="D38" s="5">
        <f>D39+22</f>
        <v>510432</v>
      </c>
      <c r="E38" s="5">
        <f>E39+0</f>
        <v>168523</v>
      </c>
      <c r="F38" s="8">
        <f t="shared" si="0"/>
        <v>934478</v>
      </c>
      <c r="G38" s="22">
        <f t="shared" si="1"/>
        <v>934447.75</v>
      </c>
      <c r="H38" s="7">
        <f t="shared" si="2"/>
        <v>934452.33333333337</v>
      </c>
      <c r="I38" s="5">
        <f>I39+5</f>
        <v>298991</v>
      </c>
      <c r="J38" s="6">
        <f t="shared" si="3"/>
        <v>22</v>
      </c>
      <c r="K38" s="6">
        <f t="shared" si="3"/>
        <v>22</v>
      </c>
      <c r="L38" s="6">
        <f t="shared" si="3"/>
        <v>0</v>
      </c>
      <c r="M38" s="6">
        <f>I38-I39</f>
        <v>5</v>
      </c>
      <c r="N38" s="5">
        <f t="shared" si="17"/>
        <v>58.928571428571431</v>
      </c>
      <c r="O38" s="3">
        <f t="shared" si="5"/>
        <v>0</v>
      </c>
      <c r="P38" s="5">
        <f t="shared" si="6"/>
        <v>58.928571428571431</v>
      </c>
      <c r="Q38" s="5">
        <f t="shared" si="7"/>
        <v>4.5833333333721384</v>
      </c>
      <c r="R38" s="7">
        <f t="shared" si="18"/>
        <v>357.14285714285717</v>
      </c>
      <c r="S38" s="6">
        <f t="shared" si="9"/>
        <v>44</v>
      </c>
      <c r="T38" s="7">
        <f t="shared" si="10"/>
        <v>313.14285714285717</v>
      </c>
      <c r="U38" s="7">
        <f t="shared" si="11"/>
        <v>235.71428571428572</v>
      </c>
      <c r="V38" s="6">
        <f t="shared" si="11"/>
        <v>9</v>
      </c>
      <c r="W38" s="7">
        <f t="shared" si="12"/>
        <v>226.71428571428572</v>
      </c>
      <c r="X38" s="7">
        <f t="shared" si="13"/>
        <v>1428.5714285714287</v>
      </c>
      <c r="Y38" s="7">
        <f t="shared" si="13"/>
        <v>183</v>
      </c>
      <c r="Z38" s="7">
        <f t="shared" si="14"/>
        <v>1245.5714285714287</v>
      </c>
      <c r="AA38" s="24">
        <f t="shared" si="15"/>
        <v>0.99360525478971873</v>
      </c>
      <c r="AB38" s="1"/>
    </row>
    <row r="39" spans="2:28" ht="17.45" x14ac:dyDescent="0.3">
      <c r="B39" s="3">
        <v>3</v>
      </c>
      <c r="C39" s="5">
        <f>C40+17</f>
        <v>255501</v>
      </c>
      <c r="D39" s="5">
        <f>D40+28</f>
        <v>510410</v>
      </c>
      <c r="E39" s="5">
        <f>E40+0</f>
        <v>168523</v>
      </c>
      <c r="F39" s="8">
        <f t="shared" si="0"/>
        <v>934434</v>
      </c>
      <c r="G39" s="22">
        <f t="shared" si="1"/>
        <v>934403.0625</v>
      </c>
      <c r="H39" s="7">
        <f t="shared" si="2"/>
        <v>934408.89583333337</v>
      </c>
      <c r="I39" s="5">
        <f>I40+7</f>
        <v>298986</v>
      </c>
      <c r="J39" s="6">
        <f t="shared" si="3"/>
        <v>17</v>
      </c>
      <c r="K39" s="6">
        <f t="shared" si="3"/>
        <v>28</v>
      </c>
      <c r="L39" s="6">
        <f t="shared" si="3"/>
        <v>0</v>
      </c>
      <c r="M39" s="6">
        <f>I39-I40</f>
        <v>7</v>
      </c>
      <c r="N39" s="5">
        <f t="shared" si="17"/>
        <v>58.928571428571431</v>
      </c>
      <c r="O39" s="3">
        <f t="shared" si="5"/>
        <v>0</v>
      </c>
      <c r="P39" s="5">
        <f t="shared" si="6"/>
        <v>58.928571428571431</v>
      </c>
      <c r="Q39" s="5">
        <f t="shared" si="7"/>
        <v>5.8333333333721384</v>
      </c>
      <c r="R39" s="7">
        <f t="shared" si="18"/>
        <v>357.14285714285717</v>
      </c>
      <c r="S39" s="6">
        <f t="shared" si="9"/>
        <v>45</v>
      </c>
      <c r="T39" s="7">
        <f t="shared" si="10"/>
        <v>312.14285714285717</v>
      </c>
      <c r="U39" s="7">
        <f t="shared" si="11"/>
        <v>176.78571428571428</v>
      </c>
      <c r="V39" s="6">
        <f t="shared" si="11"/>
        <v>9</v>
      </c>
      <c r="W39" s="7">
        <f t="shared" si="12"/>
        <v>167.78571428571428</v>
      </c>
      <c r="X39" s="7">
        <f t="shared" si="13"/>
        <v>1071.4285714285716</v>
      </c>
      <c r="Y39" s="7">
        <f t="shared" si="13"/>
        <v>139</v>
      </c>
      <c r="Z39" s="7">
        <f t="shared" si="14"/>
        <v>932.42857142857156</v>
      </c>
      <c r="AA39" s="24">
        <f t="shared" si="15"/>
        <v>0.98811646895488237</v>
      </c>
      <c r="AB39" s="1"/>
    </row>
    <row r="40" spans="2:28" ht="17.45" x14ac:dyDescent="0.3">
      <c r="B40" s="3">
        <v>2</v>
      </c>
      <c r="C40" s="5">
        <f>C41+14</f>
        <v>255484</v>
      </c>
      <c r="D40" s="5">
        <f>D41+25</f>
        <v>510382</v>
      </c>
      <c r="E40" s="5">
        <f t="shared" si="22"/>
        <v>168523</v>
      </c>
      <c r="F40" s="8">
        <f t="shared" si="0"/>
        <v>934389</v>
      </c>
      <c r="G40" s="22">
        <f t="shared" si="1"/>
        <v>934360.125</v>
      </c>
      <c r="H40" s="7">
        <f t="shared" si="2"/>
        <v>934365.33333333337</v>
      </c>
      <c r="I40" s="5">
        <f t="shared" si="19"/>
        <v>298979</v>
      </c>
      <c r="J40" s="6">
        <f t="shared" si="3"/>
        <v>14</v>
      </c>
      <c r="K40" s="6">
        <f t="shared" si="3"/>
        <v>25</v>
      </c>
      <c r="L40" s="6">
        <f t="shared" si="3"/>
        <v>3</v>
      </c>
      <c r="M40" s="6">
        <f>I40-I41</f>
        <v>9</v>
      </c>
      <c r="N40" s="5">
        <f t="shared" si="17"/>
        <v>58.928571428571431</v>
      </c>
      <c r="O40" s="3">
        <f t="shared" si="5"/>
        <v>3</v>
      </c>
      <c r="P40" s="5">
        <f t="shared" si="6"/>
        <v>55.928571428571431</v>
      </c>
      <c r="Q40" s="5">
        <f t="shared" si="7"/>
        <v>5.2083333333721384</v>
      </c>
      <c r="R40" s="7">
        <f>R41</f>
        <v>357.14285714285717</v>
      </c>
      <c r="S40" s="6">
        <f t="shared" si="9"/>
        <v>42</v>
      </c>
      <c r="T40" s="7">
        <f t="shared" si="10"/>
        <v>315.14285714285717</v>
      </c>
      <c r="U40" s="7">
        <f t="shared" si="11"/>
        <v>117.85714285714286</v>
      </c>
      <c r="V40" s="6">
        <f t="shared" si="11"/>
        <v>9</v>
      </c>
      <c r="W40" s="7">
        <f t="shared" si="12"/>
        <v>108.85714285714286</v>
      </c>
      <c r="X40" s="7">
        <f t="shared" si="13"/>
        <v>714.28571428571433</v>
      </c>
      <c r="Y40" s="7">
        <f t="shared" si="13"/>
        <v>94</v>
      </c>
      <c r="Z40" s="7">
        <f t="shared" si="14"/>
        <v>620.28571428571433</v>
      </c>
      <c r="AA40" s="24">
        <f t="shared" si="15"/>
        <v>0.97780241407740953</v>
      </c>
      <c r="AB40" s="1"/>
    </row>
    <row r="41" spans="2:28" ht="18" thickBot="1" x14ac:dyDescent="0.35">
      <c r="B41" s="3">
        <v>1</v>
      </c>
      <c r="C41" s="5">
        <f>C42+19</f>
        <v>255470</v>
      </c>
      <c r="D41" s="5">
        <f>D42+27</f>
        <v>510357</v>
      </c>
      <c r="E41" s="5">
        <f>E42+6</f>
        <v>168520</v>
      </c>
      <c r="F41" s="8">
        <f>C41+D41+E41</f>
        <v>934347</v>
      </c>
      <c r="G41" s="22">
        <f>(C42+D42+E42)+((S41/24)*7.5)</f>
        <v>934311.25</v>
      </c>
      <c r="H41" s="7">
        <f>G41+((K41/12)*2.5)</f>
        <v>934316.875</v>
      </c>
      <c r="I41" s="5">
        <f>I42+12</f>
        <v>298970</v>
      </c>
      <c r="J41" s="6">
        <f t="shared" si="3"/>
        <v>19</v>
      </c>
      <c r="K41" s="6">
        <f t="shared" si="3"/>
        <v>27</v>
      </c>
      <c r="L41" s="6">
        <f t="shared" si="3"/>
        <v>6</v>
      </c>
      <c r="M41" s="6">
        <f t="shared" si="16"/>
        <v>12</v>
      </c>
      <c r="N41" s="43">
        <f>O6/28</f>
        <v>58.928571428571431</v>
      </c>
      <c r="O41" s="3">
        <f t="shared" si="5"/>
        <v>6</v>
      </c>
      <c r="P41" s="5">
        <f t="shared" si="6"/>
        <v>52.928571428571431</v>
      </c>
      <c r="Q41" s="5">
        <f t="shared" si="7"/>
        <v>5.625</v>
      </c>
      <c r="R41" s="45">
        <f>S6/28</f>
        <v>357.14285714285717</v>
      </c>
      <c r="S41" s="6">
        <f t="shared" si="9"/>
        <v>52</v>
      </c>
      <c r="T41" s="7">
        <f t="shared" si="10"/>
        <v>305.14285714285717</v>
      </c>
      <c r="U41" s="7">
        <f>N41</f>
        <v>58.928571428571431</v>
      </c>
      <c r="V41" s="6">
        <f>O41</f>
        <v>6</v>
      </c>
      <c r="W41" s="7">
        <f t="shared" si="12"/>
        <v>52.928571428571431</v>
      </c>
      <c r="X41" s="7">
        <f>R41</f>
        <v>357.14285714285717</v>
      </c>
      <c r="Y41" s="7">
        <f>S41</f>
        <v>52</v>
      </c>
      <c r="Z41" s="7">
        <f t="shared" si="14"/>
        <v>305.14285714285717</v>
      </c>
      <c r="AA41" s="56">
        <f t="shared" si="15"/>
        <v>0.97439119569461985</v>
      </c>
      <c r="AB41" s="1"/>
    </row>
    <row r="42" spans="2:28" ht="52.9" thickBot="1" x14ac:dyDescent="0.35">
      <c r="B42" s="33" t="s">
        <v>13</v>
      </c>
      <c r="C42" s="3">
        <v>255451</v>
      </c>
      <c r="D42" s="3">
        <v>510330</v>
      </c>
      <c r="E42" s="3">
        <v>168514</v>
      </c>
      <c r="F42" s="8">
        <v>934295</v>
      </c>
      <c r="G42" s="9">
        <v>934264.79166666663</v>
      </c>
      <c r="H42" s="9">
        <v>934266.875</v>
      </c>
      <c r="I42" s="3">
        <v>298958</v>
      </c>
      <c r="J42" s="10"/>
      <c r="K42" s="10"/>
      <c r="L42" s="10"/>
      <c r="M42" s="46">
        <f>SUM(M14:M41)</f>
        <v>256</v>
      </c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58">
        <f>AVERAGE(AA14:AA41)</f>
        <v>0.98181840631103745</v>
      </c>
    </row>
    <row r="43" spans="2:28" ht="17.45" x14ac:dyDescent="0.3">
      <c r="B43" s="34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2:28" ht="17.45" x14ac:dyDescent="0.3"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2:28" ht="15.75" customHeight="1" x14ac:dyDescent="0.3">
      <c r="B45" s="48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39"/>
      <c r="R45" s="85"/>
      <c r="S45" s="85"/>
      <c r="T45" s="85"/>
      <c r="U45" s="85"/>
      <c r="V45" s="85"/>
      <c r="W45" s="85"/>
      <c r="X45" s="10"/>
      <c r="Y45" s="10"/>
      <c r="Z45" s="10"/>
      <c r="AA45" s="10"/>
      <c r="AB45" s="39"/>
    </row>
    <row r="51" spans="26:27" ht="17.45" x14ac:dyDescent="0.3">
      <c r="Z51" s="10" t="s">
        <v>38</v>
      </c>
    </row>
    <row r="52" spans="26:27" ht="18" x14ac:dyDescent="0.25">
      <c r="Z52" s="10" t="s">
        <v>44</v>
      </c>
      <c r="AA52" s="10"/>
    </row>
    <row r="53" spans="26:27" ht="17.45" x14ac:dyDescent="0.3">
      <c r="Z53" s="10" t="s">
        <v>45</v>
      </c>
      <c r="AA53" s="10"/>
    </row>
    <row r="54" spans="26:27" ht="17.45" x14ac:dyDescent="0.3">
      <c r="Z54" s="10" t="s">
        <v>12</v>
      </c>
      <c r="AA54" s="10"/>
    </row>
  </sheetData>
  <mergeCells count="15">
    <mergeCell ref="C5:D5"/>
    <mergeCell ref="U7:W7"/>
    <mergeCell ref="X7:AA7"/>
    <mergeCell ref="AB7:AB8"/>
    <mergeCell ref="B7:B8"/>
    <mergeCell ref="C7:I7"/>
    <mergeCell ref="J7:M7"/>
    <mergeCell ref="N7:P7"/>
    <mergeCell ref="Q7:Q8"/>
    <mergeCell ref="R7:T7"/>
    <mergeCell ref="C45:I45"/>
    <mergeCell ref="J45:M45"/>
    <mergeCell ref="N45:P45"/>
    <mergeCell ref="R45:T45"/>
    <mergeCell ref="U45:W45"/>
  </mergeCells>
  <printOptions horizontalCentered="1"/>
  <pageMargins left="0.25" right="0.25" top="0.75" bottom="0.75" header="0.3" footer="0.3"/>
  <pageSetup paperSize="9" scale="4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pageSetUpPr fitToPage="1"/>
  </sheetPr>
  <dimension ref="B2:AB51"/>
  <sheetViews>
    <sheetView zoomScale="85" zoomScaleNormal="85" zoomScaleSheetLayoutView="93" workbookViewId="0">
      <pane ySplit="8" topLeftCell="A9" activePane="bottomLeft" state="frozen"/>
      <selection pane="bottomLeft" activeCell="F22" sqref="F22"/>
    </sheetView>
  </sheetViews>
  <sheetFormatPr baseColWidth="10" defaultColWidth="11.42578125" defaultRowHeight="15" x14ac:dyDescent="0.25"/>
  <cols>
    <col min="1" max="2" width="11.42578125" customWidth="1"/>
    <col min="3" max="3" width="12.28515625" bestFit="1" customWidth="1"/>
    <col min="4" max="4" width="13.85546875" bestFit="1" customWidth="1"/>
    <col min="5" max="5" width="11.42578125" customWidth="1"/>
    <col min="6" max="6" width="12.28515625" customWidth="1"/>
    <col min="7" max="7" width="13.28515625" customWidth="1"/>
    <col min="8" max="8" width="13.5703125" customWidth="1"/>
    <col min="9" max="9" width="12.28515625" bestFit="1" customWidth="1"/>
    <col min="16" max="16" width="13.42578125" bestFit="1" customWidth="1"/>
    <col min="17" max="17" width="13.140625" customWidth="1"/>
    <col min="19" max="19" width="13.7109375" customWidth="1"/>
    <col min="20" max="20" width="14.7109375" bestFit="1" customWidth="1"/>
    <col min="21" max="21" width="11.7109375" bestFit="1" customWidth="1"/>
    <col min="22" max="22" width="13.28515625" bestFit="1" customWidth="1"/>
    <col min="23" max="23" width="12.5703125" bestFit="1" customWidth="1"/>
    <col min="24" max="24" width="11.5703125" bestFit="1" customWidth="1"/>
    <col min="25" max="25" width="14" bestFit="1" customWidth="1"/>
    <col min="26" max="26" width="13.42578125" bestFit="1" customWidth="1"/>
    <col min="27" max="27" width="15.140625" customWidth="1"/>
    <col min="28" max="28" width="16.140625" customWidth="1"/>
  </cols>
  <sheetData>
    <row r="2" spans="2:28" ht="15.75" customHeight="1" x14ac:dyDescent="0.25">
      <c r="G2" s="26" t="s">
        <v>29</v>
      </c>
    </row>
    <row r="3" spans="2:28" ht="15.75" customHeight="1" x14ac:dyDescent="0.25">
      <c r="G3" s="26" t="s">
        <v>28</v>
      </c>
    </row>
    <row r="4" spans="2:28" ht="15.75" customHeight="1" x14ac:dyDescent="0.3">
      <c r="G4" s="27" t="s">
        <v>30</v>
      </c>
      <c r="N4" s="28">
        <f>'Ciencia A'!N4</f>
        <v>45689</v>
      </c>
    </row>
    <row r="5" spans="2:28" x14ac:dyDescent="0.25">
      <c r="C5" s="81" t="s">
        <v>36</v>
      </c>
      <c r="D5" s="81"/>
      <c r="T5" s="52"/>
      <c r="U5" s="52" t="s">
        <v>42</v>
      </c>
      <c r="V5" s="52" t="s">
        <v>43</v>
      </c>
    </row>
    <row r="6" spans="2:28" ht="15.75" x14ac:dyDescent="0.25">
      <c r="N6" s="13" t="s">
        <v>27</v>
      </c>
      <c r="O6" s="29">
        <f>S6*16.5%</f>
        <v>3300</v>
      </c>
      <c r="P6" s="30" t="s">
        <v>26</v>
      </c>
      <c r="Q6" s="11">
        <f>(S6*8)/100</f>
        <v>1600</v>
      </c>
      <c r="R6" s="13" t="s">
        <v>25</v>
      </c>
      <c r="S6" s="11">
        <v>20000</v>
      </c>
      <c r="T6" s="52" t="s">
        <v>41</v>
      </c>
      <c r="U6" s="52">
        <v>362</v>
      </c>
      <c r="V6" s="51">
        <f>U6/31</f>
        <v>11.67741935483871</v>
      </c>
    </row>
    <row r="7" spans="2:28" ht="46.5" customHeight="1" x14ac:dyDescent="0.25">
      <c r="B7" s="84" t="s">
        <v>24</v>
      </c>
      <c r="C7" s="82"/>
      <c r="D7" s="82"/>
      <c r="E7" s="82"/>
      <c r="F7" s="82"/>
      <c r="G7" s="82"/>
      <c r="H7" s="82"/>
      <c r="I7" s="82"/>
      <c r="J7" s="82" t="s">
        <v>23</v>
      </c>
      <c r="K7" s="82"/>
      <c r="L7" s="82"/>
      <c r="M7" s="82"/>
      <c r="N7" s="82" t="s">
        <v>22</v>
      </c>
      <c r="O7" s="82"/>
      <c r="P7" s="82"/>
      <c r="Q7" s="83" t="s">
        <v>21</v>
      </c>
      <c r="R7" s="82" t="s">
        <v>20</v>
      </c>
      <c r="S7" s="82"/>
      <c r="T7" s="82"/>
      <c r="U7" s="82" t="s">
        <v>10</v>
      </c>
      <c r="V7" s="82"/>
      <c r="W7" s="82"/>
      <c r="X7" s="82" t="s">
        <v>11</v>
      </c>
      <c r="Y7" s="82"/>
      <c r="Z7" s="82"/>
      <c r="AA7" s="82"/>
      <c r="AB7" s="83" t="s">
        <v>8</v>
      </c>
    </row>
    <row r="8" spans="2:28" ht="30" x14ac:dyDescent="0.25">
      <c r="B8" s="84"/>
      <c r="C8" s="14" t="s">
        <v>1</v>
      </c>
      <c r="D8" s="14" t="s">
        <v>0</v>
      </c>
      <c r="E8" s="14" t="s">
        <v>2</v>
      </c>
      <c r="F8" s="14" t="s">
        <v>19</v>
      </c>
      <c r="G8" s="14" t="s">
        <v>18</v>
      </c>
      <c r="H8" s="14" t="s">
        <v>17</v>
      </c>
      <c r="I8" s="14" t="s">
        <v>3</v>
      </c>
      <c r="J8" s="14" t="s">
        <v>1</v>
      </c>
      <c r="K8" s="14" t="s">
        <v>0</v>
      </c>
      <c r="L8" s="14" t="s">
        <v>2</v>
      </c>
      <c r="M8" s="14" t="s">
        <v>3</v>
      </c>
      <c r="N8" s="14" t="s">
        <v>4</v>
      </c>
      <c r="O8" s="14" t="s">
        <v>5</v>
      </c>
      <c r="P8" s="14" t="s">
        <v>16</v>
      </c>
      <c r="Q8" s="83"/>
      <c r="R8" s="14" t="s">
        <v>6</v>
      </c>
      <c r="S8" s="14" t="s">
        <v>15</v>
      </c>
      <c r="T8" s="14" t="s">
        <v>16</v>
      </c>
      <c r="U8" s="14" t="s">
        <v>4</v>
      </c>
      <c r="V8" s="14" t="s">
        <v>5</v>
      </c>
      <c r="W8" s="14" t="s">
        <v>16</v>
      </c>
      <c r="X8" s="14" t="s">
        <v>6</v>
      </c>
      <c r="Y8" s="14" t="s">
        <v>15</v>
      </c>
      <c r="Z8" s="31" t="s">
        <v>14</v>
      </c>
      <c r="AA8" s="14" t="s">
        <v>7</v>
      </c>
      <c r="AB8" s="83"/>
    </row>
    <row r="9" spans="2:28" x14ac:dyDescent="0.25">
      <c r="B9" s="32"/>
      <c r="C9" s="2">
        <v>1</v>
      </c>
      <c r="D9" s="2">
        <v>2</v>
      </c>
      <c r="E9" s="2">
        <v>3</v>
      </c>
      <c r="F9" s="2"/>
      <c r="G9" s="2">
        <v>4</v>
      </c>
      <c r="H9" s="2">
        <v>5</v>
      </c>
      <c r="I9" s="2">
        <v>6</v>
      </c>
      <c r="J9" s="2">
        <v>7</v>
      </c>
      <c r="K9" s="2">
        <v>8</v>
      </c>
      <c r="L9" s="2">
        <v>9</v>
      </c>
      <c r="M9" s="2">
        <v>10</v>
      </c>
      <c r="N9" s="2">
        <v>11</v>
      </c>
      <c r="O9" s="2">
        <v>12</v>
      </c>
      <c r="P9" s="2">
        <v>13</v>
      </c>
      <c r="Q9" s="2">
        <v>14</v>
      </c>
      <c r="R9" s="2">
        <v>15</v>
      </c>
      <c r="S9" s="2">
        <v>16</v>
      </c>
      <c r="T9" s="2">
        <v>17</v>
      </c>
      <c r="U9" s="2">
        <v>18</v>
      </c>
      <c r="V9" s="2">
        <v>19</v>
      </c>
      <c r="W9" s="2">
        <v>20</v>
      </c>
      <c r="X9" s="2">
        <v>21</v>
      </c>
      <c r="Y9" s="2">
        <v>22</v>
      </c>
      <c r="Z9" s="2">
        <v>23</v>
      </c>
      <c r="AA9" s="2">
        <v>24</v>
      </c>
      <c r="AB9" s="2">
        <v>25</v>
      </c>
    </row>
    <row r="10" spans="2:28" ht="17.25" customHeight="1" x14ac:dyDescent="0.25">
      <c r="B10" s="3"/>
      <c r="C10" s="3"/>
      <c r="D10" s="3"/>
      <c r="E10" s="3"/>
      <c r="F10" s="4"/>
      <c r="G10" s="4"/>
      <c r="H10" s="3"/>
      <c r="I10" s="3"/>
      <c r="J10" s="3"/>
      <c r="K10" s="3"/>
      <c r="L10" s="3"/>
      <c r="M10" s="3"/>
      <c r="N10" s="5"/>
      <c r="O10" s="5"/>
      <c r="P10" s="5"/>
      <c r="Q10" s="5"/>
      <c r="R10" s="5"/>
      <c r="S10" s="5"/>
      <c r="T10" s="3"/>
      <c r="U10" s="3"/>
      <c r="V10" s="3"/>
      <c r="W10" s="3"/>
      <c r="X10" s="3"/>
      <c r="Y10" s="3"/>
      <c r="Z10" s="3"/>
      <c r="AA10" s="3"/>
      <c r="AB10" s="2"/>
    </row>
    <row r="11" spans="2:28" s="68" customFormat="1" ht="18" x14ac:dyDescent="0.25">
      <c r="B11" s="59"/>
      <c r="C11" s="60"/>
      <c r="D11" s="60"/>
      <c r="E11" s="60"/>
      <c r="F11" s="61"/>
      <c r="G11" s="62"/>
      <c r="H11" s="60"/>
      <c r="I11" s="5"/>
      <c r="J11" s="63"/>
      <c r="K11" s="63"/>
      <c r="L11" s="63"/>
      <c r="M11" s="63"/>
      <c r="N11" s="64"/>
      <c r="O11" s="65"/>
      <c r="P11" s="64"/>
      <c r="Q11" s="64"/>
      <c r="R11" s="60"/>
      <c r="S11" s="63"/>
      <c r="T11" s="60"/>
      <c r="U11" s="60"/>
      <c r="V11" s="60"/>
      <c r="W11" s="60"/>
      <c r="X11" s="60"/>
      <c r="Y11" s="60"/>
      <c r="Z11" s="60"/>
      <c r="AA11" s="66"/>
      <c r="AB11" s="67"/>
    </row>
    <row r="12" spans="2:28" ht="18" x14ac:dyDescent="0.25">
      <c r="B12" s="3"/>
      <c r="C12" s="5"/>
      <c r="D12" s="5"/>
      <c r="E12" s="5"/>
      <c r="F12" s="71"/>
      <c r="G12" s="72"/>
      <c r="H12" s="20"/>
      <c r="I12" s="5"/>
      <c r="J12" s="6"/>
      <c r="K12" s="6"/>
      <c r="L12" s="6"/>
      <c r="M12" s="6"/>
      <c r="N12" s="5"/>
      <c r="O12" s="23"/>
      <c r="P12" s="5"/>
      <c r="Q12" s="5"/>
      <c r="R12" s="7"/>
      <c r="S12" s="6"/>
      <c r="T12" s="7"/>
      <c r="U12" s="7"/>
      <c r="V12" s="7"/>
      <c r="W12" s="7"/>
      <c r="X12" s="7"/>
      <c r="Y12" s="7"/>
      <c r="Z12" s="7"/>
      <c r="AA12" s="24"/>
      <c r="AB12" s="25"/>
    </row>
    <row r="13" spans="2:28" ht="18" x14ac:dyDescent="0.25">
      <c r="B13" s="3"/>
      <c r="C13" s="5"/>
      <c r="D13" s="5"/>
      <c r="E13" s="5"/>
      <c r="F13" s="71"/>
      <c r="G13" s="72"/>
      <c r="H13" s="20"/>
      <c r="I13" s="5"/>
      <c r="J13" s="6"/>
      <c r="K13" s="6"/>
      <c r="L13" s="6"/>
      <c r="M13" s="6"/>
      <c r="N13" s="5"/>
      <c r="O13" s="23"/>
      <c r="P13" s="5"/>
      <c r="Q13" s="5"/>
      <c r="R13" s="7"/>
      <c r="S13" s="6"/>
      <c r="T13" s="7"/>
      <c r="U13" s="7"/>
      <c r="V13" s="7"/>
      <c r="W13" s="7"/>
      <c r="X13" s="7"/>
      <c r="Y13" s="7"/>
      <c r="Z13" s="7"/>
      <c r="AA13" s="24"/>
      <c r="AB13" s="25"/>
    </row>
    <row r="14" spans="2:28" ht="18" x14ac:dyDescent="0.25">
      <c r="B14" s="3">
        <v>28</v>
      </c>
      <c r="C14" s="5">
        <v>704078</v>
      </c>
      <c r="D14" s="5">
        <v>1388849</v>
      </c>
      <c r="E14" s="5">
        <v>465745</v>
      </c>
      <c r="F14" s="71">
        <v>2558672</v>
      </c>
      <c r="G14" s="72">
        <f t="shared" ref="G13:G40" si="0">(C15+D15+E15)+((S14/24)*7.5)</f>
        <v>2558537.25</v>
      </c>
      <c r="H14" s="20">
        <f t="shared" ref="H13:H40" si="1">G14+((K14/12)*1.5)</f>
        <v>2558549</v>
      </c>
      <c r="I14" s="5">
        <v>808116</v>
      </c>
      <c r="J14" s="6">
        <f t="shared" ref="J14:K19" si="2">C14-C15</f>
        <v>67</v>
      </c>
      <c r="K14" s="6">
        <f t="shared" si="2"/>
        <v>94</v>
      </c>
      <c r="L14" s="6">
        <f t="shared" ref="J13:L41" si="3">E14-E15</f>
        <v>35</v>
      </c>
      <c r="M14" s="6">
        <f t="shared" ref="M13:M41" si="4">I14-I15</f>
        <v>53</v>
      </c>
      <c r="N14" s="5">
        <f t="shared" ref="N12:N40" si="5">N15</f>
        <v>117.85714285714286</v>
      </c>
      <c r="O14" s="23">
        <f t="shared" ref="O13:O41" si="6">L14</f>
        <v>35</v>
      </c>
      <c r="P14" s="5">
        <f t="shared" ref="P13:P41" si="7">N14-O14</f>
        <v>82.857142857142861</v>
      </c>
      <c r="Q14" s="5">
        <f t="shared" ref="Q13:Q41" si="8">H14-G14</f>
        <v>11.75</v>
      </c>
      <c r="R14" s="7">
        <f t="shared" ref="R12:R39" si="9">R15</f>
        <v>714.28571428571433</v>
      </c>
      <c r="S14" s="6">
        <f t="shared" ref="S13:S41" si="10">J14+K14+L14</f>
        <v>196</v>
      </c>
      <c r="T14" s="7">
        <f t="shared" ref="T13:T41" si="11">R14-S14</f>
        <v>518.28571428571433</v>
      </c>
      <c r="U14" s="7">
        <f t="shared" ref="U13:V40" si="12">U15+N14</f>
        <v>3299.9999999999982</v>
      </c>
      <c r="V14" s="7">
        <f t="shared" si="12"/>
        <v>726</v>
      </c>
      <c r="W14" s="7">
        <f t="shared" ref="W13:W41" si="13">U14-V14</f>
        <v>2573.9999999999982</v>
      </c>
      <c r="X14" s="7">
        <f t="shared" ref="X13:Y40" si="14">X15+R14</f>
        <v>19999.999999999996</v>
      </c>
      <c r="Y14" s="7">
        <f t="shared" si="14"/>
        <v>5964</v>
      </c>
      <c r="Z14" s="7">
        <f t="shared" ref="Z13:Z41" si="15">X14-Y14</f>
        <v>14035.999999999996</v>
      </c>
      <c r="AA14" s="24">
        <f t="shared" ref="AA13:AA41" si="16">COS(ATAN(M14/S14))</f>
        <v>0.96532985781259006</v>
      </c>
      <c r="AB14" s="25"/>
    </row>
    <row r="15" spans="2:28" ht="18" x14ac:dyDescent="0.25">
      <c r="B15" s="3">
        <v>27</v>
      </c>
      <c r="C15" s="5">
        <v>704011</v>
      </c>
      <c r="D15" s="5">
        <v>1388755</v>
      </c>
      <c r="E15" s="5">
        <v>465710</v>
      </c>
      <c r="F15" s="71">
        <f t="shared" ref="F13:F41" si="17">C15+D15+E15</f>
        <v>2558476</v>
      </c>
      <c r="G15" s="72">
        <f t="shared" si="0"/>
        <v>2558476</v>
      </c>
      <c r="H15" s="20">
        <f t="shared" si="1"/>
        <v>2558476</v>
      </c>
      <c r="I15" s="5">
        <f>I16+49</f>
        <v>808063</v>
      </c>
      <c r="J15" s="6">
        <f t="shared" si="2"/>
        <v>0</v>
      </c>
      <c r="K15" s="6">
        <f t="shared" si="2"/>
        <v>0</v>
      </c>
      <c r="L15" s="6">
        <f t="shared" si="3"/>
        <v>0</v>
      </c>
      <c r="M15" s="6">
        <f>I15-I16</f>
        <v>49</v>
      </c>
      <c r="N15" s="5">
        <f t="shared" si="5"/>
        <v>117.85714285714286</v>
      </c>
      <c r="O15" s="23">
        <f t="shared" si="6"/>
        <v>0</v>
      </c>
      <c r="P15" s="5">
        <f t="shared" si="7"/>
        <v>117.85714285714286</v>
      </c>
      <c r="Q15" s="5">
        <f t="shared" si="8"/>
        <v>0</v>
      </c>
      <c r="R15" s="7">
        <f t="shared" si="9"/>
        <v>714.28571428571433</v>
      </c>
      <c r="S15" s="6">
        <f t="shared" si="10"/>
        <v>0</v>
      </c>
      <c r="T15" s="7">
        <f t="shared" si="11"/>
        <v>714.28571428571433</v>
      </c>
      <c r="U15" s="7">
        <f t="shared" si="12"/>
        <v>3182.1428571428555</v>
      </c>
      <c r="V15" s="7">
        <f t="shared" si="12"/>
        <v>691</v>
      </c>
      <c r="W15" s="7">
        <f t="shared" si="13"/>
        <v>2491.1428571428555</v>
      </c>
      <c r="X15" s="7">
        <f t="shared" si="14"/>
        <v>19285.714285714283</v>
      </c>
      <c r="Y15" s="7">
        <f t="shared" si="14"/>
        <v>5768</v>
      </c>
      <c r="Z15" s="7">
        <f t="shared" si="15"/>
        <v>13517.714285714283</v>
      </c>
      <c r="AA15" s="24"/>
      <c r="AB15" s="25"/>
    </row>
    <row r="16" spans="2:28" ht="18" x14ac:dyDescent="0.25">
      <c r="B16" s="3">
        <v>26</v>
      </c>
      <c r="C16" s="5">
        <v>704011</v>
      </c>
      <c r="D16" s="5">
        <v>1388755</v>
      </c>
      <c r="E16" s="5">
        <v>465710</v>
      </c>
      <c r="F16" s="54">
        <f>C16+D16+E16</f>
        <v>2558476</v>
      </c>
      <c r="G16" s="72">
        <f t="shared" si="0"/>
        <v>2558476</v>
      </c>
      <c r="H16" s="20">
        <f t="shared" si="1"/>
        <v>2558476</v>
      </c>
      <c r="I16" s="5">
        <f>I17+55</f>
        <v>808014</v>
      </c>
      <c r="J16" s="6">
        <f t="shared" si="2"/>
        <v>0</v>
      </c>
      <c r="K16" s="6">
        <f t="shared" si="2"/>
        <v>0</v>
      </c>
      <c r="L16" s="6">
        <f>E16-E17</f>
        <v>0</v>
      </c>
      <c r="M16" s="6">
        <f>I16-I17</f>
        <v>55</v>
      </c>
      <c r="N16" s="5">
        <f t="shared" si="5"/>
        <v>117.85714285714286</v>
      </c>
      <c r="O16" s="3">
        <f>L16</f>
        <v>0</v>
      </c>
      <c r="P16" s="5">
        <f>N16-O16</f>
        <v>117.85714285714286</v>
      </c>
      <c r="Q16" s="5">
        <f>H16-G16</f>
        <v>0</v>
      </c>
      <c r="R16" s="7">
        <f t="shared" si="9"/>
        <v>714.28571428571433</v>
      </c>
      <c r="S16" s="6">
        <f>J16+K16+L16</f>
        <v>0</v>
      </c>
      <c r="T16" s="7">
        <f>R16-S16</f>
        <v>714.28571428571433</v>
      </c>
      <c r="U16" s="7">
        <f t="shared" ref="U16:V19" si="18">U17+N16</f>
        <v>3064.2857142857129</v>
      </c>
      <c r="V16" s="7">
        <f t="shared" si="18"/>
        <v>691</v>
      </c>
      <c r="W16" s="7">
        <f>U16-V16</f>
        <v>2373.2857142857129</v>
      </c>
      <c r="X16" s="7">
        <f t="shared" ref="X16:Y19" si="19">X17+R16</f>
        <v>18571.428571428569</v>
      </c>
      <c r="Y16" s="7">
        <f t="shared" si="19"/>
        <v>5768</v>
      </c>
      <c r="Z16" s="7">
        <f>X16-Y16</f>
        <v>12803.428571428569</v>
      </c>
      <c r="AA16" s="24"/>
      <c r="AB16" s="25"/>
    </row>
    <row r="17" spans="2:28" ht="18" x14ac:dyDescent="0.25">
      <c r="B17" s="3">
        <v>25</v>
      </c>
      <c r="C17" s="5">
        <v>704011</v>
      </c>
      <c r="D17" s="5">
        <v>1388755</v>
      </c>
      <c r="E17" s="5">
        <v>465710</v>
      </c>
      <c r="F17" s="71">
        <f t="shared" si="17"/>
        <v>2558476</v>
      </c>
      <c r="G17" s="72">
        <f t="shared" si="0"/>
        <v>2558476</v>
      </c>
      <c r="H17" s="20">
        <f t="shared" si="1"/>
        <v>2558476</v>
      </c>
      <c r="I17" s="5">
        <f>I18+39</f>
        <v>807959</v>
      </c>
      <c r="J17" s="6">
        <f t="shared" si="2"/>
        <v>0</v>
      </c>
      <c r="K17" s="6">
        <f t="shared" si="2"/>
        <v>0</v>
      </c>
      <c r="L17" s="6">
        <f>E17-E18</f>
        <v>0</v>
      </c>
      <c r="M17" s="6">
        <f>I17-I18</f>
        <v>39</v>
      </c>
      <c r="N17" s="5">
        <f t="shared" si="5"/>
        <v>117.85714285714286</v>
      </c>
      <c r="O17" s="3">
        <f>L17</f>
        <v>0</v>
      </c>
      <c r="P17" s="5">
        <f>N17-O17</f>
        <v>117.85714285714286</v>
      </c>
      <c r="Q17" s="5">
        <f>H17-G17</f>
        <v>0</v>
      </c>
      <c r="R17" s="7">
        <f t="shared" si="9"/>
        <v>714.28571428571433</v>
      </c>
      <c r="S17" s="6">
        <f>J17+K17+L17</f>
        <v>0</v>
      </c>
      <c r="T17" s="7">
        <f>R17-S17</f>
        <v>714.28571428571433</v>
      </c>
      <c r="U17" s="7">
        <f t="shared" si="18"/>
        <v>2946.4285714285702</v>
      </c>
      <c r="V17" s="7">
        <f t="shared" si="18"/>
        <v>691</v>
      </c>
      <c r="W17" s="7">
        <f>U17-V17</f>
        <v>2255.4285714285702</v>
      </c>
      <c r="X17" s="7">
        <f t="shared" si="19"/>
        <v>17857.142857142855</v>
      </c>
      <c r="Y17" s="7">
        <f t="shared" si="19"/>
        <v>5768</v>
      </c>
      <c r="Z17" s="7">
        <f>X17-Y17</f>
        <v>12089.142857142855</v>
      </c>
      <c r="AA17" s="24"/>
      <c r="AB17" s="25"/>
    </row>
    <row r="18" spans="2:28" ht="18" x14ac:dyDescent="0.25">
      <c r="B18" s="3">
        <v>24</v>
      </c>
      <c r="C18" s="5">
        <v>704011</v>
      </c>
      <c r="D18" s="5">
        <v>1388755</v>
      </c>
      <c r="E18" s="5">
        <v>465710</v>
      </c>
      <c r="F18" s="8">
        <f t="shared" si="17"/>
        <v>2558476</v>
      </c>
      <c r="G18" s="22">
        <f t="shared" si="0"/>
        <v>2558476</v>
      </c>
      <c r="H18" s="7">
        <f t="shared" si="1"/>
        <v>2558476</v>
      </c>
      <c r="I18" s="5">
        <f>I19+33</f>
        <v>807920</v>
      </c>
      <c r="J18" s="6">
        <f t="shared" si="2"/>
        <v>0</v>
      </c>
      <c r="K18" s="6">
        <f t="shared" si="2"/>
        <v>0</v>
      </c>
      <c r="L18" s="6">
        <f>E18-E19</f>
        <v>0</v>
      </c>
      <c r="M18" s="6">
        <f>I18-I19</f>
        <v>33</v>
      </c>
      <c r="N18" s="5">
        <f t="shared" si="5"/>
        <v>117.85714285714286</v>
      </c>
      <c r="O18" s="3">
        <f>L18</f>
        <v>0</v>
      </c>
      <c r="P18" s="5">
        <f>N18-O18</f>
        <v>117.85714285714286</v>
      </c>
      <c r="Q18" s="5">
        <f>H18-G18</f>
        <v>0</v>
      </c>
      <c r="R18" s="7">
        <f t="shared" si="9"/>
        <v>714.28571428571433</v>
      </c>
      <c r="S18" s="6">
        <f>J18+K18+L18</f>
        <v>0</v>
      </c>
      <c r="T18" s="7">
        <f>R18-S18</f>
        <v>714.28571428571433</v>
      </c>
      <c r="U18" s="7">
        <f t="shared" si="18"/>
        <v>2828.5714285714275</v>
      </c>
      <c r="V18" s="7">
        <f t="shared" si="18"/>
        <v>691</v>
      </c>
      <c r="W18" s="7">
        <f>U18-V18</f>
        <v>2137.5714285714275</v>
      </c>
      <c r="X18" s="7">
        <f t="shared" si="19"/>
        <v>17142.857142857141</v>
      </c>
      <c r="Y18" s="7">
        <f t="shared" si="19"/>
        <v>5768</v>
      </c>
      <c r="Z18" s="7">
        <f>X18-Y18</f>
        <v>11374.857142857141</v>
      </c>
      <c r="AA18" s="24"/>
      <c r="AB18" s="25"/>
    </row>
    <row r="19" spans="2:28" ht="18" x14ac:dyDescent="0.25">
      <c r="B19" s="3">
        <v>23</v>
      </c>
      <c r="C19" s="5">
        <v>704011</v>
      </c>
      <c r="D19" s="5">
        <v>1388755</v>
      </c>
      <c r="E19" s="5">
        <v>465710</v>
      </c>
      <c r="F19" s="8">
        <f t="shared" si="17"/>
        <v>2558476</v>
      </c>
      <c r="G19" s="22">
        <f t="shared" si="0"/>
        <v>2558464.3125</v>
      </c>
      <c r="H19" s="7">
        <f t="shared" si="1"/>
        <v>2558464.3125</v>
      </c>
      <c r="I19" s="5">
        <f>I20+47</f>
        <v>807887</v>
      </c>
      <c r="J19" s="6">
        <f t="shared" si="2"/>
        <v>0</v>
      </c>
      <c r="K19" s="6">
        <f t="shared" si="2"/>
        <v>0</v>
      </c>
      <c r="L19" s="6">
        <f>E19-E20</f>
        <v>17</v>
      </c>
      <c r="M19" s="6">
        <f>I19-I20</f>
        <v>47</v>
      </c>
      <c r="N19" s="5">
        <f t="shared" si="5"/>
        <v>117.85714285714286</v>
      </c>
      <c r="O19" s="3">
        <f>L19</f>
        <v>17</v>
      </c>
      <c r="P19" s="5">
        <f>N19-O19</f>
        <v>100.85714285714286</v>
      </c>
      <c r="Q19" s="5">
        <f>H19-G19</f>
        <v>0</v>
      </c>
      <c r="R19" s="7">
        <f t="shared" si="9"/>
        <v>714.28571428571433</v>
      </c>
      <c r="S19" s="6">
        <f>J19+K19+L19</f>
        <v>17</v>
      </c>
      <c r="T19" s="7">
        <f>R19-S19</f>
        <v>697.28571428571433</v>
      </c>
      <c r="U19" s="7">
        <f t="shared" si="18"/>
        <v>2710.7142857142849</v>
      </c>
      <c r="V19" s="7">
        <f t="shared" si="18"/>
        <v>691</v>
      </c>
      <c r="W19" s="7">
        <f>U19-V19</f>
        <v>2019.7142857142849</v>
      </c>
      <c r="X19" s="7">
        <f t="shared" si="19"/>
        <v>16428.571428571428</v>
      </c>
      <c r="Y19" s="7">
        <f t="shared" si="19"/>
        <v>5768</v>
      </c>
      <c r="Z19" s="7">
        <f>X19-Y19</f>
        <v>10660.571428571428</v>
      </c>
      <c r="AA19" s="24">
        <f>COS(ATAN(M19/S19))</f>
        <v>0.34013608165443809</v>
      </c>
      <c r="AB19" s="1"/>
    </row>
    <row r="20" spans="2:28" ht="18" x14ac:dyDescent="0.25">
      <c r="B20" s="3">
        <v>22</v>
      </c>
      <c r="C20" s="5">
        <f>C21+93</f>
        <v>704011</v>
      </c>
      <c r="D20" s="5">
        <f>D21+118</f>
        <v>1388755</v>
      </c>
      <c r="E20" s="5">
        <v>465693</v>
      </c>
      <c r="F20" s="8">
        <f t="shared" si="17"/>
        <v>2558459</v>
      </c>
      <c r="G20" s="22">
        <f t="shared" si="0"/>
        <v>2558313.9375</v>
      </c>
      <c r="H20" s="7">
        <f t="shared" si="1"/>
        <v>2558328.6875</v>
      </c>
      <c r="I20" s="5">
        <f t="shared" ref="I20:I28" si="20">I21+44</f>
        <v>807840</v>
      </c>
      <c r="J20" s="6">
        <f t="shared" si="3"/>
        <v>93</v>
      </c>
      <c r="K20" s="6">
        <f t="shared" si="3"/>
        <v>118</v>
      </c>
      <c r="L20" s="6">
        <f t="shared" si="3"/>
        <v>0</v>
      </c>
      <c r="M20" s="6">
        <f t="shared" si="4"/>
        <v>44</v>
      </c>
      <c r="N20" s="5">
        <f t="shared" si="5"/>
        <v>117.85714285714286</v>
      </c>
      <c r="O20" s="3">
        <f t="shared" si="6"/>
        <v>0</v>
      </c>
      <c r="P20" s="5">
        <f t="shared" si="7"/>
        <v>117.85714285714286</v>
      </c>
      <c r="Q20" s="5">
        <f t="shared" si="8"/>
        <v>14.75</v>
      </c>
      <c r="R20" s="7">
        <f t="shared" si="9"/>
        <v>714.28571428571433</v>
      </c>
      <c r="S20" s="6">
        <f t="shared" si="10"/>
        <v>211</v>
      </c>
      <c r="T20" s="7">
        <f t="shared" si="11"/>
        <v>503.28571428571433</v>
      </c>
      <c r="U20" s="7">
        <f t="shared" si="12"/>
        <v>2592.8571428571422</v>
      </c>
      <c r="V20" s="7">
        <f t="shared" si="12"/>
        <v>674</v>
      </c>
      <c r="W20" s="7">
        <f t="shared" si="13"/>
        <v>1918.8571428571422</v>
      </c>
      <c r="X20" s="7">
        <f t="shared" si="14"/>
        <v>15714.285714285712</v>
      </c>
      <c r="Y20" s="7">
        <f t="shared" si="14"/>
        <v>5751</v>
      </c>
      <c r="Z20" s="7">
        <f t="shared" si="15"/>
        <v>9963.2857142857119</v>
      </c>
      <c r="AA20" s="24">
        <f t="shared" si="16"/>
        <v>0.9789418037484382</v>
      </c>
      <c r="AB20" s="1"/>
    </row>
    <row r="21" spans="2:28" ht="18" x14ac:dyDescent="0.25">
      <c r="B21" s="3">
        <v>21</v>
      </c>
      <c r="C21" s="5">
        <f>C22+98</f>
        <v>703918</v>
      </c>
      <c r="D21" s="5">
        <f>D22+134</f>
        <v>1388637</v>
      </c>
      <c r="E21" s="5">
        <v>465693</v>
      </c>
      <c r="F21" s="8">
        <f t="shared" si="17"/>
        <v>2558248</v>
      </c>
      <c r="G21" s="22">
        <f t="shared" si="0"/>
        <v>2558088.5</v>
      </c>
      <c r="H21" s="7">
        <f t="shared" si="1"/>
        <v>2558105.25</v>
      </c>
      <c r="I21" s="5">
        <f>I22+42</f>
        <v>807796</v>
      </c>
      <c r="J21" s="6">
        <f t="shared" si="3"/>
        <v>98</v>
      </c>
      <c r="K21" s="6">
        <f t="shared" si="3"/>
        <v>134</v>
      </c>
      <c r="L21" s="6">
        <f t="shared" si="3"/>
        <v>0</v>
      </c>
      <c r="M21" s="6">
        <f t="shared" si="4"/>
        <v>42</v>
      </c>
      <c r="N21" s="5">
        <f t="shared" si="5"/>
        <v>117.85714285714286</v>
      </c>
      <c r="O21" s="3">
        <f t="shared" si="6"/>
        <v>0</v>
      </c>
      <c r="P21" s="5">
        <f t="shared" si="7"/>
        <v>117.85714285714286</v>
      </c>
      <c r="Q21" s="5">
        <f t="shared" si="8"/>
        <v>16.75</v>
      </c>
      <c r="R21" s="7">
        <f t="shared" si="9"/>
        <v>714.28571428571433</v>
      </c>
      <c r="S21" s="6">
        <f t="shared" si="10"/>
        <v>232</v>
      </c>
      <c r="T21" s="7">
        <f t="shared" si="11"/>
        <v>482.28571428571433</v>
      </c>
      <c r="U21" s="7">
        <f t="shared" si="12"/>
        <v>2474.9999999999995</v>
      </c>
      <c r="V21" s="7">
        <f t="shared" si="12"/>
        <v>674</v>
      </c>
      <c r="W21" s="7">
        <f t="shared" si="13"/>
        <v>1800.9999999999995</v>
      </c>
      <c r="X21" s="7">
        <f t="shared" si="14"/>
        <v>14999.999999999998</v>
      </c>
      <c r="Y21" s="7">
        <f t="shared" si="14"/>
        <v>5540</v>
      </c>
      <c r="Z21" s="7">
        <f t="shared" si="15"/>
        <v>9459.9999999999982</v>
      </c>
      <c r="AA21" s="24">
        <f t="shared" si="16"/>
        <v>0.98400535178682358</v>
      </c>
      <c r="AB21" s="1"/>
    </row>
    <row r="22" spans="2:28" ht="18" x14ac:dyDescent="0.25">
      <c r="B22" s="3">
        <v>20</v>
      </c>
      <c r="C22" s="5">
        <f t="shared" ref="C22:C31" si="21">C23+101</f>
        <v>703820</v>
      </c>
      <c r="D22" s="5">
        <f>D23+120</f>
        <v>1388503</v>
      </c>
      <c r="E22" s="5">
        <v>465693</v>
      </c>
      <c r="F22" s="8">
        <f t="shared" si="17"/>
        <v>2558016</v>
      </c>
      <c r="G22" s="22">
        <f t="shared" si="0"/>
        <v>2557864.0625</v>
      </c>
      <c r="H22" s="7">
        <f t="shared" si="1"/>
        <v>2557879.0625</v>
      </c>
      <c r="I22" s="5">
        <f>I23+50</f>
        <v>807754</v>
      </c>
      <c r="J22" s="6">
        <f t="shared" si="3"/>
        <v>101</v>
      </c>
      <c r="K22" s="6">
        <f t="shared" si="3"/>
        <v>120</v>
      </c>
      <c r="L22" s="6">
        <f t="shared" si="3"/>
        <v>0</v>
      </c>
      <c r="M22" s="6">
        <f t="shared" si="4"/>
        <v>50</v>
      </c>
      <c r="N22" s="5">
        <f t="shared" si="5"/>
        <v>117.85714285714286</v>
      </c>
      <c r="O22" s="3">
        <f t="shared" si="6"/>
        <v>0</v>
      </c>
      <c r="P22" s="5">
        <f t="shared" si="7"/>
        <v>117.85714285714286</v>
      </c>
      <c r="Q22" s="5">
        <f t="shared" si="8"/>
        <v>15</v>
      </c>
      <c r="R22" s="7">
        <f t="shared" si="9"/>
        <v>714.28571428571433</v>
      </c>
      <c r="S22" s="6">
        <f t="shared" si="10"/>
        <v>221</v>
      </c>
      <c r="T22" s="7">
        <f t="shared" si="11"/>
        <v>493.28571428571433</v>
      </c>
      <c r="U22" s="7">
        <f t="shared" si="12"/>
        <v>2357.1428571428569</v>
      </c>
      <c r="V22" s="7">
        <f t="shared" si="12"/>
        <v>674</v>
      </c>
      <c r="W22" s="7">
        <f t="shared" si="13"/>
        <v>1683.1428571428569</v>
      </c>
      <c r="X22" s="7">
        <f t="shared" si="14"/>
        <v>14285.714285714284</v>
      </c>
      <c r="Y22" s="7">
        <f t="shared" si="14"/>
        <v>5308</v>
      </c>
      <c r="Z22" s="7">
        <f t="shared" si="15"/>
        <v>8977.7142857142844</v>
      </c>
      <c r="AA22" s="24">
        <f t="shared" si="16"/>
        <v>0.97534915480720863</v>
      </c>
      <c r="AB22" s="1"/>
    </row>
    <row r="23" spans="2:28" ht="18" x14ac:dyDescent="0.25">
      <c r="B23" s="3">
        <v>19</v>
      </c>
      <c r="C23" s="5">
        <f>C24+100</f>
        <v>703719</v>
      </c>
      <c r="D23" s="5">
        <f>D24+124</f>
        <v>1388383</v>
      </c>
      <c r="E23" s="5">
        <v>465693</v>
      </c>
      <c r="F23" s="8">
        <f t="shared" si="17"/>
        <v>2557795</v>
      </c>
      <c r="G23" s="22">
        <f t="shared" si="0"/>
        <v>2557641</v>
      </c>
      <c r="H23" s="7">
        <f>G23+((K23/12)*1.5)</f>
        <v>2557656.5</v>
      </c>
      <c r="I23" s="5">
        <f>I24+52</f>
        <v>807704</v>
      </c>
      <c r="J23" s="6">
        <f t="shared" si="3"/>
        <v>100</v>
      </c>
      <c r="K23" s="6">
        <f t="shared" si="3"/>
        <v>124</v>
      </c>
      <c r="L23" s="6">
        <f t="shared" si="3"/>
        <v>0</v>
      </c>
      <c r="M23" s="6">
        <f t="shared" si="4"/>
        <v>52</v>
      </c>
      <c r="N23" s="5">
        <f t="shared" si="5"/>
        <v>117.85714285714286</v>
      </c>
      <c r="O23" s="3">
        <f t="shared" si="6"/>
        <v>0</v>
      </c>
      <c r="P23" s="5">
        <f t="shared" si="7"/>
        <v>117.85714285714286</v>
      </c>
      <c r="Q23" s="5">
        <f t="shared" si="8"/>
        <v>15.5</v>
      </c>
      <c r="R23" s="7">
        <f t="shared" si="9"/>
        <v>714.28571428571433</v>
      </c>
      <c r="S23" s="6">
        <f t="shared" si="10"/>
        <v>224</v>
      </c>
      <c r="T23" s="7">
        <f t="shared" si="11"/>
        <v>490.28571428571433</v>
      </c>
      <c r="U23" s="7">
        <f t="shared" si="12"/>
        <v>2239.2857142857142</v>
      </c>
      <c r="V23" s="7">
        <f t="shared" si="12"/>
        <v>674</v>
      </c>
      <c r="W23" s="7">
        <f t="shared" si="13"/>
        <v>1565.2857142857142</v>
      </c>
      <c r="X23" s="7">
        <f t="shared" si="14"/>
        <v>13571.428571428571</v>
      </c>
      <c r="Y23" s="7">
        <f t="shared" si="14"/>
        <v>5087</v>
      </c>
      <c r="Z23" s="7">
        <f t="shared" si="15"/>
        <v>8484.4285714285706</v>
      </c>
      <c r="AA23" s="24">
        <f t="shared" si="16"/>
        <v>0.97409720024335167</v>
      </c>
      <c r="AB23" s="1"/>
    </row>
    <row r="24" spans="2:28" ht="18" x14ac:dyDescent="0.25">
      <c r="B24" s="3">
        <v>18</v>
      </c>
      <c r="C24" s="5">
        <f>C25+103</f>
        <v>703619</v>
      </c>
      <c r="D24" s="5">
        <f>D25+131</f>
        <v>1388259</v>
      </c>
      <c r="E24" s="5">
        <v>465693</v>
      </c>
      <c r="F24" s="8">
        <f t="shared" si="17"/>
        <v>2557571</v>
      </c>
      <c r="G24" s="22">
        <f t="shared" si="0"/>
        <v>2557407.375</v>
      </c>
      <c r="H24" s="7">
        <f t="shared" si="1"/>
        <v>2557423.75</v>
      </c>
      <c r="I24" s="5">
        <f>I25+45</f>
        <v>807652</v>
      </c>
      <c r="J24" s="6">
        <f t="shared" si="3"/>
        <v>103</v>
      </c>
      <c r="K24" s="6">
        <f t="shared" si="3"/>
        <v>131</v>
      </c>
      <c r="L24" s="6">
        <f t="shared" si="3"/>
        <v>4</v>
      </c>
      <c r="M24" s="6">
        <f t="shared" si="4"/>
        <v>45</v>
      </c>
      <c r="N24" s="5">
        <f t="shared" si="5"/>
        <v>117.85714285714286</v>
      </c>
      <c r="O24" s="3">
        <f t="shared" si="6"/>
        <v>4</v>
      </c>
      <c r="P24" s="5">
        <f t="shared" si="7"/>
        <v>113.85714285714286</v>
      </c>
      <c r="Q24" s="5">
        <f t="shared" si="8"/>
        <v>16.375</v>
      </c>
      <c r="R24" s="7">
        <f t="shared" si="9"/>
        <v>714.28571428571433</v>
      </c>
      <c r="S24" s="6">
        <f t="shared" si="10"/>
        <v>238</v>
      </c>
      <c r="T24" s="7">
        <f t="shared" si="11"/>
        <v>476.28571428571433</v>
      </c>
      <c r="U24" s="7">
        <f t="shared" si="12"/>
        <v>2121.4285714285716</v>
      </c>
      <c r="V24" s="7">
        <f t="shared" si="12"/>
        <v>674</v>
      </c>
      <c r="W24" s="7">
        <f t="shared" si="13"/>
        <v>1447.4285714285716</v>
      </c>
      <c r="X24" s="7">
        <f t="shared" si="14"/>
        <v>12857.142857142857</v>
      </c>
      <c r="Y24" s="7">
        <f t="shared" si="14"/>
        <v>4863</v>
      </c>
      <c r="Z24" s="7">
        <f t="shared" si="15"/>
        <v>7994.1428571428569</v>
      </c>
      <c r="AA24" s="24">
        <f t="shared" si="16"/>
        <v>0.98259062041518108</v>
      </c>
      <c r="AB24" s="1"/>
    </row>
    <row r="25" spans="2:28" ht="18" x14ac:dyDescent="0.25">
      <c r="B25" s="3">
        <v>17</v>
      </c>
      <c r="C25" s="5">
        <f>C26+95</f>
        <v>703516</v>
      </c>
      <c r="D25" s="5">
        <f>D26+125</f>
        <v>1388128</v>
      </c>
      <c r="E25" s="5">
        <v>465689</v>
      </c>
      <c r="F25" s="8">
        <f t="shared" si="17"/>
        <v>2557333</v>
      </c>
      <c r="G25" s="22">
        <f t="shared" si="0"/>
        <v>2557181.75</v>
      </c>
      <c r="H25" s="7">
        <f t="shared" si="1"/>
        <v>2557197.375</v>
      </c>
      <c r="I25" s="5">
        <f>I26+41</f>
        <v>807607</v>
      </c>
      <c r="J25" s="6">
        <f t="shared" si="3"/>
        <v>95</v>
      </c>
      <c r="K25" s="6">
        <f t="shared" si="3"/>
        <v>125</v>
      </c>
      <c r="L25" s="6">
        <f t="shared" si="3"/>
        <v>0</v>
      </c>
      <c r="M25" s="7">
        <f t="shared" si="4"/>
        <v>41</v>
      </c>
      <c r="N25" s="5">
        <f t="shared" si="5"/>
        <v>117.85714285714286</v>
      </c>
      <c r="O25" s="3">
        <f t="shared" si="6"/>
        <v>0</v>
      </c>
      <c r="P25" s="5">
        <f t="shared" si="7"/>
        <v>117.85714285714286</v>
      </c>
      <c r="Q25" s="5">
        <f t="shared" si="8"/>
        <v>15.625</v>
      </c>
      <c r="R25" s="7">
        <f t="shared" si="9"/>
        <v>714.28571428571433</v>
      </c>
      <c r="S25" s="6">
        <f t="shared" si="10"/>
        <v>220</v>
      </c>
      <c r="T25" s="7">
        <f t="shared" si="11"/>
        <v>494.28571428571433</v>
      </c>
      <c r="U25" s="7">
        <f t="shared" si="12"/>
        <v>2003.5714285714289</v>
      </c>
      <c r="V25" s="6">
        <f t="shared" si="12"/>
        <v>670</v>
      </c>
      <c r="W25" s="7">
        <f t="shared" si="13"/>
        <v>1333.5714285714289</v>
      </c>
      <c r="X25" s="7">
        <f t="shared" si="14"/>
        <v>12142.857142857143</v>
      </c>
      <c r="Y25" s="7">
        <f t="shared" si="14"/>
        <v>4625</v>
      </c>
      <c r="Z25" s="7">
        <f t="shared" si="15"/>
        <v>7517.8571428571431</v>
      </c>
      <c r="AA25" s="24">
        <f t="shared" si="16"/>
        <v>0.98307394244297674</v>
      </c>
      <c r="AB25" s="1"/>
    </row>
    <row r="26" spans="2:28" ht="18" x14ac:dyDescent="0.25">
      <c r="B26" s="3">
        <v>16</v>
      </c>
      <c r="C26" s="5">
        <f>C27+130</f>
        <v>703421</v>
      </c>
      <c r="D26" s="5">
        <f>D27+133</f>
        <v>1388003</v>
      </c>
      <c r="E26" s="5">
        <v>465689</v>
      </c>
      <c r="F26" s="8">
        <f t="shared" si="17"/>
        <v>2557113</v>
      </c>
      <c r="G26" s="22">
        <f t="shared" si="0"/>
        <v>2556932.1875</v>
      </c>
      <c r="H26" s="7">
        <f t="shared" si="1"/>
        <v>2556948.8125</v>
      </c>
      <c r="I26" s="5">
        <f>I27+38</f>
        <v>807566</v>
      </c>
      <c r="J26" s="6">
        <f t="shared" si="3"/>
        <v>130</v>
      </c>
      <c r="K26" s="6">
        <f t="shared" si="3"/>
        <v>133</v>
      </c>
      <c r="L26" s="6">
        <f t="shared" si="3"/>
        <v>0</v>
      </c>
      <c r="M26" s="7">
        <f t="shared" si="4"/>
        <v>38</v>
      </c>
      <c r="N26" s="5">
        <f t="shared" si="5"/>
        <v>117.85714285714286</v>
      </c>
      <c r="O26" s="3">
        <f t="shared" si="6"/>
        <v>0</v>
      </c>
      <c r="P26" s="5">
        <f t="shared" si="7"/>
        <v>117.85714285714286</v>
      </c>
      <c r="Q26" s="5">
        <f t="shared" si="8"/>
        <v>16.625</v>
      </c>
      <c r="R26" s="7">
        <f t="shared" si="9"/>
        <v>714.28571428571433</v>
      </c>
      <c r="S26" s="6">
        <f t="shared" si="10"/>
        <v>263</v>
      </c>
      <c r="T26" s="7">
        <f t="shared" si="11"/>
        <v>451.28571428571433</v>
      </c>
      <c r="U26" s="7">
        <f t="shared" si="12"/>
        <v>1885.714285714286</v>
      </c>
      <c r="V26" s="6">
        <f t="shared" si="12"/>
        <v>670</v>
      </c>
      <c r="W26" s="7">
        <f t="shared" si="13"/>
        <v>1215.714285714286</v>
      </c>
      <c r="X26" s="7">
        <f t="shared" si="14"/>
        <v>11428.571428571429</v>
      </c>
      <c r="Y26" s="7">
        <f t="shared" si="14"/>
        <v>4405</v>
      </c>
      <c r="Z26" s="7">
        <f t="shared" si="15"/>
        <v>7023.5714285714294</v>
      </c>
      <c r="AA26" s="24">
        <f t="shared" si="16"/>
        <v>0.98972243972584706</v>
      </c>
      <c r="AB26" s="1"/>
    </row>
    <row r="27" spans="2:28" ht="18" x14ac:dyDescent="0.25">
      <c r="B27" s="3">
        <v>15</v>
      </c>
      <c r="C27" s="5">
        <f>C28+118</f>
        <v>703291</v>
      </c>
      <c r="D27" s="5">
        <f>D28+130</f>
        <v>1387870</v>
      </c>
      <c r="E27" s="5">
        <v>465689</v>
      </c>
      <c r="F27" s="8">
        <f t="shared" si="17"/>
        <v>2556850</v>
      </c>
      <c r="G27" s="22">
        <f t="shared" si="0"/>
        <v>2556679.5</v>
      </c>
      <c r="H27" s="7">
        <f t="shared" si="1"/>
        <v>2556695.75</v>
      </c>
      <c r="I27" s="5">
        <f>I28+49</f>
        <v>807528</v>
      </c>
      <c r="J27" s="6">
        <f t="shared" si="3"/>
        <v>118</v>
      </c>
      <c r="K27" s="6">
        <f t="shared" si="3"/>
        <v>130</v>
      </c>
      <c r="L27" s="6">
        <f t="shared" si="3"/>
        <v>0</v>
      </c>
      <c r="M27" s="7">
        <f t="shared" si="4"/>
        <v>49</v>
      </c>
      <c r="N27" s="5">
        <f t="shared" si="5"/>
        <v>117.85714285714286</v>
      </c>
      <c r="O27" s="3">
        <f t="shared" si="6"/>
        <v>0</v>
      </c>
      <c r="P27" s="5">
        <f t="shared" si="7"/>
        <v>117.85714285714286</v>
      </c>
      <c r="Q27" s="5">
        <f t="shared" si="8"/>
        <v>16.25</v>
      </c>
      <c r="R27" s="7">
        <f t="shared" si="9"/>
        <v>714.28571428571433</v>
      </c>
      <c r="S27" s="6">
        <f t="shared" si="10"/>
        <v>248</v>
      </c>
      <c r="T27" s="7">
        <f t="shared" si="11"/>
        <v>466.28571428571433</v>
      </c>
      <c r="U27" s="7">
        <f t="shared" si="12"/>
        <v>1767.8571428571431</v>
      </c>
      <c r="V27" s="6">
        <f t="shared" si="12"/>
        <v>670</v>
      </c>
      <c r="W27" s="7">
        <f t="shared" si="13"/>
        <v>1097.8571428571431</v>
      </c>
      <c r="X27" s="7">
        <f t="shared" si="14"/>
        <v>10714.285714285716</v>
      </c>
      <c r="Y27" s="7">
        <f t="shared" si="14"/>
        <v>4142</v>
      </c>
      <c r="Z27" s="7">
        <f t="shared" si="15"/>
        <v>6572.2857142857156</v>
      </c>
      <c r="AA27" s="24">
        <f t="shared" si="16"/>
        <v>0.98103445656128119</v>
      </c>
      <c r="AB27" s="1"/>
    </row>
    <row r="28" spans="2:28" ht="18" x14ac:dyDescent="0.25">
      <c r="B28" s="3">
        <v>14</v>
      </c>
      <c r="C28" s="5">
        <f>C29+99</f>
        <v>703173</v>
      </c>
      <c r="D28" s="5">
        <f>D29+119</f>
        <v>1387740</v>
      </c>
      <c r="E28" s="5">
        <v>465689</v>
      </c>
      <c r="F28" s="8">
        <f t="shared" si="17"/>
        <v>2556602</v>
      </c>
      <c r="G28" s="22">
        <f t="shared" si="0"/>
        <v>2556452.125</v>
      </c>
      <c r="H28" s="7">
        <f t="shared" si="1"/>
        <v>2556467</v>
      </c>
      <c r="I28" s="5">
        <f t="shared" si="20"/>
        <v>807479</v>
      </c>
      <c r="J28" s="6">
        <f t="shared" si="3"/>
        <v>99</v>
      </c>
      <c r="K28" s="6">
        <f t="shared" si="3"/>
        <v>119</v>
      </c>
      <c r="L28" s="6">
        <f t="shared" si="3"/>
        <v>0</v>
      </c>
      <c r="M28" s="7">
        <f t="shared" si="4"/>
        <v>44</v>
      </c>
      <c r="N28" s="5">
        <f t="shared" si="5"/>
        <v>117.85714285714286</v>
      </c>
      <c r="O28" s="3">
        <f t="shared" si="6"/>
        <v>0</v>
      </c>
      <c r="P28" s="5">
        <f t="shared" si="7"/>
        <v>117.85714285714286</v>
      </c>
      <c r="Q28" s="5">
        <f t="shared" si="8"/>
        <v>14.875</v>
      </c>
      <c r="R28" s="7">
        <f t="shared" si="9"/>
        <v>714.28571428571433</v>
      </c>
      <c r="S28" s="6">
        <f t="shared" si="10"/>
        <v>218</v>
      </c>
      <c r="T28" s="7">
        <f t="shared" si="11"/>
        <v>496.28571428571433</v>
      </c>
      <c r="U28" s="7">
        <f t="shared" si="12"/>
        <v>1650.0000000000002</v>
      </c>
      <c r="V28" s="6">
        <f t="shared" si="12"/>
        <v>670</v>
      </c>
      <c r="W28" s="7">
        <f t="shared" si="13"/>
        <v>980.00000000000023</v>
      </c>
      <c r="X28" s="7">
        <f t="shared" si="14"/>
        <v>10000.000000000002</v>
      </c>
      <c r="Y28" s="7">
        <f t="shared" si="14"/>
        <v>3894</v>
      </c>
      <c r="Z28" s="7">
        <f t="shared" si="15"/>
        <v>6106.0000000000018</v>
      </c>
      <c r="AA28" s="24">
        <f t="shared" si="16"/>
        <v>0.98023326733518823</v>
      </c>
      <c r="AB28" s="1"/>
    </row>
    <row r="29" spans="2:28" ht="18" x14ac:dyDescent="0.25">
      <c r="B29" s="3">
        <v>13</v>
      </c>
      <c r="C29" s="5">
        <f>C30+113</f>
        <v>703074</v>
      </c>
      <c r="D29" s="5">
        <f>D30+103</f>
        <v>1387621</v>
      </c>
      <c r="E29" s="5">
        <v>465689</v>
      </c>
      <c r="F29" s="8">
        <f t="shared" si="17"/>
        <v>2556384</v>
      </c>
      <c r="G29" s="22">
        <f t="shared" si="0"/>
        <v>2556235.5</v>
      </c>
      <c r="H29" s="7">
        <f t="shared" si="1"/>
        <v>2556248.375</v>
      </c>
      <c r="I29" s="5">
        <f>I30+43</f>
        <v>807435</v>
      </c>
      <c r="J29" s="6">
        <f t="shared" si="3"/>
        <v>113</v>
      </c>
      <c r="K29" s="6">
        <f t="shared" si="3"/>
        <v>103</v>
      </c>
      <c r="L29" s="6">
        <f t="shared" si="3"/>
        <v>0</v>
      </c>
      <c r="M29" s="6">
        <f t="shared" si="4"/>
        <v>43</v>
      </c>
      <c r="N29" s="5">
        <f t="shared" si="5"/>
        <v>117.85714285714286</v>
      </c>
      <c r="O29" s="3">
        <f t="shared" si="6"/>
        <v>0</v>
      </c>
      <c r="P29" s="5">
        <f t="shared" si="7"/>
        <v>117.85714285714286</v>
      </c>
      <c r="Q29" s="5">
        <f t="shared" si="8"/>
        <v>12.875</v>
      </c>
      <c r="R29" s="7">
        <f t="shared" si="9"/>
        <v>714.28571428571433</v>
      </c>
      <c r="S29" s="6">
        <f t="shared" si="10"/>
        <v>216</v>
      </c>
      <c r="T29" s="7">
        <f t="shared" si="11"/>
        <v>498.28571428571433</v>
      </c>
      <c r="U29" s="7">
        <f t="shared" si="12"/>
        <v>1532.1428571428573</v>
      </c>
      <c r="V29" s="6">
        <f t="shared" si="12"/>
        <v>670</v>
      </c>
      <c r="W29" s="7">
        <f t="shared" si="13"/>
        <v>862.14285714285734</v>
      </c>
      <c r="X29" s="7">
        <f t="shared" si="14"/>
        <v>9285.7142857142881</v>
      </c>
      <c r="Y29" s="7">
        <f t="shared" si="14"/>
        <v>3676</v>
      </c>
      <c r="Z29" s="7">
        <f t="shared" si="15"/>
        <v>5609.7142857142881</v>
      </c>
      <c r="AA29" s="24">
        <f t="shared" si="16"/>
        <v>0.98075492276825804</v>
      </c>
      <c r="AB29" s="1"/>
    </row>
    <row r="30" spans="2:28" ht="18" x14ac:dyDescent="0.25">
      <c r="B30" s="3">
        <v>12</v>
      </c>
      <c r="C30" s="5">
        <f>C31+109</f>
        <v>702961</v>
      </c>
      <c r="D30" s="5">
        <f>D31+111</f>
        <v>1387518</v>
      </c>
      <c r="E30" s="5">
        <v>465689</v>
      </c>
      <c r="F30" s="8">
        <f t="shared" si="17"/>
        <v>2556168</v>
      </c>
      <c r="G30" s="22">
        <f t="shared" si="0"/>
        <v>2556016.75</v>
      </c>
      <c r="H30" s="7">
        <f t="shared" si="1"/>
        <v>2556030.625</v>
      </c>
      <c r="I30" s="5">
        <f>I31+50</f>
        <v>807392</v>
      </c>
      <c r="J30" s="6">
        <f t="shared" ref="J30:L32" si="22">C30-C31</f>
        <v>109</v>
      </c>
      <c r="K30" s="6">
        <f t="shared" si="22"/>
        <v>111</v>
      </c>
      <c r="L30" s="6">
        <f t="shared" si="22"/>
        <v>0</v>
      </c>
      <c r="M30" s="6">
        <f t="shared" si="4"/>
        <v>50</v>
      </c>
      <c r="N30" s="5">
        <f t="shared" si="5"/>
        <v>117.85714285714286</v>
      </c>
      <c r="O30" s="3">
        <f t="shared" si="6"/>
        <v>0</v>
      </c>
      <c r="P30" s="5">
        <f t="shared" si="7"/>
        <v>117.85714285714286</v>
      </c>
      <c r="Q30" s="5">
        <f t="shared" si="8"/>
        <v>13.875</v>
      </c>
      <c r="R30" s="7">
        <f t="shared" si="9"/>
        <v>714.28571428571433</v>
      </c>
      <c r="S30" s="6">
        <f t="shared" si="10"/>
        <v>220</v>
      </c>
      <c r="T30" s="7">
        <f t="shared" si="11"/>
        <v>494.28571428571433</v>
      </c>
      <c r="U30" s="7">
        <f t="shared" si="12"/>
        <v>1414.2857142857144</v>
      </c>
      <c r="V30" s="6">
        <f t="shared" si="12"/>
        <v>670</v>
      </c>
      <c r="W30" s="7">
        <f t="shared" si="13"/>
        <v>744.28571428571445</v>
      </c>
      <c r="X30" s="7">
        <f t="shared" si="14"/>
        <v>8571.4285714285743</v>
      </c>
      <c r="Y30" s="7">
        <f t="shared" si="14"/>
        <v>3460</v>
      </c>
      <c r="Z30" s="7">
        <f t="shared" si="15"/>
        <v>5111.4285714285743</v>
      </c>
      <c r="AA30" s="24">
        <f t="shared" si="16"/>
        <v>0.97513285579145981</v>
      </c>
      <c r="AB30" s="1"/>
    </row>
    <row r="31" spans="2:28" ht="18" x14ac:dyDescent="0.25">
      <c r="B31" s="3">
        <v>11</v>
      </c>
      <c r="C31" s="5">
        <f t="shared" si="21"/>
        <v>702852</v>
      </c>
      <c r="D31" s="5">
        <f>D32+106</f>
        <v>1387407</v>
      </c>
      <c r="E31" s="5">
        <v>465689</v>
      </c>
      <c r="F31" s="8">
        <f>C31+D31+E31</f>
        <v>2555948</v>
      </c>
      <c r="G31" s="22">
        <f t="shared" si="0"/>
        <v>2555785.0625</v>
      </c>
      <c r="H31" s="7">
        <f t="shared" si="1"/>
        <v>2555798.3125</v>
      </c>
      <c r="I31" s="5">
        <f>I32+47</f>
        <v>807342</v>
      </c>
      <c r="J31" s="6">
        <f t="shared" si="22"/>
        <v>101</v>
      </c>
      <c r="K31" s="6">
        <f t="shared" si="22"/>
        <v>106</v>
      </c>
      <c r="L31" s="6">
        <f t="shared" si="22"/>
        <v>30</v>
      </c>
      <c r="M31" s="6">
        <f t="shared" si="4"/>
        <v>47</v>
      </c>
      <c r="N31" s="5">
        <f t="shared" si="5"/>
        <v>117.85714285714286</v>
      </c>
      <c r="O31" s="3">
        <f t="shared" si="6"/>
        <v>30</v>
      </c>
      <c r="P31" s="5">
        <f t="shared" si="7"/>
        <v>87.857142857142861</v>
      </c>
      <c r="Q31" s="5">
        <f t="shared" si="8"/>
        <v>13.25</v>
      </c>
      <c r="R31" s="7">
        <f t="shared" si="9"/>
        <v>714.28571428571433</v>
      </c>
      <c r="S31" s="6">
        <f t="shared" si="10"/>
        <v>237</v>
      </c>
      <c r="T31" s="7">
        <f t="shared" si="11"/>
        <v>477.28571428571433</v>
      </c>
      <c r="U31" s="7">
        <f t="shared" si="12"/>
        <v>1296.4285714285716</v>
      </c>
      <c r="V31" s="6">
        <f t="shared" si="12"/>
        <v>670</v>
      </c>
      <c r="W31" s="7">
        <f t="shared" si="13"/>
        <v>626.42857142857156</v>
      </c>
      <c r="X31" s="7">
        <f t="shared" si="14"/>
        <v>7857.1428571428596</v>
      </c>
      <c r="Y31" s="7">
        <f t="shared" si="14"/>
        <v>3240</v>
      </c>
      <c r="Z31" s="7">
        <f t="shared" si="15"/>
        <v>4617.1428571428596</v>
      </c>
      <c r="AA31" s="24">
        <f t="shared" si="16"/>
        <v>0.98089775353575981</v>
      </c>
      <c r="AB31" s="1"/>
    </row>
    <row r="32" spans="2:28" ht="18" x14ac:dyDescent="0.25">
      <c r="B32" s="3">
        <v>10</v>
      </c>
      <c r="C32" s="5">
        <f>C33+129</f>
        <v>702751</v>
      </c>
      <c r="D32" s="5">
        <f>D33+121</f>
        <v>1387301</v>
      </c>
      <c r="E32" s="5">
        <v>465659</v>
      </c>
      <c r="F32" s="8">
        <f>C32+D32+E32</f>
        <v>2555711</v>
      </c>
      <c r="G32" s="22">
        <f t="shared" si="0"/>
        <v>2555504.75</v>
      </c>
      <c r="H32" s="7">
        <f t="shared" si="1"/>
        <v>2555519.875</v>
      </c>
      <c r="I32" s="5">
        <f>I33+48</f>
        <v>807295</v>
      </c>
      <c r="J32" s="6">
        <f t="shared" si="22"/>
        <v>129</v>
      </c>
      <c r="K32" s="6">
        <f t="shared" si="22"/>
        <v>121</v>
      </c>
      <c r="L32" s="6">
        <f t="shared" si="22"/>
        <v>50</v>
      </c>
      <c r="M32" s="6">
        <f t="shared" si="4"/>
        <v>48</v>
      </c>
      <c r="N32" s="5">
        <f t="shared" si="5"/>
        <v>117.85714285714286</v>
      </c>
      <c r="O32" s="3">
        <f t="shared" si="6"/>
        <v>50</v>
      </c>
      <c r="P32" s="5">
        <f t="shared" si="7"/>
        <v>67.857142857142861</v>
      </c>
      <c r="Q32" s="5">
        <f t="shared" si="8"/>
        <v>15.125</v>
      </c>
      <c r="R32" s="7">
        <f t="shared" si="9"/>
        <v>714.28571428571433</v>
      </c>
      <c r="S32" s="6">
        <f t="shared" si="10"/>
        <v>300</v>
      </c>
      <c r="T32" s="7">
        <f t="shared" si="11"/>
        <v>414.28571428571433</v>
      </c>
      <c r="U32" s="7">
        <f t="shared" si="12"/>
        <v>1178.5714285714287</v>
      </c>
      <c r="V32" s="6">
        <f t="shared" si="12"/>
        <v>640</v>
      </c>
      <c r="W32" s="7">
        <f t="shared" si="13"/>
        <v>538.57142857142867</v>
      </c>
      <c r="X32" s="7">
        <f t="shared" si="14"/>
        <v>7142.8571428571449</v>
      </c>
      <c r="Y32" s="7">
        <f t="shared" si="14"/>
        <v>3003</v>
      </c>
      <c r="Z32" s="7">
        <f t="shared" si="15"/>
        <v>4139.8571428571449</v>
      </c>
      <c r="AA32" s="24">
        <f t="shared" si="16"/>
        <v>0.98744063191670539</v>
      </c>
      <c r="AB32" s="1"/>
    </row>
    <row r="33" spans="2:28" ht="18" x14ac:dyDescent="0.25">
      <c r="B33" s="3">
        <v>9</v>
      </c>
      <c r="C33" s="5">
        <f>C34+106</f>
        <v>702622</v>
      </c>
      <c r="D33" s="5">
        <f>D34+117</f>
        <v>1387180</v>
      </c>
      <c r="E33" s="5">
        <f>E34+42</f>
        <v>465609</v>
      </c>
      <c r="F33" s="9">
        <f>C33+D33+E33</f>
        <v>2555411</v>
      </c>
      <c r="G33" s="22">
        <f t="shared" si="0"/>
        <v>2555228.8125</v>
      </c>
      <c r="H33" s="7">
        <f t="shared" si="1"/>
        <v>2555243.4375</v>
      </c>
      <c r="I33" s="5">
        <f>I34+43</f>
        <v>807247</v>
      </c>
      <c r="J33" s="6">
        <f t="shared" si="3"/>
        <v>106</v>
      </c>
      <c r="K33" s="6">
        <f t="shared" si="3"/>
        <v>117</v>
      </c>
      <c r="L33" s="6">
        <f t="shared" si="3"/>
        <v>42</v>
      </c>
      <c r="M33" s="6">
        <f t="shared" si="4"/>
        <v>43</v>
      </c>
      <c r="N33" s="5">
        <f t="shared" si="5"/>
        <v>117.85714285714286</v>
      </c>
      <c r="O33" s="3">
        <f t="shared" si="6"/>
        <v>42</v>
      </c>
      <c r="P33" s="5">
        <f t="shared" si="7"/>
        <v>75.857142857142861</v>
      </c>
      <c r="Q33" s="5">
        <f t="shared" si="8"/>
        <v>14.625</v>
      </c>
      <c r="R33" s="7">
        <f t="shared" si="9"/>
        <v>714.28571428571433</v>
      </c>
      <c r="S33" s="6">
        <f t="shared" si="10"/>
        <v>265</v>
      </c>
      <c r="T33" s="7">
        <f t="shared" si="11"/>
        <v>449.28571428571433</v>
      </c>
      <c r="U33" s="7">
        <f t="shared" si="12"/>
        <v>1060.7142857142858</v>
      </c>
      <c r="V33" s="6">
        <f t="shared" si="12"/>
        <v>590</v>
      </c>
      <c r="W33" s="7">
        <f t="shared" si="13"/>
        <v>470.71428571428578</v>
      </c>
      <c r="X33" s="7">
        <f t="shared" si="14"/>
        <v>6428.5714285714303</v>
      </c>
      <c r="Y33" s="7">
        <f t="shared" si="14"/>
        <v>2703</v>
      </c>
      <c r="Z33" s="7">
        <f t="shared" si="15"/>
        <v>3725.5714285714303</v>
      </c>
      <c r="AA33" s="24">
        <f t="shared" si="16"/>
        <v>0.98708956597137076</v>
      </c>
      <c r="AB33" s="1"/>
    </row>
    <row r="34" spans="2:28" ht="18" x14ac:dyDescent="0.25">
      <c r="B34" s="3">
        <v>8</v>
      </c>
      <c r="C34" s="5">
        <f>C35+115</f>
        <v>702516</v>
      </c>
      <c r="D34" s="5">
        <f>D35+134</f>
        <v>1387063</v>
      </c>
      <c r="E34" s="5">
        <f>E35+67</f>
        <v>465567</v>
      </c>
      <c r="F34" s="8">
        <f t="shared" si="17"/>
        <v>2555146</v>
      </c>
      <c r="G34" s="22">
        <f t="shared" si="0"/>
        <v>2554928.75</v>
      </c>
      <c r="H34" s="7">
        <f t="shared" si="1"/>
        <v>2554945.5</v>
      </c>
      <c r="I34" s="5">
        <f>I35+37</f>
        <v>807204</v>
      </c>
      <c r="J34" s="6">
        <f t="shared" si="3"/>
        <v>115</v>
      </c>
      <c r="K34" s="6">
        <f t="shared" si="3"/>
        <v>134</v>
      </c>
      <c r="L34" s="6">
        <f t="shared" si="3"/>
        <v>67</v>
      </c>
      <c r="M34" s="6">
        <f t="shared" si="4"/>
        <v>37</v>
      </c>
      <c r="N34" s="5">
        <f t="shared" si="5"/>
        <v>117.85714285714286</v>
      </c>
      <c r="O34" s="3">
        <f t="shared" si="6"/>
        <v>67</v>
      </c>
      <c r="P34" s="5">
        <f t="shared" si="7"/>
        <v>50.857142857142861</v>
      </c>
      <c r="Q34" s="5">
        <f t="shared" si="8"/>
        <v>16.75</v>
      </c>
      <c r="R34" s="7">
        <f t="shared" si="9"/>
        <v>714.28571428571433</v>
      </c>
      <c r="S34" s="6">
        <f t="shared" si="10"/>
        <v>316</v>
      </c>
      <c r="T34" s="7">
        <f t="shared" si="11"/>
        <v>398.28571428571433</v>
      </c>
      <c r="U34" s="7">
        <f t="shared" si="12"/>
        <v>942.857142857143</v>
      </c>
      <c r="V34" s="6">
        <f t="shared" si="12"/>
        <v>548</v>
      </c>
      <c r="W34" s="7">
        <f t="shared" si="13"/>
        <v>394.857142857143</v>
      </c>
      <c r="X34" s="7">
        <f t="shared" si="14"/>
        <v>5714.2857142857156</v>
      </c>
      <c r="Y34" s="7">
        <f t="shared" si="14"/>
        <v>2438</v>
      </c>
      <c r="Z34" s="7">
        <f t="shared" si="15"/>
        <v>3276.2857142857156</v>
      </c>
      <c r="AA34" s="24">
        <f t="shared" si="16"/>
        <v>0.99321481714968407</v>
      </c>
      <c r="AB34" s="1"/>
    </row>
    <row r="35" spans="2:28" ht="18" x14ac:dyDescent="0.25">
      <c r="B35" s="3">
        <v>7</v>
      </c>
      <c r="C35" s="5">
        <f>C36+117</f>
        <v>702401</v>
      </c>
      <c r="D35" s="5">
        <f>D36+119</f>
        <v>1386929</v>
      </c>
      <c r="E35" s="5">
        <f>E36+77</f>
        <v>465500</v>
      </c>
      <c r="F35" s="8">
        <f t="shared" si="17"/>
        <v>2554830</v>
      </c>
      <c r="G35" s="22">
        <f t="shared" si="0"/>
        <v>2554614.8125</v>
      </c>
      <c r="H35" s="7">
        <f t="shared" si="1"/>
        <v>2554629.6875</v>
      </c>
      <c r="I35" s="5">
        <f>I36+39</f>
        <v>807167</v>
      </c>
      <c r="J35" s="6">
        <f t="shared" si="3"/>
        <v>117</v>
      </c>
      <c r="K35" s="6">
        <f t="shared" si="3"/>
        <v>119</v>
      </c>
      <c r="L35" s="6">
        <f t="shared" si="3"/>
        <v>77</v>
      </c>
      <c r="M35" s="6">
        <f t="shared" si="4"/>
        <v>39</v>
      </c>
      <c r="N35" s="5">
        <f t="shared" si="5"/>
        <v>117.85714285714286</v>
      </c>
      <c r="O35" s="3">
        <f t="shared" si="6"/>
        <v>77</v>
      </c>
      <c r="P35" s="5">
        <f t="shared" si="7"/>
        <v>40.857142857142861</v>
      </c>
      <c r="Q35" s="5">
        <f t="shared" si="8"/>
        <v>14.875</v>
      </c>
      <c r="R35" s="7">
        <f t="shared" si="9"/>
        <v>714.28571428571433</v>
      </c>
      <c r="S35" s="6">
        <f t="shared" si="10"/>
        <v>313</v>
      </c>
      <c r="T35" s="7">
        <f t="shared" si="11"/>
        <v>401.28571428571433</v>
      </c>
      <c r="U35" s="7">
        <f t="shared" si="12"/>
        <v>825.00000000000011</v>
      </c>
      <c r="V35" s="6">
        <f t="shared" si="12"/>
        <v>481</v>
      </c>
      <c r="W35" s="7">
        <f t="shared" si="13"/>
        <v>344.00000000000011</v>
      </c>
      <c r="X35" s="7">
        <f t="shared" si="14"/>
        <v>5000.0000000000009</v>
      </c>
      <c r="Y35" s="7">
        <f t="shared" si="14"/>
        <v>2122</v>
      </c>
      <c r="Z35" s="7">
        <f t="shared" si="15"/>
        <v>2878.0000000000009</v>
      </c>
      <c r="AA35" s="24">
        <f t="shared" si="16"/>
        <v>0.99232657495399956</v>
      </c>
      <c r="AB35" s="1"/>
    </row>
    <row r="36" spans="2:28" ht="18" x14ac:dyDescent="0.25">
      <c r="B36" s="3">
        <v>6</v>
      </c>
      <c r="C36" s="5">
        <f>C37+110</f>
        <v>702284</v>
      </c>
      <c r="D36" s="5">
        <f>D37+123</f>
        <v>1386810</v>
      </c>
      <c r="E36" s="5">
        <f t="shared" ref="E36" si="23">E37+80</f>
        <v>465423</v>
      </c>
      <c r="F36" s="8">
        <f t="shared" si="17"/>
        <v>2554517</v>
      </c>
      <c r="G36" s="22">
        <f t="shared" si="0"/>
        <v>2554301.8125</v>
      </c>
      <c r="H36" s="7">
        <f t="shared" si="1"/>
        <v>2554317.1875</v>
      </c>
      <c r="I36" s="5">
        <f>I37+47</f>
        <v>807128</v>
      </c>
      <c r="J36" s="6">
        <f t="shared" si="3"/>
        <v>110</v>
      </c>
      <c r="K36" s="6">
        <f t="shared" si="3"/>
        <v>123</v>
      </c>
      <c r="L36" s="6">
        <f t="shared" si="3"/>
        <v>80</v>
      </c>
      <c r="M36" s="6">
        <f t="shared" si="4"/>
        <v>47</v>
      </c>
      <c r="N36" s="5">
        <f t="shared" si="5"/>
        <v>117.85714285714286</v>
      </c>
      <c r="O36" s="3">
        <f t="shared" si="6"/>
        <v>80</v>
      </c>
      <c r="P36" s="5">
        <f t="shared" si="7"/>
        <v>37.857142857142861</v>
      </c>
      <c r="Q36" s="5">
        <f t="shared" si="8"/>
        <v>15.375</v>
      </c>
      <c r="R36" s="7">
        <f t="shared" si="9"/>
        <v>714.28571428571433</v>
      </c>
      <c r="S36" s="6">
        <f t="shared" si="10"/>
        <v>313</v>
      </c>
      <c r="T36" s="7">
        <f t="shared" si="11"/>
        <v>401.28571428571433</v>
      </c>
      <c r="U36" s="7">
        <f t="shared" si="12"/>
        <v>707.14285714285722</v>
      </c>
      <c r="V36" s="6">
        <f t="shared" si="12"/>
        <v>404</v>
      </c>
      <c r="W36" s="7">
        <f t="shared" si="13"/>
        <v>303.14285714285722</v>
      </c>
      <c r="X36" s="7">
        <f t="shared" si="14"/>
        <v>4285.7142857142862</v>
      </c>
      <c r="Y36" s="7">
        <f t="shared" si="14"/>
        <v>1809</v>
      </c>
      <c r="Z36" s="7">
        <f t="shared" si="15"/>
        <v>2476.7142857142862</v>
      </c>
      <c r="AA36" s="24">
        <f t="shared" si="16"/>
        <v>0.98891316622563219</v>
      </c>
      <c r="AB36" s="1"/>
    </row>
    <row r="37" spans="2:28" ht="18" x14ac:dyDescent="0.25">
      <c r="B37" s="3">
        <v>5</v>
      </c>
      <c r="C37" s="5">
        <f>C38+105</f>
        <v>702174</v>
      </c>
      <c r="D37" s="5">
        <f>D38+127</f>
        <v>1386687</v>
      </c>
      <c r="E37" s="5">
        <f>E38+43</f>
        <v>465343</v>
      </c>
      <c r="F37" s="8">
        <f t="shared" si="17"/>
        <v>2554204</v>
      </c>
      <c r="G37" s="22">
        <f t="shared" si="0"/>
        <v>2554014.9375</v>
      </c>
      <c r="H37" s="7">
        <f t="shared" si="1"/>
        <v>2554030.8125</v>
      </c>
      <c r="I37" s="5">
        <f>I38+41</f>
        <v>807081</v>
      </c>
      <c r="J37" s="6">
        <f t="shared" si="3"/>
        <v>105</v>
      </c>
      <c r="K37" s="6">
        <f t="shared" si="3"/>
        <v>127</v>
      </c>
      <c r="L37" s="6">
        <f t="shared" si="3"/>
        <v>43</v>
      </c>
      <c r="M37" s="6">
        <f t="shared" si="4"/>
        <v>41</v>
      </c>
      <c r="N37" s="5">
        <f t="shared" si="5"/>
        <v>117.85714285714286</v>
      </c>
      <c r="O37" s="3">
        <f t="shared" si="6"/>
        <v>43</v>
      </c>
      <c r="P37" s="5">
        <f t="shared" si="7"/>
        <v>74.857142857142861</v>
      </c>
      <c r="Q37" s="5">
        <f t="shared" si="8"/>
        <v>15.875</v>
      </c>
      <c r="R37" s="7">
        <f t="shared" si="9"/>
        <v>714.28571428571433</v>
      </c>
      <c r="S37" s="6">
        <f t="shared" si="10"/>
        <v>275</v>
      </c>
      <c r="T37" s="7">
        <f t="shared" si="11"/>
        <v>439.28571428571433</v>
      </c>
      <c r="U37" s="7">
        <f t="shared" si="12"/>
        <v>589.28571428571433</v>
      </c>
      <c r="V37" s="6">
        <f t="shared" si="12"/>
        <v>324</v>
      </c>
      <c r="W37" s="7">
        <f t="shared" si="13"/>
        <v>265.28571428571433</v>
      </c>
      <c r="X37" s="7">
        <f t="shared" si="14"/>
        <v>3571.4285714285716</v>
      </c>
      <c r="Y37" s="7">
        <f t="shared" si="14"/>
        <v>1496</v>
      </c>
      <c r="Z37" s="7">
        <f t="shared" si="15"/>
        <v>2075.4285714285716</v>
      </c>
      <c r="AA37" s="24">
        <f t="shared" si="16"/>
        <v>0.9890678669274704</v>
      </c>
      <c r="AB37" s="1"/>
    </row>
    <row r="38" spans="2:28" ht="18" x14ac:dyDescent="0.25">
      <c r="B38" s="3">
        <v>4</v>
      </c>
      <c r="C38" s="5">
        <f>C39+100</f>
        <v>702069</v>
      </c>
      <c r="D38" s="5">
        <f t="shared" ref="D38" si="24">D39+139</f>
        <v>1386560</v>
      </c>
      <c r="E38" s="5">
        <f>E39+71</f>
        <v>465300</v>
      </c>
      <c r="F38" s="8">
        <f t="shared" si="17"/>
        <v>2553929</v>
      </c>
      <c r="G38" s="22">
        <f t="shared" si="0"/>
        <v>2553715.875</v>
      </c>
      <c r="H38" s="7">
        <f t="shared" si="1"/>
        <v>2553733.25</v>
      </c>
      <c r="I38" s="5">
        <f>I39+34</f>
        <v>807040</v>
      </c>
      <c r="J38" s="6">
        <f t="shared" si="3"/>
        <v>100</v>
      </c>
      <c r="K38" s="6">
        <f t="shared" si="3"/>
        <v>139</v>
      </c>
      <c r="L38" s="6">
        <f t="shared" si="3"/>
        <v>71</v>
      </c>
      <c r="M38" s="6">
        <f t="shared" si="4"/>
        <v>34</v>
      </c>
      <c r="N38" s="5">
        <f t="shared" si="5"/>
        <v>117.85714285714286</v>
      </c>
      <c r="O38" s="3">
        <f t="shared" si="6"/>
        <v>71</v>
      </c>
      <c r="P38" s="5">
        <f t="shared" si="7"/>
        <v>46.857142857142861</v>
      </c>
      <c r="Q38" s="5">
        <f t="shared" si="8"/>
        <v>17.375</v>
      </c>
      <c r="R38" s="7">
        <f t="shared" si="9"/>
        <v>714.28571428571433</v>
      </c>
      <c r="S38" s="6">
        <f t="shared" si="10"/>
        <v>310</v>
      </c>
      <c r="T38" s="7">
        <f t="shared" si="11"/>
        <v>404.28571428571433</v>
      </c>
      <c r="U38" s="7">
        <f t="shared" si="12"/>
        <v>471.42857142857144</v>
      </c>
      <c r="V38" s="6">
        <f t="shared" si="12"/>
        <v>281</v>
      </c>
      <c r="W38" s="7">
        <f t="shared" si="13"/>
        <v>190.42857142857144</v>
      </c>
      <c r="X38" s="7">
        <f t="shared" si="14"/>
        <v>2857.1428571428573</v>
      </c>
      <c r="Y38" s="7">
        <f t="shared" si="14"/>
        <v>1221</v>
      </c>
      <c r="Z38" s="7">
        <f t="shared" si="15"/>
        <v>1636.1428571428573</v>
      </c>
      <c r="AA38" s="24">
        <f t="shared" si="16"/>
        <v>0.99403915610802585</v>
      </c>
      <c r="AB38" s="1"/>
    </row>
    <row r="39" spans="2:28" ht="18" x14ac:dyDescent="0.25">
      <c r="B39" s="3">
        <v>3</v>
      </c>
      <c r="C39" s="5">
        <f>C40+96</f>
        <v>701969</v>
      </c>
      <c r="D39" s="5">
        <f>D40+130</f>
        <v>1386421</v>
      </c>
      <c r="E39" s="5">
        <f>E40+75</f>
        <v>465229</v>
      </c>
      <c r="F39" s="8">
        <f t="shared" si="17"/>
        <v>2553619</v>
      </c>
      <c r="G39" s="22">
        <f t="shared" si="0"/>
        <v>2553412.0625</v>
      </c>
      <c r="H39" s="7">
        <f t="shared" si="1"/>
        <v>2553428.3125</v>
      </c>
      <c r="I39" s="5">
        <f>I40+38</f>
        <v>807006</v>
      </c>
      <c r="J39" s="6">
        <f t="shared" si="3"/>
        <v>96</v>
      </c>
      <c r="K39" s="6">
        <f t="shared" si="3"/>
        <v>130</v>
      </c>
      <c r="L39" s="6">
        <f t="shared" si="3"/>
        <v>75</v>
      </c>
      <c r="M39" s="6">
        <f t="shared" si="4"/>
        <v>38</v>
      </c>
      <c r="N39" s="5">
        <f t="shared" si="5"/>
        <v>117.85714285714286</v>
      </c>
      <c r="O39" s="3">
        <f t="shared" si="6"/>
        <v>75</v>
      </c>
      <c r="P39" s="5">
        <f t="shared" si="7"/>
        <v>42.857142857142861</v>
      </c>
      <c r="Q39" s="5">
        <f t="shared" si="8"/>
        <v>16.25</v>
      </c>
      <c r="R39" s="7">
        <f t="shared" si="9"/>
        <v>714.28571428571433</v>
      </c>
      <c r="S39" s="6">
        <f t="shared" si="10"/>
        <v>301</v>
      </c>
      <c r="T39" s="7">
        <f t="shared" si="11"/>
        <v>413.28571428571433</v>
      </c>
      <c r="U39" s="7">
        <f t="shared" si="12"/>
        <v>353.57142857142856</v>
      </c>
      <c r="V39" s="6">
        <f t="shared" si="12"/>
        <v>210</v>
      </c>
      <c r="W39" s="7">
        <f t="shared" si="13"/>
        <v>143.57142857142856</v>
      </c>
      <c r="X39" s="7">
        <f t="shared" si="14"/>
        <v>2142.8571428571431</v>
      </c>
      <c r="Y39" s="7">
        <f t="shared" si="14"/>
        <v>911</v>
      </c>
      <c r="Z39" s="7">
        <f t="shared" si="15"/>
        <v>1231.8571428571431</v>
      </c>
      <c r="AA39" s="24">
        <f t="shared" si="16"/>
        <v>0.9921250028569647</v>
      </c>
      <c r="AB39" s="1"/>
    </row>
    <row r="40" spans="2:28" ht="18" x14ac:dyDescent="0.25">
      <c r="B40" s="3">
        <v>2</v>
      </c>
      <c r="C40" s="5">
        <f>C41+98</f>
        <v>701873</v>
      </c>
      <c r="D40" s="5">
        <f>D41+137</f>
        <v>1386291</v>
      </c>
      <c r="E40" s="5">
        <f>E41+69</f>
        <v>465154</v>
      </c>
      <c r="F40" s="8">
        <f t="shared" si="17"/>
        <v>2553318</v>
      </c>
      <c r="G40" s="22">
        <f t="shared" si="0"/>
        <v>2553109</v>
      </c>
      <c r="H40" s="7">
        <f t="shared" si="1"/>
        <v>2553126.125</v>
      </c>
      <c r="I40" s="5">
        <f>I41+40</f>
        <v>806968</v>
      </c>
      <c r="J40" s="6">
        <f t="shared" si="3"/>
        <v>98</v>
      </c>
      <c r="K40" s="6">
        <f t="shared" si="3"/>
        <v>137</v>
      </c>
      <c r="L40" s="6">
        <f t="shared" si="3"/>
        <v>69</v>
      </c>
      <c r="M40" s="6">
        <f t="shared" si="4"/>
        <v>40</v>
      </c>
      <c r="N40" s="5">
        <f t="shared" si="5"/>
        <v>117.85714285714286</v>
      </c>
      <c r="O40" s="3">
        <f t="shared" si="6"/>
        <v>69</v>
      </c>
      <c r="P40" s="5">
        <f t="shared" si="7"/>
        <v>48.857142857142861</v>
      </c>
      <c r="Q40" s="5">
        <f t="shared" si="8"/>
        <v>17.125</v>
      </c>
      <c r="R40" s="7">
        <f>R41</f>
        <v>714.28571428571433</v>
      </c>
      <c r="S40" s="6">
        <f t="shared" si="10"/>
        <v>304</v>
      </c>
      <c r="T40" s="7">
        <f t="shared" si="11"/>
        <v>410.28571428571433</v>
      </c>
      <c r="U40" s="7">
        <f t="shared" si="12"/>
        <v>235.71428571428572</v>
      </c>
      <c r="V40" s="6">
        <f t="shared" si="12"/>
        <v>135</v>
      </c>
      <c r="W40" s="7">
        <f t="shared" si="13"/>
        <v>100.71428571428572</v>
      </c>
      <c r="X40" s="7">
        <f t="shared" si="14"/>
        <v>1428.5714285714287</v>
      </c>
      <c r="Y40" s="7">
        <f t="shared" si="14"/>
        <v>610</v>
      </c>
      <c r="Z40" s="7">
        <f t="shared" si="15"/>
        <v>818.57142857142867</v>
      </c>
      <c r="AA40" s="24">
        <f t="shared" si="16"/>
        <v>0.99145429554254383</v>
      </c>
      <c r="AB40" s="1"/>
    </row>
    <row r="41" spans="2:28" ht="18.75" thickBot="1" x14ac:dyDescent="0.3">
      <c r="B41" s="3">
        <v>1</v>
      </c>
      <c r="C41" s="5">
        <f>C42+101</f>
        <v>701775</v>
      </c>
      <c r="D41" s="5">
        <f>D42+139</f>
        <v>1386154</v>
      </c>
      <c r="E41" s="5">
        <f>E42+66</f>
        <v>465085</v>
      </c>
      <c r="F41" s="8">
        <f t="shared" si="17"/>
        <v>2553014</v>
      </c>
      <c r="G41" s="22">
        <f>(C42+D42+E42)+((S41/24)*7.5)</f>
        <v>2552803.625</v>
      </c>
      <c r="H41" s="7">
        <f>G41+((K41/12)*1.5)</f>
        <v>2552821</v>
      </c>
      <c r="I41" s="5">
        <f>I42+44</f>
        <v>806928</v>
      </c>
      <c r="J41" s="6">
        <f t="shared" si="3"/>
        <v>101</v>
      </c>
      <c r="K41" s="6">
        <f t="shared" si="3"/>
        <v>139</v>
      </c>
      <c r="L41" s="6">
        <f t="shared" si="3"/>
        <v>66</v>
      </c>
      <c r="M41" s="6">
        <f t="shared" si="4"/>
        <v>44</v>
      </c>
      <c r="N41" s="43">
        <f>O6/28</f>
        <v>117.85714285714286</v>
      </c>
      <c r="O41" s="3">
        <f t="shared" si="6"/>
        <v>66</v>
      </c>
      <c r="P41" s="5">
        <f t="shared" si="7"/>
        <v>51.857142857142861</v>
      </c>
      <c r="Q41" s="5">
        <f t="shared" si="8"/>
        <v>17.375</v>
      </c>
      <c r="R41" s="45">
        <f>S6/28</f>
        <v>714.28571428571433</v>
      </c>
      <c r="S41" s="6">
        <f t="shared" si="10"/>
        <v>306</v>
      </c>
      <c r="T41" s="7">
        <f t="shared" si="11"/>
        <v>408.28571428571433</v>
      </c>
      <c r="U41" s="7">
        <f>N41</f>
        <v>117.85714285714286</v>
      </c>
      <c r="V41" s="6">
        <f>O41</f>
        <v>66</v>
      </c>
      <c r="W41" s="7">
        <f t="shared" si="13"/>
        <v>51.857142857142861</v>
      </c>
      <c r="X41" s="7">
        <f>R41</f>
        <v>714.28571428571433</v>
      </c>
      <c r="Y41" s="7">
        <f>S41</f>
        <v>306</v>
      </c>
      <c r="Z41" s="7">
        <f t="shared" si="15"/>
        <v>408.28571428571433</v>
      </c>
      <c r="AA41" s="24">
        <f t="shared" si="16"/>
        <v>0.98981969113999979</v>
      </c>
      <c r="AB41" s="1"/>
    </row>
    <row r="42" spans="2:28" ht="54.75" thickBot="1" x14ac:dyDescent="0.3">
      <c r="B42" s="33" t="s">
        <v>13</v>
      </c>
      <c r="C42" s="3">
        <v>701674</v>
      </c>
      <c r="D42" s="3">
        <v>1386015</v>
      </c>
      <c r="E42" s="3">
        <v>465019</v>
      </c>
      <c r="F42" s="8">
        <v>2552708</v>
      </c>
      <c r="G42" s="9">
        <v>2552636.7083333335</v>
      </c>
      <c r="H42" s="9">
        <v>2552636.7083333335</v>
      </c>
      <c r="I42" s="3">
        <v>806884</v>
      </c>
      <c r="J42" s="10"/>
      <c r="K42" s="10" t="s">
        <v>39</v>
      </c>
      <c r="L42" s="10"/>
      <c r="M42" s="46">
        <f>SUM(M14:M41)</f>
        <v>1232</v>
      </c>
      <c r="N42" s="10"/>
      <c r="O42" s="10"/>
      <c r="P42" s="10"/>
      <c r="Q42" s="40"/>
      <c r="R42" s="10"/>
      <c r="S42" s="10"/>
      <c r="T42" s="10"/>
      <c r="U42" s="10"/>
      <c r="V42" s="10"/>
      <c r="W42" s="10"/>
      <c r="X42" s="10"/>
      <c r="Y42" s="10"/>
      <c r="Z42" s="10"/>
      <c r="AA42" s="58">
        <f>AVERAGE(AA11:AA41)</f>
        <v>0.95736626989254991</v>
      </c>
    </row>
    <row r="43" spans="2:28" ht="18" x14ac:dyDescent="0.25">
      <c r="B43" s="34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2:28" ht="18" x14ac:dyDescent="0.25"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2:28" ht="18" x14ac:dyDescent="0.25"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8" spans="2:28" ht="18" x14ac:dyDescent="0.25">
      <c r="Z48" s="10" t="s">
        <v>38</v>
      </c>
    </row>
    <row r="49" spans="26:27" ht="18" x14ac:dyDescent="0.25">
      <c r="Z49" s="10" t="s">
        <v>44</v>
      </c>
      <c r="AA49" s="10"/>
    </row>
    <row r="50" spans="26:27" ht="18" x14ac:dyDescent="0.25">
      <c r="Z50" s="10" t="s">
        <v>45</v>
      </c>
      <c r="AA50" s="10"/>
    </row>
    <row r="51" spans="26:27" ht="18" x14ac:dyDescent="0.25">
      <c r="Z51" s="10" t="s">
        <v>12</v>
      </c>
      <c r="AA51" s="10"/>
    </row>
  </sheetData>
  <mergeCells count="10">
    <mergeCell ref="C5:D5"/>
    <mergeCell ref="U7:W7"/>
    <mergeCell ref="X7:AA7"/>
    <mergeCell ref="AB7:AB8"/>
    <mergeCell ref="B7:B8"/>
    <mergeCell ref="C7:I7"/>
    <mergeCell ref="J7:M7"/>
    <mergeCell ref="N7:P7"/>
    <mergeCell ref="Q7:Q8"/>
    <mergeCell ref="R7:T7"/>
  </mergeCells>
  <printOptions horizontalCentered="1"/>
  <pageMargins left="0.25" right="0.25" top="0.75" bottom="0.75" header="0.3" footer="0.3"/>
  <pageSetup paperSize="9" scale="4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pageSetUpPr fitToPage="1"/>
  </sheetPr>
  <dimension ref="B2:AB51"/>
  <sheetViews>
    <sheetView zoomScale="85" zoomScaleNormal="85" zoomScaleSheetLayoutView="98" workbookViewId="0">
      <pane ySplit="8" topLeftCell="A9" activePane="bottomLeft" state="frozen"/>
      <selection pane="bottomLeft" activeCell="C16" sqref="C16"/>
    </sheetView>
  </sheetViews>
  <sheetFormatPr baseColWidth="10" defaultColWidth="11.42578125" defaultRowHeight="15" x14ac:dyDescent="0.25"/>
  <cols>
    <col min="1" max="2" width="11.42578125" customWidth="1"/>
    <col min="3" max="4" width="12.28515625" bestFit="1" customWidth="1"/>
    <col min="5" max="5" width="11.42578125" customWidth="1"/>
    <col min="6" max="6" width="13.42578125" customWidth="1"/>
    <col min="7" max="7" width="14" bestFit="1" customWidth="1"/>
    <col min="8" max="8" width="12.42578125" customWidth="1"/>
    <col min="9" max="9" width="12.28515625" bestFit="1" customWidth="1"/>
    <col min="16" max="16" width="13.42578125" bestFit="1" customWidth="1"/>
    <col min="17" max="17" width="13.140625" customWidth="1"/>
    <col min="20" max="20" width="14.7109375" bestFit="1" customWidth="1"/>
    <col min="21" max="21" width="11.7109375" bestFit="1" customWidth="1"/>
    <col min="22" max="22" width="13.28515625" bestFit="1" customWidth="1"/>
    <col min="23" max="23" width="12.5703125" bestFit="1" customWidth="1"/>
    <col min="24" max="24" width="11.5703125" bestFit="1" customWidth="1"/>
    <col min="25" max="25" width="14" bestFit="1" customWidth="1"/>
    <col min="26" max="26" width="13.42578125" bestFit="1" customWidth="1"/>
    <col min="27" max="27" width="15.140625" customWidth="1"/>
    <col min="28" max="28" width="16.140625" customWidth="1"/>
  </cols>
  <sheetData>
    <row r="2" spans="2:28" ht="15.75" customHeight="1" x14ac:dyDescent="0.25">
      <c r="G2" s="26" t="s">
        <v>29</v>
      </c>
    </row>
    <row r="3" spans="2:28" ht="15.75" customHeight="1" x14ac:dyDescent="0.25">
      <c r="G3" s="26" t="s">
        <v>28</v>
      </c>
    </row>
    <row r="4" spans="2:28" ht="15.75" customHeight="1" x14ac:dyDescent="0.3">
      <c r="G4" s="27" t="s">
        <v>30</v>
      </c>
      <c r="N4" s="28">
        <f>'Ciencia A'!N4</f>
        <v>45689</v>
      </c>
    </row>
    <row r="5" spans="2:28" x14ac:dyDescent="0.25">
      <c r="C5" s="86" t="s">
        <v>33</v>
      </c>
      <c r="D5" s="86"/>
      <c r="T5" s="52"/>
      <c r="U5" s="52" t="s">
        <v>42</v>
      </c>
      <c r="V5" s="52" t="s">
        <v>43</v>
      </c>
    </row>
    <row r="6" spans="2:28" ht="15.75" x14ac:dyDescent="0.25">
      <c r="N6" s="13" t="s">
        <v>27</v>
      </c>
      <c r="O6" s="29">
        <f>S6*16.5%</f>
        <v>4290</v>
      </c>
      <c r="P6" s="30" t="s">
        <v>26</v>
      </c>
      <c r="Q6" s="11">
        <f>(S6*8)/100</f>
        <v>2080</v>
      </c>
      <c r="R6" s="13" t="s">
        <v>25</v>
      </c>
      <c r="S6" s="11">
        <v>26000</v>
      </c>
      <c r="T6" s="52" t="s">
        <v>41</v>
      </c>
      <c r="U6" s="52">
        <v>384</v>
      </c>
      <c r="V6" s="51">
        <f>U6/31</f>
        <v>12.387096774193548</v>
      </c>
    </row>
    <row r="7" spans="2:28" ht="46.5" customHeight="1" x14ac:dyDescent="0.25">
      <c r="B7" s="84" t="s">
        <v>24</v>
      </c>
      <c r="C7" s="82" t="s">
        <v>9</v>
      </c>
      <c r="D7" s="82"/>
      <c r="E7" s="82"/>
      <c r="F7" s="82"/>
      <c r="G7" s="82"/>
      <c r="H7" s="82"/>
      <c r="I7" s="82"/>
      <c r="J7" s="82" t="s">
        <v>23</v>
      </c>
      <c r="K7" s="82"/>
      <c r="L7" s="82"/>
      <c r="M7" s="82"/>
      <c r="N7" s="82" t="s">
        <v>22</v>
      </c>
      <c r="O7" s="82"/>
      <c r="P7" s="82"/>
      <c r="Q7" s="83" t="s">
        <v>21</v>
      </c>
      <c r="R7" s="82" t="s">
        <v>20</v>
      </c>
      <c r="S7" s="82"/>
      <c r="T7" s="82"/>
      <c r="U7" s="82" t="s">
        <v>10</v>
      </c>
      <c r="V7" s="82"/>
      <c r="W7" s="82"/>
      <c r="X7" s="82" t="s">
        <v>11</v>
      </c>
      <c r="Y7" s="82"/>
      <c r="Z7" s="82"/>
      <c r="AA7" s="82"/>
      <c r="AB7" s="83" t="s">
        <v>8</v>
      </c>
    </row>
    <row r="8" spans="2:28" ht="30" x14ac:dyDescent="0.25">
      <c r="B8" s="84"/>
      <c r="C8" s="14" t="s">
        <v>1</v>
      </c>
      <c r="D8" s="14" t="s">
        <v>0</v>
      </c>
      <c r="E8" s="14" t="s">
        <v>2</v>
      </c>
      <c r="F8" s="14" t="s">
        <v>19</v>
      </c>
      <c r="G8" s="14" t="s">
        <v>18</v>
      </c>
      <c r="H8" s="14" t="s">
        <v>17</v>
      </c>
      <c r="I8" s="14" t="s">
        <v>3</v>
      </c>
      <c r="J8" s="14" t="s">
        <v>1</v>
      </c>
      <c r="K8" s="14" t="s">
        <v>0</v>
      </c>
      <c r="L8" s="14" t="s">
        <v>2</v>
      </c>
      <c r="M8" s="14" t="s">
        <v>3</v>
      </c>
      <c r="N8" s="14" t="s">
        <v>4</v>
      </c>
      <c r="O8" s="14" t="s">
        <v>5</v>
      </c>
      <c r="P8" s="14" t="s">
        <v>16</v>
      </c>
      <c r="Q8" s="83"/>
      <c r="R8" s="14" t="s">
        <v>6</v>
      </c>
      <c r="S8" s="14" t="s">
        <v>15</v>
      </c>
      <c r="T8" s="14" t="s">
        <v>16</v>
      </c>
      <c r="U8" s="14" t="s">
        <v>4</v>
      </c>
      <c r="V8" s="14" t="s">
        <v>5</v>
      </c>
      <c r="W8" s="14" t="s">
        <v>16</v>
      </c>
      <c r="X8" s="14" t="s">
        <v>6</v>
      </c>
      <c r="Y8" s="14" t="s">
        <v>15</v>
      </c>
      <c r="Z8" s="31" t="s">
        <v>14</v>
      </c>
      <c r="AA8" s="14" t="s">
        <v>7</v>
      </c>
      <c r="AB8" s="83"/>
    </row>
    <row r="9" spans="2:28" x14ac:dyDescent="0.25">
      <c r="B9" s="32"/>
      <c r="C9" s="2">
        <v>1</v>
      </c>
      <c r="D9" s="2">
        <v>2</v>
      </c>
      <c r="E9" s="2">
        <v>3</v>
      </c>
      <c r="F9" s="2"/>
      <c r="G9" s="2">
        <v>4</v>
      </c>
      <c r="H9" s="2">
        <v>5</v>
      </c>
      <c r="I9" s="2">
        <v>6</v>
      </c>
      <c r="J9" s="2">
        <v>7</v>
      </c>
      <c r="K9" s="2">
        <v>8</v>
      </c>
      <c r="L9" s="2">
        <v>9</v>
      </c>
      <c r="M9" s="2">
        <v>10</v>
      </c>
      <c r="N9" s="2">
        <v>11</v>
      </c>
      <c r="O9" s="2">
        <v>12</v>
      </c>
      <c r="P9" s="2">
        <v>13</v>
      </c>
      <c r="Q9" s="2">
        <v>14</v>
      </c>
      <c r="R9" s="2">
        <v>15</v>
      </c>
      <c r="S9" s="2">
        <v>16</v>
      </c>
      <c r="T9" s="2">
        <v>17</v>
      </c>
      <c r="U9" s="2">
        <v>18</v>
      </c>
      <c r="V9" s="2">
        <v>19</v>
      </c>
      <c r="W9" s="2">
        <v>20</v>
      </c>
      <c r="X9" s="2">
        <v>21</v>
      </c>
      <c r="Y9" s="2">
        <v>22</v>
      </c>
      <c r="Z9" s="2">
        <v>23</v>
      </c>
      <c r="AA9" s="2">
        <v>24</v>
      </c>
      <c r="AB9" s="2">
        <v>25</v>
      </c>
    </row>
    <row r="10" spans="2:28" ht="18" x14ac:dyDescent="0.25">
      <c r="B10" s="3"/>
      <c r="C10" s="3"/>
      <c r="D10" s="3"/>
      <c r="E10" s="3"/>
      <c r="F10" s="4"/>
      <c r="G10" s="4"/>
      <c r="H10" s="3"/>
      <c r="I10" s="3"/>
      <c r="J10" s="3"/>
      <c r="K10" s="3"/>
      <c r="L10" s="3"/>
      <c r="M10" s="3"/>
      <c r="N10" s="5"/>
      <c r="O10" s="5"/>
      <c r="P10" s="5"/>
      <c r="Q10" s="5"/>
      <c r="R10" s="5"/>
      <c r="S10" s="5"/>
      <c r="T10" s="3"/>
      <c r="U10" s="3"/>
      <c r="V10" s="3"/>
      <c r="W10" s="3"/>
      <c r="X10" s="3"/>
      <c r="Y10" s="3"/>
      <c r="Z10" s="3"/>
      <c r="AA10" s="3"/>
      <c r="AB10" s="2"/>
    </row>
    <row r="11" spans="2:28" s="68" customFormat="1" ht="18" x14ac:dyDescent="0.25">
      <c r="B11" s="59"/>
      <c r="C11" s="76"/>
      <c r="D11" s="76"/>
      <c r="E11" s="76"/>
      <c r="F11" s="74"/>
      <c r="G11" s="75"/>
      <c r="H11" s="73"/>
      <c r="I11" s="76"/>
      <c r="J11" s="63"/>
      <c r="K11" s="63"/>
      <c r="L11" s="63"/>
      <c r="M11" s="63"/>
      <c r="N11" s="64"/>
      <c r="O11" s="65"/>
      <c r="P11" s="64"/>
      <c r="Q11" s="64"/>
      <c r="R11" s="60"/>
      <c r="S11" s="63"/>
      <c r="T11" s="60"/>
      <c r="U11" s="60"/>
      <c r="V11" s="60"/>
      <c r="W11" s="60"/>
      <c r="X11" s="60"/>
      <c r="Y11" s="60"/>
      <c r="Z11" s="60"/>
      <c r="AA11" s="66"/>
      <c r="AB11" s="67"/>
    </row>
    <row r="12" spans="2:28" ht="18" x14ac:dyDescent="0.25">
      <c r="B12" s="3"/>
      <c r="C12" s="3"/>
      <c r="D12" s="3"/>
      <c r="E12" s="3"/>
      <c r="F12" s="8"/>
      <c r="G12" s="22"/>
      <c r="H12" s="7"/>
      <c r="I12" s="3"/>
      <c r="J12" s="6"/>
      <c r="K12" s="6"/>
      <c r="L12" s="6"/>
      <c r="M12" s="6"/>
      <c r="N12" s="5"/>
      <c r="O12" s="23"/>
      <c r="P12" s="5"/>
      <c r="Q12" s="5"/>
      <c r="R12" s="7"/>
      <c r="S12" s="6"/>
      <c r="T12" s="7"/>
      <c r="U12" s="7"/>
      <c r="V12" s="7"/>
      <c r="W12" s="7"/>
      <c r="X12" s="7"/>
      <c r="Y12" s="7"/>
      <c r="Z12" s="7"/>
      <c r="AA12" s="24"/>
      <c r="AB12" s="25"/>
    </row>
    <row r="13" spans="2:28" ht="18" x14ac:dyDescent="0.25">
      <c r="B13" s="3"/>
      <c r="C13" s="3"/>
      <c r="D13" s="3"/>
      <c r="E13" s="3"/>
      <c r="F13" s="8"/>
      <c r="G13" s="22"/>
      <c r="H13" s="7"/>
      <c r="I13" s="3"/>
      <c r="J13" s="6"/>
      <c r="K13" s="6"/>
      <c r="L13" s="6"/>
      <c r="M13" s="6"/>
      <c r="N13" s="5"/>
      <c r="O13" s="23"/>
      <c r="P13" s="5"/>
      <c r="Q13" s="5"/>
      <c r="R13" s="7"/>
      <c r="S13" s="6"/>
      <c r="T13" s="7"/>
      <c r="U13" s="7"/>
      <c r="V13" s="7"/>
      <c r="W13" s="7"/>
      <c r="X13" s="7"/>
      <c r="Y13" s="7"/>
      <c r="Z13" s="7"/>
      <c r="AA13" s="24"/>
      <c r="AB13" s="25"/>
    </row>
    <row r="14" spans="2:28" ht="17.45" x14ac:dyDescent="0.3">
      <c r="B14" s="3">
        <v>28</v>
      </c>
      <c r="C14" s="3">
        <v>481939</v>
      </c>
      <c r="D14" s="3">
        <v>639363</v>
      </c>
      <c r="E14" s="3">
        <v>418579</v>
      </c>
      <c r="F14" s="8">
        <f>C14+D14+E14</f>
        <v>1539881</v>
      </c>
      <c r="G14" s="22">
        <f t="shared" ref="G13:G40" si="0">(C15+D15+E15)+((S14/24)*5)</f>
        <v>1539564.3333333333</v>
      </c>
      <c r="H14" s="7">
        <f t="shared" ref="H13:H40" si="1">G14+((K14/12)*3)</f>
        <v>1539594.5833333333</v>
      </c>
      <c r="I14" s="3">
        <v>290380</v>
      </c>
      <c r="J14" s="6">
        <f t="shared" ref="J13:L41" si="2">C14-C15</f>
        <v>150</v>
      </c>
      <c r="K14" s="6">
        <f t="shared" si="2"/>
        <v>121</v>
      </c>
      <c r="L14" s="6">
        <f t="shared" si="2"/>
        <v>129</v>
      </c>
      <c r="M14" s="6">
        <f t="shared" ref="M13:M41" si="3">I14-I15</f>
        <v>70</v>
      </c>
      <c r="N14" s="5">
        <f t="shared" ref="N12:N40" si="4">N15</f>
        <v>153.21428571428572</v>
      </c>
      <c r="O14" s="23">
        <f t="shared" ref="O13:O41" si="5">L14</f>
        <v>129</v>
      </c>
      <c r="P14" s="5">
        <f t="shared" ref="P13:P41" si="6">N14-O14</f>
        <v>24.214285714285722</v>
      </c>
      <c r="Q14" s="5">
        <f t="shared" ref="Q13:Q41" si="7">H14-G14</f>
        <v>30.25</v>
      </c>
      <c r="R14" s="7">
        <f t="shared" ref="R12:R39" si="8">R15</f>
        <v>928.57142857142856</v>
      </c>
      <c r="S14" s="6">
        <f t="shared" ref="S13:S41" si="9">J14+K14+L14</f>
        <v>400</v>
      </c>
      <c r="T14" s="7">
        <f t="shared" ref="T13:T41" si="10">R14-S14</f>
        <v>528.57142857142856</v>
      </c>
      <c r="U14" s="7">
        <f t="shared" ref="U13:V40" si="11">U15+N14</f>
        <v>4290.0000000000009</v>
      </c>
      <c r="V14" s="7">
        <f t="shared" si="11"/>
        <v>1356</v>
      </c>
      <c r="W14" s="7">
        <f t="shared" ref="W13:W41" si="12">U14-V14</f>
        <v>2934.0000000000009</v>
      </c>
      <c r="X14" s="7">
        <f t="shared" ref="X13:Y40" si="13">X15+R14</f>
        <v>25999.999999999996</v>
      </c>
      <c r="Y14" s="7">
        <f t="shared" si="13"/>
        <v>7771</v>
      </c>
      <c r="Z14" s="7">
        <f t="shared" ref="Z13:Z41" si="14">X14-Y14</f>
        <v>18228.999999999996</v>
      </c>
      <c r="AA14" s="24">
        <f t="shared" ref="AA13:AA41" si="15">COS(ATAN(M14/S14))</f>
        <v>0.98503046715570419</v>
      </c>
      <c r="AB14" s="25"/>
    </row>
    <row r="15" spans="2:28" ht="18" x14ac:dyDescent="0.25">
      <c r="B15" s="3">
        <v>27</v>
      </c>
      <c r="C15" s="3">
        <v>481789</v>
      </c>
      <c r="D15" s="3">
        <v>639242</v>
      </c>
      <c r="E15" s="3">
        <v>418450</v>
      </c>
      <c r="F15" s="8">
        <f t="shared" ref="F13:F41" si="16">C15+D15+E15</f>
        <v>1539481</v>
      </c>
      <c r="G15" s="22">
        <f t="shared" si="0"/>
        <v>1539347.2083333333</v>
      </c>
      <c r="H15" s="7">
        <f t="shared" si="1"/>
        <v>1539348.2083333333</v>
      </c>
      <c r="I15" s="3">
        <v>290310</v>
      </c>
      <c r="J15" s="6">
        <f t="shared" si="2"/>
        <v>71</v>
      </c>
      <c r="K15" s="6">
        <f t="shared" si="2"/>
        <v>4</v>
      </c>
      <c r="L15" s="6">
        <f t="shared" si="2"/>
        <v>94</v>
      </c>
      <c r="M15" s="6">
        <f t="shared" si="3"/>
        <v>4</v>
      </c>
      <c r="N15" s="5">
        <f t="shared" si="4"/>
        <v>153.21428571428572</v>
      </c>
      <c r="O15" s="23">
        <f t="shared" si="5"/>
        <v>94</v>
      </c>
      <c r="P15" s="5">
        <f t="shared" si="6"/>
        <v>59.214285714285722</v>
      </c>
      <c r="Q15" s="5">
        <f t="shared" si="7"/>
        <v>1</v>
      </c>
      <c r="R15" s="7">
        <f t="shared" si="8"/>
        <v>928.57142857142856</v>
      </c>
      <c r="S15" s="6">
        <f t="shared" si="9"/>
        <v>169</v>
      </c>
      <c r="T15" s="7">
        <f t="shared" si="10"/>
        <v>759.57142857142856</v>
      </c>
      <c r="U15" s="7">
        <f t="shared" si="11"/>
        <v>4136.7857142857156</v>
      </c>
      <c r="V15" s="7">
        <f t="shared" si="11"/>
        <v>1227</v>
      </c>
      <c r="W15" s="7">
        <f t="shared" si="12"/>
        <v>2909.7857142857156</v>
      </c>
      <c r="X15" s="7">
        <f t="shared" si="13"/>
        <v>25071.428571428569</v>
      </c>
      <c r="Y15" s="7">
        <f t="shared" si="13"/>
        <v>7371</v>
      </c>
      <c r="Z15" s="7">
        <f t="shared" si="14"/>
        <v>17700.428571428569</v>
      </c>
      <c r="AA15" s="24">
        <f t="shared" si="15"/>
        <v>0.99972001539366517</v>
      </c>
      <c r="AB15" s="25"/>
    </row>
    <row r="16" spans="2:28" ht="18" x14ac:dyDescent="0.25">
      <c r="B16" s="3">
        <v>26</v>
      </c>
      <c r="C16" s="3">
        <f>C17+76</f>
        <v>481718</v>
      </c>
      <c r="D16" s="3">
        <f>D17+18</f>
        <v>639238</v>
      </c>
      <c r="E16" s="3">
        <f>E17+90</f>
        <v>418356</v>
      </c>
      <c r="F16" s="8">
        <f t="shared" si="16"/>
        <v>1539312</v>
      </c>
      <c r="G16" s="22">
        <f t="shared" si="0"/>
        <v>1539166.3333333333</v>
      </c>
      <c r="H16" s="7">
        <f t="shared" si="1"/>
        <v>1539170.8333333333</v>
      </c>
      <c r="I16" s="3">
        <f>I17+10</f>
        <v>290306</v>
      </c>
      <c r="J16" s="6">
        <f t="shared" si="2"/>
        <v>76</v>
      </c>
      <c r="K16" s="6">
        <f t="shared" si="2"/>
        <v>18</v>
      </c>
      <c r="L16" s="6">
        <f t="shared" si="2"/>
        <v>90</v>
      </c>
      <c r="M16" s="6">
        <f t="shared" si="3"/>
        <v>10</v>
      </c>
      <c r="N16" s="5">
        <f t="shared" si="4"/>
        <v>153.21428571428572</v>
      </c>
      <c r="O16" s="23">
        <f t="shared" si="5"/>
        <v>90</v>
      </c>
      <c r="P16" s="5">
        <f t="shared" si="6"/>
        <v>63.214285714285722</v>
      </c>
      <c r="Q16" s="5">
        <f t="shared" si="7"/>
        <v>4.5</v>
      </c>
      <c r="R16" s="7">
        <f t="shared" si="8"/>
        <v>928.57142857142856</v>
      </c>
      <c r="S16" s="6">
        <f t="shared" si="9"/>
        <v>184</v>
      </c>
      <c r="T16" s="7">
        <f t="shared" si="10"/>
        <v>744.57142857142856</v>
      </c>
      <c r="U16" s="7">
        <f t="shared" si="11"/>
        <v>3983.5714285714298</v>
      </c>
      <c r="V16" s="7">
        <f t="shared" si="11"/>
        <v>1133</v>
      </c>
      <c r="W16" s="7">
        <f t="shared" si="12"/>
        <v>2850.5714285714298</v>
      </c>
      <c r="X16" s="7">
        <f t="shared" si="13"/>
        <v>24142.857142857141</v>
      </c>
      <c r="Y16" s="7">
        <f t="shared" si="13"/>
        <v>7202</v>
      </c>
      <c r="Z16" s="7">
        <f t="shared" si="14"/>
        <v>16940.857142857141</v>
      </c>
      <c r="AA16" s="24">
        <f t="shared" si="15"/>
        <v>0.9985264204661527</v>
      </c>
      <c r="AB16" s="25"/>
    </row>
    <row r="17" spans="2:28" ht="18" x14ac:dyDescent="0.25">
      <c r="B17" s="3">
        <v>25</v>
      </c>
      <c r="C17" s="3">
        <f>C18+83</f>
        <v>481642</v>
      </c>
      <c r="D17" s="3">
        <v>639220</v>
      </c>
      <c r="E17" s="3">
        <f>E18+89</f>
        <v>418266</v>
      </c>
      <c r="F17" s="8">
        <f t="shared" si="16"/>
        <v>1539128</v>
      </c>
      <c r="G17" s="22">
        <f t="shared" si="0"/>
        <v>1538991.8333333333</v>
      </c>
      <c r="H17" s="7">
        <f t="shared" si="1"/>
        <v>1538991.8333333333</v>
      </c>
      <c r="I17" s="3">
        <f>I18+7</f>
        <v>290296</v>
      </c>
      <c r="J17" s="6">
        <f t="shared" si="2"/>
        <v>83</v>
      </c>
      <c r="K17" s="6">
        <f t="shared" si="2"/>
        <v>0</v>
      </c>
      <c r="L17" s="6">
        <f t="shared" si="2"/>
        <v>89</v>
      </c>
      <c r="M17" s="6">
        <f t="shared" si="3"/>
        <v>7</v>
      </c>
      <c r="N17" s="5">
        <f t="shared" si="4"/>
        <v>153.21428571428572</v>
      </c>
      <c r="O17" s="23">
        <f t="shared" si="5"/>
        <v>89</v>
      </c>
      <c r="P17" s="5">
        <f t="shared" si="6"/>
        <v>64.214285714285722</v>
      </c>
      <c r="Q17" s="5">
        <f t="shared" si="7"/>
        <v>0</v>
      </c>
      <c r="R17" s="7">
        <f t="shared" si="8"/>
        <v>928.57142857142856</v>
      </c>
      <c r="S17" s="6">
        <f t="shared" si="9"/>
        <v>172</v>
      </c>
      <c r="T17" s="7">
        <f t="shared" si="10"/>
        <v>756.57142857142856</v>
      </c>
      <c r="U17" s="7">
        <f t="shared" si="11"/>
        <v>3830.357142857144</v>
      </c>
      <c r="V17" s="7">
        <f t="shared" si="11"/>
        <v>1043</v>
      </c>
      <c r="W17" s="7">
        <f t="shared" si="12"/>
        <v>2787.357142857144</v>
      </c>
      <c r="X17" s="7">
        <f t="shared" si="13"/>
        <v>23214.285714285714</v>
      </c>
      <c r="Y17" s="7">
        <f t="shared" si="13"/>
        <v>7018</v>
      </c>
      <c r="Z17" s="7">
        <f t="shared" si="14"/>
        <v>16196.285714285714</v>
      </c>
      <c r="AA17" s="24">
        <f t="shared" si="15"/>
        <v>0.9991728769800885</v>
      </c>
      <c r="AB17" s="25"/>
    </row>
    <row r="18" spans="2:28" ht="18" x14ac:dyDescent="0.25">
      <c r="B18" s="3">
        <v>24</v>
      </c>
      <c r="C18" s="3">
        <f>C19+141</f>
        <v>481559</v>
      </c>
      <c r="D18" s="3">
        <f>D19+99</f>
        <v>639220</v>
      </c>
      <c r="E18" s="3">
        <f>E19+28</f>
        <v>418177</v>
      </c>
      <c r="F18" s="9">
        <f>C18+D18+E18</f>
        <v>1538956</v>
      </c>
      <c r="G18" s="22">
        <f t="shared" si="0"/>
        <v>1538743.8333333333</v>
      </c>
      <c r="H18" s="7">
        <f t="shared" si="1"/>
        <v>1538768.5833333333</v>
      </c>
      <c r="I18" s="3">
        <f t="shared" ref="I18:I23" si="17">I19+53</f>
        <v>290289</v>
      </c>
      <c r="J18" s="6">
        <f t="shared" si="2"/>
        <v>141</v>
      </c>
      <c r="K18" s="6">
        <f t="shared" si="2"/>
        <v>99</v>
      </c>
      <c r="L18" s="6">
        <f t="shared" si="2"/>
        <v>28</v>
      </c>
      <c r="M18" s="6">
        <f t="shared" si="3"/>
        <v>53</v>
      </c>
      <c r="N18" s="5">
        <f t="shared" si="4"/>
        <v>153.21428571428572</v>
      </c>
      <c r="O18" s="23">
        <f t="shared" si="5"/>
        <v>28</v>
      </c>
      <c r="P18" s="5">
        <f t="shared" si="6"/>
        <v>125.21428571428572</v>
      </c>
      <c r="Q18" s="5">
        <f t="shared" si="7"/>
        <v>24.75</v>
      </c>
      <c r="R18" s="7">
        <f t="shared" si="8"/>
        <v>928.57142857142856</v>
      </c>
      <c r="S18" s="6">
        <f t="shared" si="9"/>
        <v>268</v>
      </c>
      <c r="T18" s="7">
        <f t="shared" si="10"/>
        <v>660.57142857142856</v>
      </c>
      <c r="U18" s="7">
        <f t="shared" si="11"/>
        <v>3677.1428571428582</v>
      </c>
      <c r="V18" s="7">
        <f t="shared" si="11"/>
        <v>954</v>
      </c>
      <c r="W18" s="7">
        <f t="shared" si="12"/>
        <v>2723.1428571428582</v>
      </c>
      <c r="X18" s="7">
        <f t="shared" si="13"/>
        <v>22285.714285714286</v>
      </c>
      <c r="Y18" s="7">
        <f t="shared" si="13"/>
        <v>6846</v>
      </c>
      <c r="Z18" s="7">
        <f t="shared" si="14"/>
        <v>15439.714285714286</v>
      </c>
      <c r="AA18" s="24">
        <f t="shared" si="15"/>
        <v>0.9810007613671915</v>
      </c>
      <c r="AB18" s="25"/>
    </row>
    <row r="19" spans="2:28" ht="18" x14ac:dyDescent="0.25">
      <c r="B19" s="3">
        <v>23</v>
      </c>
      <c r="C19" s="3">
        <f>C20+139</f>
        <v>481418</v>
      </c>
      <c r="D19" s="3">
        <f>D20+106</f>
        <v>639121</v>
      </c>
      <c r="E19" s="3">
        <f>E20+26</f>
        <v>418149</v>
      </c>
      <c r="F19" s="9">
        <f>C19+D19+E19</f>
        <v>1538688</v>
      </c>
      <c r="G19" s="22">
        <f t="shared" si="0"/>
        <v>1538473.4583333333</v>
      </c>
      <c r="H19" s="7">
        <f t="shared" si="1"/>
        <v>1538499.9583333333</v>
      </c>
      <c r="I19" s="3">
        <f>I20+55</f>
        <v>290236</v>
      </c>
      <c r="J19" s="6">
        <f t="shared" si="2"/>
        <v>139</v>
      </c>
      <c r="K19" s="6">
        <f t="shared" si="2"/>
        <v>106</v>
      </c>
      <c r="L19" s="6">
        <f t="shared" si="2"/>
        <v>26</v>
      </c>
      <c r="M19" s="6">
        <f t="shared" si="3"/>
        <v>55</v>
      </c>
      <c r="N19" s="5">
        <f t="shared" si="4"/>
        <v>153.21428571428572</v>
      </c>
      <c r="O19" s="3">
        <f t="shared" si="5"/>
        <v>26</v>
      </c>
      <c r="P19" s="5">
        <f t="shared" si="6"/>
        <v>127.21428571428572</v>
      </c>
      <c r="Q19" s="5">
        <f t="shared" si="7"/>
        <v>26.5</v>
      </c>
      <c r="R19" s="7">
        <f t="shared" si="8"/>
        <v>928.57142857142856</v>
      </c>
      <c r="S19" s="6">
        <f t="shared" si="9"/>
        <v>271</v>
      </c>
      <c r="T19" s="7">
        <f t="shared" si="10"/>
        <v>657.57142857142856</v>
      </c>
      <c r="U19" s="7">
        <f t="shared" si="11"/>
        <v>3523.9285714285725</v>
      </c>
      <c r="V19" s="7">
        <f t="shared" si="11"/>
        <v>926</v>
      </c>
      <c r="W19" s="7">
        <f t="shared" si="12"/>
        <v>2597.9285714285725</v>
      </c>
      <c r="X19" s="7">
        <f t="shared" si="13"/>
        <v>21357.142857142859</v>
      </c>
      <c r="Y19" s="7">
        <f t="shared" si="13"/>
        <v>6578</v>
      </c>
      <c r="Z19" s="7">
        <f t="shared" si="14"/>
        <v>14779.142857142859</v>
      </c>
      <c r="AA19" s="24">
        <f t="shared" si="15"/>
        <v>0.98002037432308164</v>
      </c>
      <c r="AB19" s="1"/>
    </row>
    <row r="20" spans="2:28" ht="18" x14ac:dyDescent="0.25">
      <c r="B20" s="3">
        <v>22</v>
      </c>
      <c r="C20" s="3">
        <f>C21+133</f>
        <v>481279</v>
      </c>
      <c r="D20" s="3">
        <f>D21+100</f>
        <v>639015</v>
      </c>
      <c r="E20" s="3">
        <f t="shared" ref="E20:E23" si="18">E21+19</f>
        <v>418123</v>
      </c>
      <c r="F20" s="9">
        <f>C20+D20+E20</f>
        <v>1538417</v>
      </c>
      <c r="G20" s="22">
        <f t="shared" si="0"/>
        <v>1538217.5</v>
      </c>
      <c r="H20" s="7">
        <f t="shared" si="1"/>
        <v>1538242.5</v>
      </c>
      <c r="I20" s="3">
        <f>I21+49</f>
        <v>290181</v>
      </c>
      <c r="J20" s="6">
        <f t="shared" si="2"/>
        <v>133</v>
      </c>
      <c r="K20" s="6">
        <f t="shared" si="2"/>
        <v>100</v>
      </c>
      <c r="L20" s="6">
        <f t="shared" si="2"/>
        <v>19</v>
      </c>
      <c r="M20" s="6">
        <f t="shared" si="3"/>
        <v>49</v>
      </c>
      <c r="N20" s="5">
        <f t="shared" si="4"/>
        <v>153.21428571428572</v>
      </c>
      <c r="O20" s="3">
        <f t="shared" si="5"/>
        <v>19</v>
      </c>
      <c r="P20" s="5">
        <f t="shared" si="6"/>
        <v>134.21428571428572</v>
      </c>
      <c r="Q20" s="5">
        <f t="shared" si="7"/>
        <v>25</v>
      </c>
      <c r="R20" s="7">
        <f t="shared" si="8"/>
        <v>928.57142857142856</v>
      </c>
      <c r="S20" s="6">
        <f t="shared" si="9"/>
        <v>252</v>
      </c>
      <c r="T20" s="7">
        <f t="shared" si="10"/>
        <v>676.57142857142856</v>
      </c>
      <c r="U20" s="7">
        <f t="shared" si="11"/>
        <v>3370.7142857142867</v>
      </c>
      <c r="V20" s="7">
        <f t="shared" si="11"/>
        <v>900</v>
      </c>
      <c r="W20" s="7">
        <f t="shared" si="12"/>
        <v>2470.7142857142867</v>
      </c>
      <c r="X20" s="7">
        <f t="shared" si="13"/>
        <v>20428.571428571431</v>
      </c>
      <c r="Y20" s="7">
        <f t="shared" si="13"/>
        <v>6307</v>
      </c>
      <c r="Z20" s="7">
        <f t="shared" si="14"/>
        <v>14121.571428571431</v>
      </c>
      <c r="AA20" s="24">
        <f t="shared" si="15"/>
        <v>0.98161538966858131</v>
      </c>
      <c r="AB20" s="1"/>
    </row>
    <row r="21" spans="2:28" ht="18" x14ac:dyDescent="0.25">
      <c r="B21" s="3">
        <v>21</v>
      </c>
      <c r="C21" s="3">
        <f>C22+144</f>
        <v>481146</v>
      </c>
      <c r="D21" s="3">
        <f>D22+102</f>
        <v>638915</v>
      </c>
      <c r="E21" s="3">
        <f>E22+18</f>
        <v>418104</v>
      </c>
      <c r="F21" s="8">
        <f t="shared" si="16"/>
        <v>1538165</v>
      </c>
      <c r="G21" s="22">
        <f t="shared" si="0"/>
        <v>1537956</v>
      </c>
      <c r="H21" s="7">
        <f t="shared" si="1"/>
        <v>1537981.5</v>
      </c>
      <c r="I21" s="3">
        <f>I22+52</f>
        <v>290132</v>
      </c>
      <c r="J21" s="6">
        <f t="shared" si="2"/>
        <v>144</v>
      </c>
      <c r="K21" s="6">
        <f t="shared" si="2"/>
        <v>102</v>
      </c>
      <c r="L21" s="6">
        <f t="shared" si="2"/>
        <v>18</v>
      </c>
      <c r="M21" s="6">
        <f t="shared" si="3"/>
        <v>52</v>
      </c>
      <c r="N21" s="5">
        <f t="shared" si="4"/>
        <v>153.21428571428572</v>
      </c>
      <c r="O21" s="3">
        <f t="shared" si="5"/>
        <v>18</v>
      </c>
      <c r="P21" s="5">
        <f t="shared" si="6"/>
        <v>135.21428571428572</v>
      </c>
      <c r="Q21" s="5">
        <f t="shared" si="7"/>
        <v>25.5</v>
      </c>
      <c r="R21" s="7">
        <f t="shared" si="8"/>
        <v>928.57142857142856</v>
      </c>
      <c r="S21" s="6">
        <f t="shared" si="9"/>
        <v>264</v>
      </c>
      <c r="T21" s="7">
        <f t="shared" si="10"/>
        <v>664.57142857142856</v>
      </c>
      <c r="U21" s="7">
        <f t="shared" si="11"/>
        <v>3217.5000000000009</v>
      </c>
      <c r="V21" s="7">
        <f t="shared" si="11"/>
        <v>881</v>
      </c>
      <c r="W21" s="7">
        <f t="shared" si="12"/>
        <v>2336.5000000000009</v>
      </c>
      <c r="X21" s="7">
        <f t="shared" si="13"/>
        <v>19500.000000000004</v>
      </c>
      <c r="Y21" s="7">
        <f t="shared" si="13"/>
        <v>6055</v>
      </c>
      <c r="Z21" s="7">
        <f t="shared" si="14"/>
        <v>13445.000000000004</v>
      </c>
      <c r="AA21" s="24">
        <f t="shared" si="15"/>
        <v>0.98114827304625951</v>
      </c>
      <c r="AB21" s="1"/>
    </row>
    <row r="22" spans="2:28" ht="18" x14ac:dyDescent="0.25">
      <c r="B22" s="3">
        <v>20</v>
      </c>
      <c r="C22" s="3">
        <f>C23+136</f>
        <v>481002</v>
      </c>
      <c r="D22" s="3">
        <f>D23+98</f>
        <v>638813</v>
      </c>
      <c r="E22" s="3">
        <f>E23+34</f>
        <v>418086</v>
      </c>
      <c r="F22" s="8">
        <f t="shared" si="16"/>
        <v>1537901</v>
      </c>
      <c r="G22" s="22">
        <f t="shared" si="0"/>
        <v>1537688.8333333333</v>
      </c>
      <c r="H22" s="7">
        <f t="shared" si="1"/>
        <v>1537713.3333333333</v>
      </c>
      <c r="I22" s="3">
        <f>I23+48</f>
        <v>290080</v>
      </c>
      <c r="J22" s="6">
        <f t="shared" si="2"/>
        <v>136</v>
      </c>
      <c r="K22" s="6">
        <f t="shared" si="2"/>
        <v>98</v>
      </c>
      <c r="L22" s="6">
        <f t="shared" si="2"/>
        <v>34</v>
      </c>
      <c r="M22" s="6">
        <f t="shared" si="3"/>
        <v>48</v>
      </c>
      <c r="N22" s="5">
        <f t="shared" si="4"/>
        <v>153.21428571428572</v>
      </c>
      <c r="O22" s="3">
        <f t="shared" si="5"/>
        <v>34</v>
      </c>
      <c r="P22" s="5">
        <f t="shared" si="6"/>
        <v>119.21428571428572</v>
      </c>
      <c r="Q22" s="5">
        <v>11</v>
      </c>
      <c r="R22" s="7">
        <f t="shared" si="8"/>
        <v>928.57142857142856</v>
      </c>
      <c r="S22" s="6">
        <f t="shared" si="9"/>
        <v>268</v>
      </c>
      <c r="T22" s="7">
        <f t="shared" si="10"/>
        <v>660.57142857142856</v>
      </c>
      <c r="U22" s="7">
        <f t="shared" si="11"/>
        <v>3064.2857142857151</v>
      </c>
      <c r="V22" s="7">
        <f t="shared" si="11"/>
        <v>863</v>
      </c>
      <c r="W22" s="7">
        <f t="shared" si="12"/>
        <v>2201.2857142857151</v>
      </c>
      <c r="X22" s="7">
        <f t="shared" si="13"/>
        <v>18571.428571428576</v>
      </c>
      <c r="Y22" s="7">
        <f t="shared" si="13"/>
        <v>5791</v>
      </c>
      <c r="Z22" s="7">
        <f t="shared" si="14"/>
        <v>12780.428571428576</v>
      </c>
      <c r="AA22" s="24">
        <f t="shared" si="15"/>
        <v>0.98433664324730374</v>
      </c>
      <c r="AB22" s="1"/>
    </row>
    <row r="23" spans="2:28" ht="18" x14ac:dyDescent="0.25">
      <c r="B23" s="3">
        <v>19</v>
      </c>
      <c r="C23" s="3">
        <f>C24+153</f>
        <v>480866</v>
      </c>
      <c r="D23" s="3">
        <f t="shared" ref="D23:D25" si="19">D24+97</f>
        <v>638715</v>
      </c>
      <c r="E23" s="3">
        <f t="shared" si="18"/>
        <v>418052</v>
      </c>
      <c r="F23" s="9">
        <f>C23+D23+E23</f>
        <v>1537633</v>
      </c>
      <c r="G23" s="22">
        <f t="shared" si="0"/>
        <v>1537420.0416666667</v>
      </c>
      <c r="H23" s="7">
        <f t="shared" si="1"/>
        <v>1537444.2916666667</v>
      </c>
      <c r="I23" s="3">
        <f t="shared" si="17"/>
        <v>290032</v>
      </c>
      <c r="J23" s="6">
        <f t="shared" si="2"/>
        <v>153</v>
      </c>
      <c r="K23" s="6">
        <f t="shared" si="2"/>
        <v>97</v>
      </c>
      <c r="L23" s="6">
        <f t="shared" si="2"/>
        <v>19</v>
      </c>
      <c r="M23" s="6">
        <f t="shared" si="3"/>
        <v>53</v>
      </c>
      <c r="N23" s="5">
        <f t="shared" si="4"/>
        <v>153.21428571428572</v>
      </c>
      <c r="O23" s="3">
        <f t="shared" si="5"/>
        <v>19</v>
      </c>
      <c r="P23" s="5">
        <f t="shared" si="6"/>
        <v>134.21428571428572</v>
      </c>
      <c r="Q23" s="5">
        <f t="shared" si="7"/>
        <v>24.25</v>
      </c>
      <c r="R23" s="7">
        <f t="shared" si="8"/>
        <v>928.57142857142856</v>
      </c>
      <c r="S23" s="6">
        <f t="shared" si="9"/>
        <v>269</v>
      </c>
      <c r="T23" s="7">
        <f t="shared" si="10"/>
        <v>659.57142857142856</v>
      </c>
      <c r="U23" s="7">
        <f t="shared" si="11"/>
        <v>2911.0714285714294</v>
      </c>
      <c r="V23" s="7">
        <f t="shared" si="11"/>
        <v>829</v>
      </c>
      <c r="W23" s="7">
        <f t="shared" si="12"/>
        <v>2082.0714285714294</v>
      </c>
      <c r="X23" s="7">
        <f t="shared" si="13"/>
        <v>17642.857142857149</v>
      </c>
      <c r="Y23" s="7">
        <f t="shared" si="13"/>
        <v>5523</v>
      </c>
      <c r="Z23" s="7">
        <f t="shared" si="14"/>
        <v>12119.857142857149</v>
      </c>
      <c r="AA23" s="24">
        <f t="shared" si="15"/>
        <v>0.98113779302255322</v>
      </c>
      <c r="AB23" s="1"/>
    </row>
    <row r="24" spans="2:28" ht="18" x14ac:dyDescent="0.25">
      <c r="B24" s="3">
        <v>18</v>
      </c>
      <c r="C24" s="3">
        <f>C25+131</f>
        <v>480713</v>
      </c>
      <c r="D24" s="3">
        <f>D25+99</f>
        <v>638618</v>
      </c>
      <c r="E24" s="3">
        <f>E25+21</f>
        <v>418033</v>
      </c>
      <c r="F24" s="8">
        <f t="shared" si="16"/>
        <v>1537364</v>
      </c>
      <c r="G24" s="22">
        <f t="shared" si="0"/>
        <v>1537165.2916666667</v>
      </c>
      <c r="H24" s="7">
        <f t="shared" si="1"/>
        <v>1537190.0416666667</v>
      </c>
      <c r="I24" s="3">
        <f>I25+47</f>
        <v>289979</v>
      </c>
      <c r="J24" s="6">
        <f t="shared" si="2"/>
        <v>131</v>
      </c>
      <c r="K24" s="6">
        <f t="shared" si="2"/>
        <v>99</v>
      </c>
      <c r="L24" s="6">
        <f t="shared" si="2"/>
        <v>21</v>
      </c>
      <c r="M24" s="6">
        <f t="shared" si="3"/>
        <v>47</v>
      </c>
      <c r="N24" s="5">
        <f t="shared" si="4"/>
        <v>153.21428571428572</v>
      </c>
      <c r="O24" s="3">
        <f t="shared" si="5"/>
        <v>21</v>
      </c>
      <c r="P24" s="5">
        <f t="shared" si="6"/>
        <v>132.21428571428572</v>
      </c>
      <c r="Q24" s="5">
        <v>10</v>
      </c>
      <c r="R24" s="7">
        <f t="shared" si="8"/>
        <v>928.57142857142856</v>
      </c>
      <c r="S24" s="6">
        <f t="shared" si="9"/>
        <v>251</v>
      </c>
      <c r="T24" s="7">
        <f t="shared" si="10"/>
        <v>677.57142857142856</v>
      </c>
      <c r="U24" s="7">
        <f t="shared" si="11"/>
        <v>2757.8571428571436</v>
      </c>
      <c r="V24" s="7">
        <f t="shared" si="11"/>
        <v>810</v>
      </c>
      <c r="W24" s="7">
        <f t="shared" si="12"/>
        <v>1947.8571428571436</v>
      </c>
      <c r="X24" s="7">
        <f t="shared" si="13"/>
        <v>16714.285714285721</v>
      </c>
      <c r="Y24" s="7">
        <f t="shared" si="13"/>
        <v>5254</v>
      </c>
      <c r="Z24" s="7">
        <f t="shared" si="14"/>
        <v>11460.285714285721</v>
      </c>
      <c r="AA24" s="24">
        <f t="shared" si="15"/>
        <v>0.98291649059340125</v>
      </c>
      <c r="AB24" s="1"/>
    </row>
    <row r="25" spans="2:28" ht="18" x14ac:dyDescent="0.25">
      <c r="B25" s="3">
        <v>17</v>
      </c>
      <c r="C25" s="3">
        <f>C26+139</f>
        <v>480582</v>
      </c>
      <c r="D25" s="3">
        <f t="shared" si="19"/>
        <v>638519</v>
      </c>
      <c r="E25" s="3">
        <f>E26+0</f>
        <v>418012</v>
      </c>
      <c r="F25" s="8">
        <f t="shared" si="16"/>
        <v>1537113</v>
      </c>
      <c r="G25" s="22">
        <f t="shared" si="0"/>
        <v>1536926.1666666667</v>
      </c>
      <c r="H25" s="7">
        <f t="shared" si="1"/>
        <v>1536950.4166666667</v>
      </c>
      <c r="I25" s="3">
        <f>I26+50</f>
        <v>289932</v>
      </c>
      <c r="J25" s="6">
        <f t="shared" si="2"/>
        <v>139</v>
      </c>
      <c r="K25" s="6">
        <f t="shared" si="2"/>
        <v>97</v>
      </c>
      <c r="L25" s="6">
        <f t="shared" si="2"/>
        <v>0</v>
      </c>
      <c r="M25" s="7">
        <f t="shared" si="3"/>
        <v>50</v>
      </c>
      <c r="N25" s="5">
        <f t="shared" si="4"/>
        <v>153.21428571428572</v>
      </c>
      <c r="O25" s="3">
        <f t="shared" si="5"/>
        <v>0</v>
      </c>
      <c r="P25" s="5">
        <f t="shared" si="6"/>
        <v>153.21428571428572</v>
      </c>
      <c r="Q25" s="5">
        <v>14</v>
      </c>
      <c r="R25" s="7">
        <f t="shared" si="8"/>
        <v>928.57142857142856</v>
      </c>
      <c r="S25" s="6">
        <f t="shared" si="9"/>
        <v>236</v>
      </c>
      <c r="T25" s="7">
        <f t="shared" si="10"/>
        <v>692.57142857142856</v>
      </c>
      <c r="U25" s="7">
        <f t="shared" si="11"/>
        <v>2604.6428571428578</v>
      </c>
      <c r="V25" s="6">
        <f t="shared" si="11"/>
        <v>789</v>
      </c>
      <c r="W25" s="7">
        <f t="shared" si="12"/>
        <v>1815.6428571428578</v>
      </c>
      <c r="X25" s="7">
        <f t="shared" si="13"/>
        <v>15785.714285714292</v>
      </c>
      <c r="Y25" s="7">
        <f t="shared" si="13"/>
        <v>5003</v>
      </c>
      <c r="Z25" s="7">
        <f t="shared" si="14"/>
        <v>10782.714285714292</v>
      </c>
      <c r="AA25" s="24">
        <f t="shared" si="15"/>
        <v>0.97828509192386581</v>
      </c>
      <c r="AB25" s="1"/>
    </row>
    <row r="26" spans="2:28" ht="18" x14ac:dyDescent="0.25">
      <c r="B26" s="3">
        <v>16</v>
      </c>
      <c r="C26" s="3">
        <f>C27+145</f>
        <v>480443</v>
      </c>
      <c r="D26" s="3">
        <f>D27+101</f>
        <v>638422</v>
      </c>
      <c r="E26" s="3">
        <f>E27+17</f>
        <v>418012</v>
      </c>
      <c r="F26" s="8">
        <f t="shared" si="16"/>
        <v>1536877</v>
      </c>
      <c r="G26" s="22">
        <f t="shared" si="0"/>
        <v>1536668.7916666667</v>
      </c>
      <c r="H26" s="7">
        <f t="shared" si="1"/>
        <v>1536694.0416666667</v>
      </c>
      <c r="I26" s="3">
        <f>I27+41</f>
        <v>289882</v>
      </c>
      <c r="J26" s="6">
        <f t="shared" si="2"/>
        <v>145</v>
      </c>
      <c r="K26" s="6">
        <f t="shared" si="2"/>
        <v>101</v>
      </c>
      <c r="L26" s="6">
        <f t="shared" si="2"/>
        <v>17</v>
      </c>
      <c r="M26" s="7">
        <f t="shared" si="3"/>
        <v>41</v>
      </c>
      <c r="N26" s="5">
        <f t="shared" si="4"/>
        <v>153.21428571428572</v>
      </c>
      <c r="O26" s="3">
        <f t="shared" si="5"/>
        <v>17</v>
      </c>
      <c r="P26" s="5">
        <f t="shared" si="6"/>
        <v>136.21428571428572</v>
      </c>
      <c r="Q26" s="5">
        <f t="shared" si="7"/>
        <v>25.25</v>
      </c>
      <c r="R26" s="7">
        <f t="shared" si="8"/>
        <v>928.57142857142856</v>
      </c>
      <c r="S26" s="6">
        <f t="shared" si="9"/>
        <v>263</v>
      </c>
      <c r="T26" s="7">
        <f t="shared" si="10"/>
        <v>665.57142857142856</v>
      </c>
      <c r="U26" s="7">
        <f t="shared" si="11"/>
        <v>2451.428571428572</v>
      </c>
      <c r="V26" s="6">
        <f t="shared" si="11"/>
        <v>789</v>
      </c>
      <c r="W26" s="7">
        <f t="shared" si="12"/>
        <v>1662.428571428572</v>
      </c>
      <c r="X26" s="7">
        <f t="shared" si="13"/>
        <v>14857.142857142862</v>
      </c>
      <c r="Y26" s="7">
        <f t="shared" si="13"/>
        <v>4767</v>
      </c>
      <c r="Z26" s="7">
        <f t="shared" si="14"/>
        <v>10090.142857142862</v>
      </c>
      <c r="AA26" s="24">
        <f t="shared" si="15"/>
        <v>0.98806569514642806</v>
      </c>
      <c r="AB26" s="1"/>
    </row>
    <row r="27" spans="2:28" ht="18" x14ac:dyDescent="0.25">
      <c r="B27" s="3">
        <v>15</v>
      </c>
      <c r="C27" s="3">
        <f>C28+142</f>
        <v>480298</v>
      </c>
      <c r="D27" s="3">
        <f>D28+103</f>
        <v>638321</v>
      </c>
      <c r="E27" s="3">
        <f>E28+15</f>
        <v>417995</v>
      </c>
      <c r="F27" s="8">
        <f t="shared" si="16"/>
        <v>1536614</v>
      </c>
      <c r="G27" s="22">
        <f t="shared" si="0"/>
        <v>1536408.1666666667</v>
      </c>
      <c r="H27" s="7">
        <f t="shared" si="1"/>
        <v>1536433.9166666667</v>
      </c>
      <c r="I27" s="3">
        <f>I28+44</f>
        <v>289841</v>
      </c>
      <c r="J27" s="6">
        <f t="shared" si="2"/>
        <v>142</v>
      </c>
      <c r="K27" s="6">
        <f t="shared" si="2"/>
        <v>103</v>
      </c>
      <c r="L27" s="6">
        <f t="shared" si="2"/>
        <v>15</v>
      </c>
      <c r="M27" s="7">
        <f t="shared" si="3"/>
        <v>44</v>
      </c>
      <c r="N27" s="5">
        <f t="shared" si="4"/>
        <v>153.21428571428572</v>
      </c>
      <c r="O27" s="3">
        <f t="shared" si="5"/>
        <v>15</v>
      </c>
      <c r="P27" s="5">
        <f t="shared" si="6"/>
        <v>138.21428571428572</v>
      </c>
      <c r="Q27" s="5">
        <f t="shared" si="7"/>
        <v>25.75</v>
      </c>
      <c r="R27" s="7">
        <f t="shared" si="8"/>
        <v>928.57142857142856</v>
      </c>
      <c r="S27" s="6">
        <f t="shared" si="9"/>
        <v>260</v>
      </c>
      <c r="T27" s="7">
        <f t="shared" si="10"/>
        <v>668.57142857142856</v>
      </c>
      <c r="U27" s="7">
        <f t="shared" si="11"/>
        <v>2298.2142857142862</v>
      </c>
      <c r="V27" s="6">
        <f t="shared" si="11"/>
        <v>772</v>
      </c>
      <c r="W27" s="7">
        <f t="shared" si="12"/>
        <v>1526.2142857142862</v>
      </c>
      <c r="X27" s="7">
        <f t="shared" si="13"/>
        <v>13928.571428571433</v>
      </c>
      <c r="Y27" s="7">
        <f t="shared" si="13"/>
        <v>4504</v>
      </c>
      <c r="Z27" s="7">
        <f t="shared" si="14"/>
        <v>9424.571428571433</v>
      </c>
      <c r="AA27" s="24">
        <f t="shared" si="15"/>
        <v>0.98598088545809304</v>
      </c>
      <c r="AB27" s="1"/>
    </row>
    <row r="28" spans="2:28" ht="18" x14ac:dyDescent="0.25">
      <c r="B28" s="3">
        <v>14</v>
      </c>
      <c r="C28" s="3">
        <f>C29+137</f>
        <v>480156</v>
      </c>
      <c r="D28" s="3">
        <f>D29+97</f>
        <v>638218</v>
      </c>
      <c r="E28" s="3">
        <f>E29+12</f>
        <v>417980</v>
      </c>
      <c r="F28" s="8">
        <f t="shared" si="16"/>
        <v>1536354</v>
      </c>
      <c r="G28" s="22">
        <f t="shared" si="0"/>
        <v>1536159.25</v>
      </c>
      <c r="H28" s="7">
        <f t="shared" si="1"/>
        <v>1536183.5</v>
      </c>
      <c r="I28" s="3">
        <f>I29+53</f>
        <v>289797</v>
      </c>
      <c r="J28" s="6">
        <f t="shared" si="2"/>
        <v>137</v>
      </c>
      <c r="K28" s="6">
        <f t="shared" si="2"/>
        <v>97</v>
      </c>
      <c r="L28" s="6">
        <f t="shared" si="2"/>
        <v>12</v>
      </c>
      <c r="M28" s="7">
        <f t="shared" si="3"/>
        <v>53</v>
      </c>
      <c r="N28" s="5">
        <f t="shared" si="4"/>
        <v>153.21428571428572</v>
      </c>
      <c r="O28" s="3">
        <f t="shared" si="5"/>
        <v>12</v>
      </c>
      <c r="P28" s="5">
        <f t="shared" si="6"/>
        <v>141.21428571428572</v>
      </c>
      <c r="Q28" s="5">
        <f t="shared" si="7"/>
        <v>24.25</v>
      </c>
      <c r="R28" s="7">
        <f t="shared" si="8"/>
        <v>928.57142857142856</v>
      </c>
      <c r="S28" s="6">
        <f t="shared" si="9"/>
        <v>246</v>
      </c>
      <c r="T28" s="7">
        <f t="shared" si="10"/>
        <v>682.57142857142856</v>
      </c>
      <c r="U28" s="7">
        <f t="shared" si="11"/>
        <v>2145.0000000000005</v>
      </c>
      <c r="V28" s="6">
        <f t="shared" si="11"/>
        <v>757</v>
      </c>
      <c r="W28" s="7">
        <f t="shared" si="12"/>
        <v>1388.0000000000005</v>
      </c>
      <c r="X28" s="7">
        <f t="shared" si="13"/>
        <v>13000.000000000004</v>
      </c>
      <c r="Y28" s="7">
        <f t="shared" si="13"/>
        <v>4244</v>
      </c>
      <c r="Z28" s="7">
        <f t="shared" si="14"/>
        <v>8756.0000000000036</v>
      </c>
      <c r="AA28" s="24">
        <f t="shared" si="15"/>
        <v>0.97756919539258058</v>
      </c>
      <c r="AB28" s="1"/>
    </row>
    <row r="29" spans="2:28" ht="17.45" x14ac:dyDescent="0.3">
      <c r="B29" s="3">
        <v>13</v>
      </c>
      <c r="C29" s="3">
        <v>480019</v>
      </c>
      <c r="D29" s="3">
        <v>638121</v>
      </c>
      <c r="E29" s="3">
        <v>417968</v>
      </c>
      <c r="F29" s="8">
        <f t="shared" si="16"/>
        <v>1536108</v>
      </c>
      <c r="G29" s="22">
        <f t="shared" si="0"/>
        <v>1535872.0833333333</v>
      </c>
      <c r="H29" s="7">
        <f t="shared" si="1"/>
        <v>1535901.5833333333</v>
      </c>
      <c r="I29" s="3">
        <v>289744</v>
      </c>
      <c r="J29" s="6">
        <f t="shared" si="2"/>
        <v>165</v>
      </c>
      <c r="K29" s="6">
        <f t="shared" si="2"/>
        <v>118</v>
      </c>
      <c r="L29" s="6">
        <f t="shared" si="2"/>
        <v>15</v>
      </c>
      <c r="M29" s="6">
        <f t="shared" si="3"/>
        <v>51</v>
      </c>
      <c r="N29" s="5">
        <f t="shared" si="4"/>
        <v>153.21428571428572</v>
      </c>
      <c r="O29" s="3">
        <f t="shared" si="5"/>
        <v>15</v>
      </c>
      <c r="P29" s="5">
        <f t="shared" si="6"/>
        <v>138.21428571428572</v>
      </c>
      <c r="Q29" s="5">
        <f t="shared" si="7"/>
        <v>29.5</v>
      </c>
      <c r="R29" s="7">
        <f t="shared" si="8"/>
        <v>928.57142857142856</v>
      </c>
      <c r="S29" s="6">
        <f t="shared" si="9"/>
        <v>298</v>
      </c>
      <c r="T29" s="7">
        <f t="shared" si="10"/>
        <v>630.57142857142856</v>
      </c>
      <c r="U29" s="7">
        <f t="shared" si="11"/>
        <v>1991.7857142857149</v>
      </c>
      <c r="V29" s="6">
        <f t="shared" si="11"/>
        <v>745</v>
      </c>
      <c r="W29" s="7">
        <f t="shared" si="12"/>
        <v>1246.7857142857149</v>
      </c>
      <c r="X29" s="7">
        <f t="shared" si="13"/>
        <v>12071.428571428574</v>
      </c>
      <c r="Y29" s="7">
        <f t="shared" si="13"/>
        <v>3998</v>
      </c>
      <c r="Z29" s="7">
        <f t="shared" si="14"/>
        <v>8073.4285714285743</v>
      </c>
      <c r="AA29" s="24">
        <f t="shared" si="15"/>
        <v>0.98566943051198919</v>
      </c>
      <c r="AB29" s="1"/>
    </row>
    <row r="30" spans="2:28" ht="17.45" x14ac:dyDescent="0.3">
      <c r="B30" s="3">
        <v>12</v>
      </c>
      <c r="C30" s="5">
        <f t="shared" ref="C30" si="20">C31+158</f>
        <v>479854</v>
      </c>
      <c r="D30" s="5">
        <f>D31+92</f>
        <v>638003</v>
      </c>
      <c r="E30" s="5">
        <f>E31+0</f>
        <v>417953</v>
      </c>
      <c r="F30" s="8">
        <f t="shared" si="16"/>
        <v>1535810</v>
      </c>
      <c r="G30" s="22">
        <f t="shared" si="0"/>
        <v>1535612.0833333333</v>
      </c>
      <c r="H30" s="7">
        <f t="shared" si="1"/>
        <v>1535635.0833333333</v>
      </c>
      <c r="I30" s="5">
        <f>I31+49</f>
        <v>289693</v>
      </c>
      <c r="J30" s="6">
        <f t="shared" si="2"/>
        <v>158</v>
      </c>
      <c r="K30" s="6">
        <f t="shared" si="2"/>
        <v>92</v>
      </c>
      <c r="L30" s="6">
        <f t="shared" si="2"/>
        <v>0</v>
      </c>
      <c r="M30" s="6">
        <f t="shared" si="3"/>
        <v>49</v>
      </c>
      <c r="N30" s="5">
        <f t="shared" si="4"/>
        <v>153.21428571428572</v>
      </c>
      <c r="O30" s="3">
        <f t="shared" si="5"/>
        <v>0</v>
      </c>
      <c r="P30" s="5">
        <f t="shared" si="6"/>
        <v>153.21428571428572</v>
      </c>
      <c r="Q30" s="5">
        <f t="shared" si="7"/>
        <v>23</v>
      </c>
      <c r="R30" s="7">
        <f t="shared" si="8"/>
        <v>928.57142857142856</v>
      </c>
      <c r="S30" s="6">
        <f t="shared" si="9"/>
        <v>250</v>
      </c>
      <c r="T30" s="7">
        <f t="shared" si="10"/>
        <v>678.57142857142856</v>
      </c>
      <c r="U30" s="7">
        <f t="shared" si="11"/>
        <v>1838.5714285714291</v>
      </c>
      <c r="V30" s="6">
        <f t="shared" si="11"/>
        <v>730</v>
      </c>
      <c r="W30" s="7">
        <f t="shared" si="12"/>
        <v>1108.5714285714291</v>
      </c>
      <c r="X30" s="7">
        <f t="shared" si="13"/>
        <v>11142.857142857145</v>
      </c>
      <c r="Y30" s="7">
        <f t="shared" si="13"/>
        <v>3700</v>
      </c>
      <c r="Z30" s="7">
        <f t="shared" si="14"/>
        <v>7442.8571428571449</v>
      </c>
      <c r="AA30" s="24">
        <f t="shared" si="15"/>
        <v>0.98132827969237602</v>
      </c>
      <c r="AB30" s="1"/>
    </row>
    <row r="31" spans="2:28" ht="17.45" x14ac:dyDescent="0.3">
      <c r="B31" s="3">
        <v>11</v>
      </c>
      <c r="C31" s="5">
        <f>C32+159</f>
        <v>479696</v>
      </c>
      <c r="D31" s="5">
        <f>D32+87</f>
        <v>637911</v>
      </c>
      <c r="E31" s="5">
        <f>E32+0</f>
        <v>417953</v>
      </c>
      <c r="F31" s="8">
        <f t="shared" si="16"/>
        <v>1535560</v>
      </c>
      <c r="G31" s="22">
        <f t="shared" si="0"/>
        <v>1535365.25</v>
      </c>
      <c r="H31" s="7">
        <f t="shared" si="1"/>
        <v>1535387</v>
      </c>
      <c r="I31" s="5">
        <f>I32+44</f>
        <v>289644</v>
      </c>
      <c r="J31" s="6">
        <f t="shared" si="2"/>
        <v>159</v>
      </c>
      <c r="K31" s="6">
        <f t="shared" si="2"/>
        <v>87</v>
      </c>
      <c r="L31" s="6">
        <f t="shared" si="2"/>
        <v>0</v>
      </c>
      <c r="M31" s="6">
        <f t="shared" si="3"/>
        <v>44</v>
      </c>
      <c r="N31" s="5">
        <f t="shared" si="4"/>
        <v>153.21428571428572</v>
      </c>
      <c r="O31" s="3">
        <f t="shared" si="5"/>
        <v>0</v>
      </c>
      <c r="P31" s="5">
        <f t="shared" si="6"/>
        <v>153.21428571428572</v>
      </c>
      <c r="Q31" s="5">
        <f t="shared" si="7"/>
        <v>21.75</v>
      </c>
      <c r="R31" s="7">
        <f t="shared" si="8"/>
        <v>928.57142857142856</v>
      </c>
      <c r="S31" s="6">
        <f t="shared" si="9"/>
        <v>246</v>
      </c>
      <c r="T31" s="7">
        <f t="shared" si="10"/>
        <v>682.57142857142856</v>
      </c>
      <c r="U31" s="7">
        <f t="shared" si="11"/>
        <v>1685.3571428571433</v>
      </c>
      <c r="V31" s="6">
        <f t="shared" si="11"/>
        <v>730</v>
      </c>
      <c r="W31" s="7">
        <f t="shared" si="12"/>
        <v>955.35714285714334</v>
      </c>
      <c r="X31" s="7">
        <f t="shared" si="13"/>
        <v>10214.285714285716</v>
      </c>
      <c r="Y31" s="7">
        <f t="shared" si="13"/>
        <v>3450</v>
      </c>
      <c r="Z31" s="7">
        <f t="shared" si="14"/>
        <v>6764.2857142857156</v>
      </c>
      <c r="AA31" s="24">
        <f t="shared" si="15"/>
        <v>0.98437807378444253</v>
      </c>
      <c r="AB31" s="1"/>
    </row>
    <row r="32" spans="2:28" ht="17.45" x14ac:dyDescent="0.3">
      <c r="B32" s="3">
        <v>10</v>
      </c>
      <c r="C32" s="5">
        <f>C33+149</f>
        <v>479537</v>
      </c>
      <c r="D32" s="5">
        <f>D33+90</f>
        <v>637824</v>
      </c>
      <c r="E32" s="5">
        <f>E33+37</f>
        <v>417953</v>
      </c>
      <c r="F32" s="8">
        <f t="shared" si="16"/>
        <v>1535314</v>
      </c>
      <c r="G32" s="22">
        <f t="shared" si="0"/>
        <v>1535095.5</v>
      </c>
      <c r="H32" s="7">
        <f t="shared" si="1"/>
        <v>1535118</v>
      </c>
      <c r="I32" s="5">
        <f t="shared" ref="I32:I39" si="21">I33+48</f>
        <v>289600</v>
      </c>
      <c r="J32" s="6">
        <f t="shared" si="2"/>
        <v>149</v>
      </c>
      <c r="K32" s="6">
        <f t="shared" si="2"/>
        <v>90</v>
      </c>
      <c r="L32" s="6">
        <f t="shared" si="2"/>
        <v>37</v>
      </c>
      <c r="M32" s="6">
        <f t="shared" si="3"/>
        <v>48</v>
      </c>
      <c r="N32" s="5">
        <f t="shared" si="4"/>
        <v>153.21428571428572</v>
      </c>
      <c r="O32" s="3">
        <f t="shared" si="5"/>
        <v>37</v>
      </c>
      <c r="P32" s="5">
        <f t="shared" si="6"/>
        <v>116.21428571428572</v>
      </c>
      <c r="Q32" s="5">
        <f t="shared" si="7"/>
        <v>22.5</v>
      </c>
      <c r="R32" s="7">
        <f t="shared" si="8"/>
        <v>928.57142857142856</v>
      </c>
      <c r="S32" s="6">
        <f t="shared" si="9"/>
        <v>276</v>
      </c>
      <c r="T32" s="7">
        <f t="shared" si="10"/>
        <v>652.57142857142856</v>
      </c>
      <c r="U32" s="7">
        <f t="shared" si="11"/>
        <v>1532.1428571428576</v>
      </c>
      <c r="V32" s="6">
        <f t="shared" si="11"/>
        <v>730</v>
      </c>
      <c r="W32" s="7">
        <f t="shared" si="12"/>
        <v>802.14285714285757</v>
      </c>
      <c r="X32" s="7">
        <f t="shared" si="13"/>
        <v>9285.7142857142862</v>
      </c>
      <c r="Y32" s="7">
        <f t="shared" si="13"/>
        <v>3204</v>
      </c>
      <c r="Z32" s="7">
        <f t="shared" si="14"/>
        <v>6081.7142857142862</v>
      </c>
      <c r="AA32" s="24">
        <f t="shared" si="15"/>
        <v>0.98521175481967449</v>
      </c>
      <c r="AB32" s="1"/>
    </row>
    <row r="33" spans="2:28" ht="17.45" x14ac:dyDescent="0.3">
      <c r="B33" s="3">
        <v>9</v>
      </c>
      <c r="C33" s="5">
        <f>C34+153</f>
        <v>479388</v>
      </c>
      <c r="D33" s="5">
        <f t="shared" ref="D33" si="22">D34+91</f>
        <v>637734</v>
      </c>
      <c r="E33" s="5">
        <f>E34+44</f>
        <v>417916</v>
      </c>
      <c r="F33" s="8">
        <f>C33+D33+E33</f>
        <v>1535038</v>
      </c>
      <c r="G33" s="22">
        <f t="shared" si="0"/>
        <v>1534810</v>
      </c>
      <c r="H33" s="7">
        <f t="shared" si="1"/>
        <v>1534832.75</v>
      </c>
      <c r="I33" s="5">
        <f>I34+42</f>
        <v>289552</v>
      </c>
      <c r="J33" s="6">
        <f t="shared" si="2"/>
        <v>153</v>
      </c>
      <c r="K33" s="6">
        <f t="shared" si="2"/>
        <v>91</v>
      </c>
      <c r="L33" s="6">
        <f t="shared" si="2"/>
        <v>44</v>
      </c>
      <c r="M33" s="6">
        <f t="shared" si="3"/>
        <v>42</v>
      </c>
      <c r="N33" s="5">
        <f t="shared" si="4"/>
        <v>153.21428571428572</v>
      </c>
      <c r="O33" s="3">
        <f t="shared" si="5"/>
        <v>44</v>
      </c>
      <c r="P33" s="5">
        <f t="shared" si="6"/>
        <v>109.21428571428572</v>
      </c>
      <c r="Q33" s="5">
        <f t="shared" si="7"/>
        <v>22.75</v>
      </c>
      <c r="R33" s="7">
        <f t="shared" si="8"/>
        <v>928.57142857142856</v>
      </c>
      <c r="S33" s="6">
        <f t="shared" si="9"/>
        <v>288</v>
      </c>
      <c r="T33" s="7">
        <f t="shared" si="10"/>
        <v>640.57142857142856</v>
      </c>
      <c r="U33" s="7">
        <f t="shared" si="11"/>
        <v>1378.9285714285718</v>
      </c>
      <c r="V33" s="6">
        <f t="shared" si="11"/>
        <v>693</v>
      </c>
      <c r="W33" s="7">
        <f t="shared" si="12"/>
        <v>685.92857142857179</v>
      </c>
      <c r="X33" s="7">
        <f t="shared" si="13"/>
        <v>8357.1428571428569</v>
      </c>
      <c r="Y33" s="7">
        <f t="shared" si="13"/>
        <v>2928</v>
      </c>
      <c r="Z33" s="7">
        <f t="shared" si="14"/>
        <v>5429.1428571428569</v>
      </c>
      <c r="AA33" s="24">
        <f t="shared" si="15"/>
        <v>0.98953298106328158</v>
      </c>
      <c r="AB33" s="1"/>
    </row>
    <row r="34" spans="2:28" ht="17.45" x14ac:dyDescent="0.3">
      <c r="B34" s="3">
        <v>8</v>
      </c>
      <c r="C34" s="5">
        <f>C35+139</f>
        <v>479235</v>
      </c>
      <c r="D34" s="5">
        <f>D35+97</f>
        <v>637643</v>
      </c>
      <c r="E34" s="5">
        <f>E35+0</f>
        <v>417872</v>
      </c>
      <c r="F34" s="8">
        <f t="shared" si="16"/>
        <v>1534750</v>
      </c>
      <c r="G34" s="22">
        <f t="shared" si="0"/>
        <v>1534563.1666666667</v>
      </c>
      <c r="H34" s="7">
        <f t="shared" si="1"/>
        <v>1534587.4166666667</v>
      </c>
      <c r="I34" s="5">
        <f>I35+64</f>
        <v>289510</v>
      </c>
      <c r="J34" s="6">
        <f t="shared" si="2"/>
        <v>139</v>
      </c>
      <c r="K34" s="6">
        <f t="shared" si="2"/>
        <v>97</v>
      </c>
      <c r="L34" s="6">
        <f t="shared" si="2"/>
        <v>0</v>
      </c>
      <c r="M34" s="6">
        <f t="shared" si="3"/>
        <v>64</v>
      </c>
      <c r="N34" s="5">
        <f t="shared" si="4"/>
        <v>153.21428571428572</v>
      </c>
      <c r="O34" s="3">
        <f t="shared" si="5"/>
        <v>0</v>
      </c>
      <c r="P34" s="5">
        <f t="shared" si="6"/>
        <v>153.21428571428572</v>
      </c>
      <c r="Q34" s="5">
        <f t="shared" si="7"/>
        <v>24.25</v>
      </c>
      <c r="R34" s="7">
        <f t="shared" si="8"/>
        <v>928.57142857142856</v>
      </c>
      <c r="S34" s="6">
        <f t="shared" si="9"/>
        <v>236</v>
      </c>
      <c r="T34" s="7">
        <f t="shared" si="10"/>
        <v>692.57142857142856</v>
      </c>
      <c r="U34" s="7">
        <f t="shared" si="11"/>
        <v>1225.714285714286</v>
      </c>
      <c r="V34" s="6">
        <f t="shared" si="11"/>
        <v>649</v>
      </c>
      <c r="W34" s="7">
        <f t="shared" si="12"/>
        <v>576.71428571428601</v>
      </c>
      <c r="X34" s="7">
        <f t="shared" si="13"/>
        <v>7428.5714285714284</v>
      </c>
      <c r="Y34" s="7">
        <f t="shared" si="13"/>
        <v>2640</v>
      </c>
      <c r="Z34" s="7">
        <f t="shared" si="14"/>
        <v>4788.5714285714284</v>
      </c>
      <c r="AA34" s="24">
        <f t="shared" si="15"/>
        <v>0.96514032776997327</v>
      </c>
      <c r="AB34" s="1"/>
    </row>
    <row r="35" spans="2:28" ht="18" x14ac:dyDescent="0.25">
      <c r="B35" s="3">
        <v>7</v>
      </c>
      <c r="C35" s="5">
        <f>C36+120</f>
        <v>479096</v>
      </c>
      <c r="D35" s="5">
        <f>D36+92</f>
        <v>637546</v>
      </c>
      <c r="E35" s="5">
        <f>E36+0</f>
        <v>417872</v>
      </c>
      <c r="F35" s="9">
        <f>C35+D35+E35</f>
        <v>1534514</v>
      </c>
      <c r="G35" s="22">
        <f t="shared" si="0"/>
        <v>1534346.1666666667</v>
      </c>
      <c r="H35" s="7">
        <f t="shared" si="1"/>
        <v>1534369.1666666667</v>
      </c>
      <c r="I35" s="5">
        <f>I36+66</f>
        <v>289446</v>
      </c>
      <c r="J35" s="6">
        <f t="shared" si="2"/>
        <v>120</v>
      </c>
      <c r="K35" s="6">
        <f t="shared" si="2"/>
        <v>92</v>
      </c>
      <c r="L35" s="6">
        <f t="shared" si="2"/>
        <v>0</v>
      </c>
      <c r="M35" s="6">
        <f t="shared" si="3"/>
        <v>66</v>
      </c>
      <c r="N35" s="5">
        <f t="shared" si="4"/>
        <v>153.21428571428572</v>
      </c>
      <c r="O35" s="3">
        <f t="shared" si="5"/>
        <v>0</v>
      </c>
      <c r="P35" s="5">
        <f t="shared" si="6"/>
        <v>153.21428571428572</v>
      </c>
      <c r="Q35" s="5">
        <f t="shared" si="7"/>
        <v>23</v>
      </c>
      <c r="R35" s="7">
        <f t="shared" si="8"/>
        <v>928.57142857142856</v>
      </c>
      <c r="S35" s="6">
        <f t="shared" si="9"/>
        <v>212</v>
      </c>
      <c r="T35" s="7">
        <f t="shared" si="10"/>
        <v>716.57142857142856</v>
      </c>
      <c r="U35" s="7">
        <f t="shared" si="11"/>
        <v>1072.5000000000002</v>
      </c>
      <c r="V35" s="6">
        <f t="shared" si="11"/>
        <v>649</v>
      </c>
      <c r="W35" s="7">
        <f t="shared" si="12"/>
        <v>423.50000000000023</v>
      </c>
      <c r="X35" s="7">
        <f t="shared" si="13"/>
        <v>6500</v>
      </c>
      <c r="Y35" s="7">
        <f t="shared" si="13"/>
        <v>2404</v>
      </c>
      <c r="Z35" s="7">
        <f t="shared" si="14"/>
        <v>4096</v>
      </c>
      <c r="AA35" s="24">
        <f t="shared" si="15"/>
        <v>0.95479998011541534</v>
      </c>
      <c r="AB35" s="1"/>
    </row>
    <row r="36" spans="2:28" ht="18" x14ac:dyDescent="0.25">
      <c r="B36" s="3">
        <v>6</v>
      </c>
      <c r="C36" s="5">
        <f>C37+152</f>
        <v>478976</v>
      </c>
      <c r="D36" s="5">
        <f>D37+83</f>
        <v>637454</v>
      </c>
      <c r="E36" s="5">
        <f>E37+35</f>
        <v>417872</v>
      </c>
      <c r="F36" s="8">
        <f t="shared" si="16"/>
        <v>1534302</v>
      </c>
      <c r="G36" s="22">
        <f t="shared" si="0"/>
        <v>1534088.25</v>
      </c>
      <c r="H36" s="7">
        <f t="shared" si="1"/>
        <v>1534109</v>
      </c>
      <c r="I36" s="5">
        <f>I37+31</f>
        <v>289380</v>
      </c>
      <c r="J36" s="6">
        <f t="shared" si="2"/>
        <v>152</v>
      </c>
      <c r="K36" s="6">
        <f t="shared" si="2"/>
        <v>83</v>
      </c>
      <c r="L36" s="6">
        <f t="shared" si="2"/>
        <v>35</v>
      </c>
      <c r="M36" s="6">
        <f t="shared" si="3"/>
        <v>31</v>
      </c>
      <c r="N36" s="5">
        <f t="shared" si="4"/>
        <v>153.21428571428572</v>
      </c>
      <c r="O36" s="3">
        <f t="shared" si="5"/>
        <v>35</v>
      </c>
      <c r="P36" s="5">
        <f t="shared" si="6"/>
        <v>118.21428571428572</v>
      </c>
      <c r="Q36" s="5">
        <f t="shared" si="7"/>
        <v>20.75</v>
      </c>
      <c r="R36" s="7">
        <f t="shared" si="8"/>
        <v>928.57142857142856</v>
      </c>
      <c r="S36" s="6">
        <f t="shared" si="9"/>
        <v>270</v>
      </c>
      <c r="T36" s="7">
        <f t="shared" si="10"/>
        <v>658.57142857142856</v>
      </c>
      <c r="U36" s="7">
        <f t="shared" si="11"/>
        <v>919.28571428571445</v>
      </c>
      <c r="V36" s="6">
        <f t="shared" si="11"/>
        <v>649</v>
      </c>
      <c r="W36" s="7">
        <f t="shared" si="12"/>
        <v>270.28571428571445</v>
      </c>
      <c r="X36" s="7">
        <f t="shared" si="13"/>
        <v>5571.4285714285716</v>
      </c>
      <c r="Y36" s="7">
        <f t="shared" si="13"/>
        <v>2192</v>
      </c>
      <c r="Z36" s="7">
        <f t="shared" si="14"/>
        <v>3379.4285714285716</v>
      </c>
      <c r="AA36" s="24">
        <f t="shared" si="15"/>
        <v>0.99347323772287233</v>
      </c>
      <c r="AB36" s="1"/>
    </row>
    <row r="37" spans="2:28" ht="18" x14ac:dyDescent="0.25">
      <c r="B37" s="3">
        <v>5</v>
      </c>
      <c r="C37" s="5">
        <f>C38+145</f>
        <v>478824</v>
      </c>
      <c r="D37" s="5">
        <f>D38+88</f>
        <v>637371</v>
      </c>
      <c r="E37" s="5">
        <f>E38+161</f>
        <v>417837</v>
      </c>
      <c r="F37" s="8">
        <f t="shared" si="16"/>
        <v>1534032</v>
      </c>
      <c r="G37" s="22">
        <f t="shared" si="0"/>
        <v>1533720.0833333333</v>
      </c>
      <c r="H37" s="7">
        <f t="shared" si="1"/>
        <v>1533742.0833333333</v>
      </c>
      <c r="I37" s="5">
        <f>I38+37</f>
        <v>289349</v>
      </c>
      <c r="J37" s="6">
        <f t="shared" si="2"/>
        <v>145</v>
      </c>
      <c r="K37" s="6">
        <f t="shared" si="2"/>
        <v>88</v>
      </c>
      <c r="L37" s="6">
        <f t="shared" si="2"/>
        <v>161</v>
      </c>
      <c r="M37" s="6">
        <f t="shared" si="3"/>
        <v>37</v>
      </c>
      <c r="N37" s="5">
        <f t="shared" si="4"/>
        <v>153.21428571428572</v>
      </c>
      <c r="O37" s="3">
        <f t="shared" si="5"/>
        <v>161</v>
      </c>
      <c r="P37" s="5">
        <f t="shared" si="6"/>
        <v>-7.7857142857142776</v>
      </c>
      <c r="Q37" s="5">
        <f t="shared" si="7"/>
        <v>22</v>
      </c>
      <c r="R37" s="7">
        <f t="shared" si="8"/>
        <v>928.57142857142856</v>
      </c>
      <c r="S37" s="6">
        <f t="shared" si="9"/>
        <v>394</v>
      </c>
      <c r="T37" s="7">
        <f t="shared" si="10"/>
        <v>534.57142857142856</v>
      </c>
      <c r="U37" s="7">
        <f t="shared" si="11"/>
        <v>766.07142857142867</v>
      </c>
      <c r="V37" s="6">
        <f t="shared" si="11"/>
        <v>614</v>
      </c>
      <c r="W37" s="7">
        <f t="shared" si="12"/>
        <v>152.07142857142867</v>
      </c>
      <c r="X37" s="7">
        <f t="shared" si="13"/>
        <v>4642.8571428571431</v>
      </c>
      <c r="Y37" s="7">
        <f t="shared" si="13"/>
        <v>1922</v>
      </c>
      <c r="Z37" s="7">
        <f t="shared" si="14"/>
        <v>2720.8571428571431</v>
      </c>
      <c r="AA37" s="24">
        <f t="shared" si="15"/>
        <v>0.99561953638449885</v>
      </c>
      <c r="AB37" s="1"/>
    </row>
    <row r="38" spans="2:28" ht="18" x14ac:dyDescent="0.25">
      <c r="B38" s="3">
        <v>4</v>
      </c>
      <c r="C38" s="5">
        <f>C39+137</f>
        <v>478679</v>
      </c>
      <c r="D38" s="5">
        <f>D39+85</f>
        <v>637283</v>
      </c>
      <c r="E38" s="5">
        <f>E39+148</f>
        <v>417676</v>
      </c>
      <c r="F38" s="8">
        <f t="shared" si="16"/>
        <v>1533638</v>
      </c>
      <c r="G38" s="22">
        <f t="shared" si="0"/>
        <v>1533345.0833333333</v>
      </c>
      <c r="H38" s="7">
        <f t="shared" si="1"/>
        <v>1533366.3333333333</v>
      </c>
      <c r="I38" s="5">
        <f>I39+47</f>
        <v>289312</v>
      </c>
      <c r="J38" s="6">
        <f t="shared" si="2"/>
        <v>137</v>
      </c>
      <c r="K38" s="6">
        <f t="shared" si="2"/>
        <v>85</v>
      </c>
      <c r="L38" s="6">
        <f t="shared" si="2"/>
        <v>148</v>
      </c>
      <c r="M38" s="7">
        <f>I38-I39</f>
        <v>47</v>
      </c>
      <c r="N38" s="5">
        <f t="shared" si="4"/>
        <v>153.21428571428572</v>
      </c>
      <c r="O38" s="3">
        <f t="shared" si="5"/>
        <v>148</v>
      </c>
      <c r="P38" s="5">
        <f t="shared" si="6"/>
        <v>5.2142857142857224</v>
      </c>
      <c r="Q38" s="5">
        <f t="shared" si="7"/>
        <v>21.25</v>
      </c>
      <c r="R38" s="7">
        <f t="shared" si="8"/>
        <v>928.57142857142856</v>
      </c>
      <c r="S38" s="6">
        <f t="shared" si="9"/>
        <v>370</v>
      </c>
      <c r="T38" s="7">
        <f t="shared" si="10"/>
        <v>558.57142857142856</v>
      </c>
      <c r="U38" s="7">
        <f t="shared" si="11"/>
        <v>612.85714285714289</v>
      </c>
      <c r="V38" s="6">
        <f t="shared" si="11"/>
        <v>453</v>
      </c>
      <c r="W38" s="7">
        <f t="shared" si="12"/>
        <v>159.85714285714289</v>
      </c>
      <c r="X38" s="7">
        <f t="shared" si="13"/>
        <v>3714.2857142857142</v>
      </c>
      <c r="Y38" s="7">
        <f t="shared" si="13"/>
        <v>1528</v>
      </c>
      <c r="Z38" s="7">
        <f t="shared" si="14"/>
        <v>2186.2857142857142</v>
      </c>
      <c r="AA38" s="24">
        <f t="shared" si="15"/>
        <v>0.99202840989756624</v>
      </c>
      <c r="AB38" s="1"/>
    </row>
    <row r="39" spans="2:28" ht="18" x14ac:dyDescent="0.25">
      <c r="B39" s="3">
        <v>3</v>
      </c>
      <c r="C39" s="5">
        <f>C40+195</f>
        <v>478542</v>
      </c>
      <c r="D39" s="5">
        <f>D40+90</f>
        <v>637198</v>
      </c>
      <c r="E39" s="5">
        <f>E40+104</f>
        <v>417528</v>
      </c>
      <c r="F39" s="8">
        <f t="shared" si="16"/>
        <v>1533268</v>
      </c>
      <c r="G39" s="22">
        <f t="shared" si="0"/>
        <v>1532960.0416666667</v>
      </c>
      <c r="H39" s="7">
        <f t="shared" si="1"/>
        <v>1532982.5416666667</v>
      </c>
      <c r="I39" s="5">
        <f t="shared" si="21"/>
        <v>289265</v>
      </c>
      <c r="J39" s="6">
        <f t="shared" si="2"/>
        <v>195</v>
      </c>
      <c r="K39" s="6">
        <f t="shared" si="2"/>
        <v>90</v>
      </c>
      <c r="L39" s="6">
        <f t="shared" si="2"/>
        <v>104</v>
      </c>
      <c r="M39" s="6">
        <f t="shared" si="3"/>
        <v>48</v>
      </c>
      <c r="N39" s="5">
        <f t="shared" si="4"/>
        <v>153.21428571428572</v>
      </c>
      <c r="O39" s="3">
        <f t="shared" si="5"/>
        <v>104</v>
      </c>
      <c r="P39" s="5">
        <f t="shared" si="6"/>
        <v>49.214285714285722</v>
      </c>
      <c r="Q39" s="5">
        <f t="shared" si="7"/>
        <v>22.5</v>
      </c>
      <c r="R39" s="7">
        <f t="shared" si="8"/>
        <v>928.57142857142856</v>
      </c>
      <c r="S39" s="6">
        <f t="shared" si="9"/>
        <v>389</v>
      </c>
      <c r="T39" s="7">
        <f t="shared" si="10"/>
        <v>539.57142857142856</v>
      </c>
      <c r="U39" s="7">
        <f t="shared" si="11"/>
        <v>459.64285714285717</v>
      </c>
      <c r="V39" s="6">
        <f t="shared" si="11"/>
        <v>305</v>
      </c>
      <c r="W39" s="7">
        <f t="shared" si="12"/>
        <v>154.64285714285717</v>
      </c>
      <c r="X39" s="7">
        <f t="shared" si="13"/>
        <v>2785.7142857142858</v>
      </c>
      <c r="Y39" s="7">
        <f t="shared" si="13"/>
        <v>1158</v>
      </c>
      <c r="Z39" s="7">
        <f t="shared" si="14"/>
        <v>1627.7142857142858</v>
      </c>
      <c r="AA39" s="24">
        <f t="shared" si="15"/>
        <v>0.99247289182574172</v>
      </c>
      <c r="AB39" s="1"/>
    </row>
    <row r="40" spans="2:28" ht="18" x14ac:dyDescent="0.25">
      <c r="B40" s="3">
        <v>2</v>
      </c>
      <c r="C40" s="5">
        <f>C41+198</f>
        <v>478347</v>
      </c>
      <c r="D40" s="5">
        <f>D41+87</f>
        <v>637108</v>
      </c>
      <c r="E40" s="5">
        <f>E41+98</f>
        <v>417424</v>
      </c>
      <c r="F40" s="8">
        <f t="shared" si="16"/>
        <v>1532879</v>
      </c>
      <c r="G40" s="22">
        <f t="shared" si="0"/>
        <v>1532575.7916666667</v>
      </c>
      <c r="H40" s="7">
        <f t="shared" si="1"/>
        <v>1532597.5416666667</v>
      </c>
      <c r="I40" s="5">
        <f>I41+50</f>
        <v>289217</v>
      </c>
      <c r="J40" s="6">
        <f t="shared" si="2"/>
        <v>198</v>
      </c>
      <c r="K40" s="6">
        <f t="shared" si="2"/>
        <v>87</v>
      </c>
      <c r="L40" s="6">
        <f t="shared" si="2"/>
        <v>98</v>
      </c>
      <c r="M40" s="6">
        <f t="shared" si="3"/>
        <v>50</v>
      </c>
      <c r="N40" s="5">
        <f t="shared" si="4"/>
        <v>153.21428571428572</v>
      </c>
      <c r="O40" s="3">
        <f t="shared" si="5"/>
        <v>98</v>
      </c>
      <c r="P40" s="5">
        <f t="shared" si="6"/>
        <v>55.214285714285722</v>
      </c>
      <c r="Q40" s="5">
        <f t="shared" si="7"/>
        <v>21.75</v>
      </c>
      <c r="R40" s="7">
        <f>R41</f>
        <v>928.57142857142856</v>
      </c>
      <c r="S40" s="6">
        <f t="shared" si="9"/>
        <v>383</v>
      </c>
      <c r="T40" s="7">
        <f t="shared" si="10"/>
        <v>545.57142857142856</v>
      </c>
      <c r="U40" s="7">
        <f t="shared" si="11"/>
        <v>306.42857142857144</v>
      </c>
      <c r="V40" s="6">
        <f t="shared" si="11"/>
        <v>201</v>
      </c>
      <c r="W40" s="7">
        <f t="shared" si="12"/>
        <v>105.42857142857144</v>
      </c>
      <c r="X40" s="7">
        <f t="shared" si="13"/>
        <v>1857.1428571428571</v>
      </c>
      <c r="Y40" s="7">
        <f t="shared" si="13"/>
        <v>769</v>
      </c>
      <c r="Z40" s="7">
        <f t="shared" si="14"/>
        <v>1088.1428571428571</v>
      </c>
      <c r="AA40" s="24">
        <f t="shared" si="15"/>
        <v>0.9915859682211271</v>
      </c>
      <c r="AB40" s="1"/>
    </row>
    <row r="41" spans="2:28" ht="18.75" thickBot="1" x14ac:dyDescent="0.3">
      <c r="B41" s="3">
        <v>1</v>
      </c>
      <c r="C41" s="5">
        <f>C42+192</f>
        <v>478149</v>
      </c>
      <c r="D41" s="5">
        <f>D42+91</f>
        <v>637021</v>
      </c>
      <c r="E41" s="5">
        <f>E42+103</f>
        <v>417326</v>
      </c>
      <c r="F41" s="8">
        <f t="shared" si="16"/>
        <v>1532496</v>
      </c>
      <c r="G41" s="22">
        <f>(C42+D42+E42)+((S41/24)*5)</f>
        <v>1532190.4166666667</v>
      </c>
      <c r="H41" s="7">
        <f>G41+((K41/12)*3)</f>
        <v>1532213.1666666667</v>
      </c>
      <c r="I41" s="5">
        <f>I42+52</f>
        <v>289167</v>
      </c>
      <c r="J41" s="6">
        <f t="shared" si="2"/>
        <v>192</v>
      </c>
      <c r="K41" s="6">
        <f t="shared" si="2"/>
        <v>91</v>
      </c>
      <c r="L41" s="6">
        <f t="shared" si="2"/>
        <v>103</v>
      </c>
      <c r="M41" s="6">
        <f t="shared" si="3"/>
        <v>52</v>
      </c>
      <c r="N41" s="43">
        <f>O6/28</f>
        <v>153.21428571428572</v>
      </c>
      <c r="O41" s="3">
        <f t="shared" si="5"/>
        <v>103</v>
      </c>
      <c r="P41" s="5">
        <f t="shared" si="6"/>
        <v>50.214285714285722</v>
      </c>
      <c r="Q41" s="5">
        <f t="shared" si="7"/>
        <v>22.75</v>
      </c>
      <c r="R41" s="45">
        <f>S6/28</f>
        <v>928.57142857142856</v>
      </c>
      <c r="S41" s="6">
        <f t="shared" si="9"/>
        <v>386</v>
      </c>
      <c r="T41" s="7">
        <f t="shared" si="10"/>
        <v>542.57142857142856</v>
      </c>
      <c r="U41" s="7">
        <f>N41</f>
        <v>153.21428571428572</v>
      </c>
      <c r="V41" s="6">
        <f>O41</f>
        <v>103</v>
      </c>
      <c r="W41" s="7">
        <f t="shared" si="12"/>
        <v>50.214285714285722</v>
      </c>
      <c r="X41" s="7">
        <f>R41</f>
        <v>928.57142857142856</v>
      </c>
      <c r="Y41" s="7">
        <f>S41</f>
        <v>386</v>
      </c>
      <c r="Z41" s="7">
        <f t="shared" si="14"/>
        <v>542.57142857142856</v>
      </c>
      <c r="AA41" s="24">
        <f t="shared" si="15"/>
        <v>0.99104760030877681</v>
      </c>
      <c r="AB41" s="1"/>
    </row>
    <row r="42" spans="2:28" ht="54.75" thickBot="1" x14ac:dyDescent="0.3">
      <c r="B42" s="33" t="s">
        <v>13</v>
      </c>
      <c r="C42" s="3">
        <v>477957</v>
      </c>
      <c r="D42" s="3">
        <v>636930</v>
      </c>
      <c r="E42" s="3">
        <v>417223</v>
      </c>
      <c r="F42" s="8">
        <v>1532110</v>
      </c>
      <c r="G42" s="9">
        <v>1531912.4375</v>
      </c>
      <c r="H42" s="9">
        <v>1531931.6041666667</v>
      </c>
      <c r="I42" s="3">
        <v>289115</v>
      </c>
      <c r="J42" s="10"/>
      <c r="K42" s="10"/>
      <c r="L42" s="10"/>
      <c r="M42" s="46">
        <f>SUM(M14:M41)</f>
        <v>1265</v>
      </c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58">
        <f>AVERAGE(AA14:AA41)</f>
        <v>0.9852433873322386</v>
      </c>
    </row>
    <row r="43" spans="2:28" ht="18" x14ac:dyDescent="0.25">
      <c r="B43" s="34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2:28" ht="18" x14ac:dyDescent="0.25"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2:28" ht="18" x14ac:dyDescent="0.25"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8" spans="2:28" ht="18" x14ac:dyDescent="0.25">
      <c r="Z48" s="10" t="s">
        <v>38</v>
      </c>
    </row>
    <row r="49" spans="26:27" ht="18" x14ac:dyDescent="0.25">
      <c r="Z49" s="10" t="s">
        <v>44</v>
      </c>
      <c r="AA49" s="10"/>
    </row>
    <row r="50" spans="26:27" ht="18" x14ac:dyDescent="0.25">
      <c r="Z50" s="10" t="s">
        <v>45</v>
      </c>
      <c r="AA50" s="10"/>
    </row>
    <row r="51" spans="26:27" ht="18" x14ac:dyDescent="0.25">
      <c r="Z51" s="10" t="s">
        <v>12</v>
      </c>
      <c r="AA51" s="10"/>
    </row>
  </sheetData>
  <mergeCells count="10">
    <mergeCell ref="C5:D5"/>
    <mergeCell ref="U7:W7"/>
    <mergeCell ref="X7:AA7"/>
    <mergeCell ref="AB7:AB8"/>
    <mergeCell ref="B7:B8"/>
    <mergeCell ref="C7:I7"/>
    <mergeCell ref="J7:M7"/>
    <mergeCell ref="N7:P7"/>
    <mergeCell ref="Q7:Q8"/>
    <mergeCell ref="R7:T7"/>
  </mergeCells>
  <printOptions horizontalCentered="1"/>
  <pageMargins left="0.25" right="0.25" top="0.75" bottom="0.75" header="0.3" footer="0.3"/>
  <pageSetup paperSize="9" scale="4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pageSetUpPr fitToPage="1"/>
  </sheetPr>
  <dimension ref="B2:AB53"/>
  <sheetViews>
    <sheetView view="pageBreakPreview" zoomScale="55" zoomScaleNormal="85" zoomScaleSheetLayoutView="55" workbookViewId="0">
      <pane ySplit="8" topLeftCell="A9" activePane="bottomLeft" state="frozen"/>
      <selection pane="bottomLeft" activeCell="E13" sqref="E13"/>
    </sheetView>
  </sheetViews>
  <sheetFormatPr baseColWidth="10" defaultColWidth="11.42578125" defaultRowHeight="15" x14ac:dyDescent="0.25"/>
  <cols>
    <col min="1" max="2" width="11.42578125" customWidth="1"/>
    <col min="4" max="4" width="12.28515625" bestFit="1" customWidth="1"/>
    <col min="5" max="5" width="11.42578125" customWidth="1"/>
    <col min="9" max="9" width="12.28515625" bestFit="1" customWidth="1"/>
    <col min="16" max="16" width="13.42578125" bestFit="1" customWidth="1"/>
    <col min="17" max="17" width="13.140625" customWidth="1"/>
    <col min="20" max="20" width="14.7109375" bestFit="1" customWidth="1"/>
    <col min="21" max="21" width="11.7109375" bestFit="1" customWidth="1"/>
    <col min="22" max="22" width="13.28515625" bestFit="1" customWidth="1"/>
    <col min="23" max="23" width="12.5703125" bestFit="1" customWidth="1"/>
    <col min="24" max="24" width="11.5703125" bestFit="1" customWidth="1"/>
    <col min="25" max="25" width="14" bestFit="1" customWidth="1"/>
    <col min="26" max="26" width="13.42578125" bestFit="1" customWidth="1"/>
    <col min="27" max="27" width="15.140625" customWidth="1"/>
    <col min="28" max="28" width="16.140625" customWidth="1"/>
  </cols>
  <sheetData>
    <row r="2" spans="2:28" ht="15.75" customHeight="1" x14ac:dyDescent="0.25">
      <c r="G2" s="26" t="s">
        <v>29</v>
      </c>
    </row>
    <row r="3" spans="2:28" ht="15.75" customHeight="1" x14ac:dyDescent="0.25">
      <c r="G3" s="26" t="s">
        <v>28</v>
      </c>
    </row>
    <row r="4" spans="2:28" ht="15.75" customHeight="1" x14ac:dyDescent="0.3">
      <c r="G4" s="27" t="s">
        <v>30</v>
      </c>
      <c r="N4" s="28">
        <f>'Ciencia A'!N4</f>
        <v>45689</v>
      </c>
    </row>
    <row r="5" spans="2:28" x14ac:dyDescent="0.25">
      <c r="C5" s="88" t="s">
        <v>34</v>
      </c>
      <c r="D5" s="88"/>
      <c r="E5" s="88"/>
      <c r="T5" s="52"/>
      <c r="U5" s="52" t="s">
        <v>42</v>
      </c>
      <c r="V5" s="52" t="s">
        <v>43</v>
      </c>
    </row>
    <row r="6" spans="2:28" ht="15.75" x14ac:dyDescent="0.25">
      <c r="N6" s="13" t="s">
        <v>27</v>
      </c>
      <c r="O6" s="29">
        <f>S6*16.5%</f>
        <v>1650</v>
      </c>
      <c r="P6" s="30" t="s">
        <v>26</v>
      </c>
      <c r="Q6" s="11">
        <f>(S6*8)/100</f>
        <v>800</v>
      </c>
      <c r="R6" s="13" t="s">
        <v>25</v>
      </c>
      <c r="S6" s="11">
        <v>10000</v>
      </c>
      <c r="T6" s="52" t="s">
        <v>41</v>
      </c>
      <c r="U6" s="52">
        <v>257</v>
      </c>
      <c r="V6" s="51">
        <f>U6/31</f>
        <v>8.2903225806451619</v>
      </c>
    </row>
    <row r="7" spans="2:28" ht="46.5" customHeight="1" x14ac:dyDescent="0.25">
      <c r="B7" s="84" t="s">
        <v>24</v>
      </c>
      <c r="C7" s="82" t="s">
        <v>9</v>
      </c>
      <c r="D7" s="82"/>
      <c r="E7" s="82"/>
      <c r="F7" s="82"/>
      <c r="G7" s="82"/>
      <c r="H7" s="82"/>
      <c r="I7" s="82"/>
      <c r="J7" s="82" t="s">
        <v>23</v>
      </c>
      <c r="K7" s="82"/>
      <c r="L7" s="82"/>
      <c r="M7" s="82"/>
      <c r="N7" s="82" t="s">
        <v>22</v>
      </c>
      <c r="O7" s="82"/>
      <c r="P7" s="82"/>
      <c r="Q7" s="83" t="s">
        <v>21</v>
      </c>
      <c r="R7" s="82" t="s">
        <v>20</v>
      </c>
      <c r="S7" s="82"/>
      <c r="T7" s="82"/>
      <c r="U7" s="82" t="s">
        <v>10</v>
      </c>
      <c r="V7" s="82"/>
      <c r="W7" s="82"/>
      <c r="X7" s="82" t="s">
        <v>11</v>
      </c>
      <c r="Y7" s="82"/>
      <c r="Z7" s="82"/>
      <c r="AA7" s="82"/>
      <c r="AB7" s="83" t="s">
        <v>8</v>
      </c>
    </row>
    <row r="8" spans="2:28" ht="30" x14ac:dyDescent="0.25">
      <c r="B8" s="84"/>
      <c r="C8" s="14" t="s">
        <v>1</v>
      </c>
      <c r="D8" s="14" t="s">
        <v>0</v>
      </c>
      <c r="E8" s="14" t="s">
        <v>2</v>
      </c>
      <c r="F8" s="14" t="s">
        <v>19</v>
      </c>
      <c r="G8" s="14" t="s">
        <v>18</v>
      </c>
      <c r="H8" s="14" t="s">
        <v>17</v>
      </c>
      <c r="I8" s="14" t="s">
        <v>3</v>
      </c>
      <c r="J8" s="14" t="s">
        <v>1</v>
      </c>
      <c r="K8" s="14" t="s">
        <v>0</v>
      </c>
      <c r="L8" s="14" t="s">
        <v>2</v>
      </c>
      <c r="M8" s="14" t="s">
        <v>3</v>
      </c>
      <c r="N8" s="14" t="s">
        <v>4</v>
      </c>
      <c r="O8" s="14" t="s">
        <v>5</v>
      </c>
      <c r="P8" s="14" t="s">
        <v>16</v>
      </c>
      <c r="Q8" s="83"/>
      <c r="R8" s="14" t="s">
        <v>6</v>
      </c>
      <c r="S8" s="14" t="s">
        <v>15</v>
      </c>
      <c r="T8" s="14" t="s">
        <v>16</v>
      </c>
      <c r="U8" s="14" t="s">
        <v>4</v>
      </c>
      <c r="V8" s="14" t="s">
        <v>5</v>
      </c>
      <c r="W8" s="14" t="s">
        <v>16</v>
      </c>
      <c r="X8" s="14" t="s">
        <v>6</v>
      </c>
      <c r="Y8" s="14" t="s">
        <v>15</v>
      </c>
      <c r="Z8" s="31" t="s">
        <v>14</v>
      </c>
      <c r="AA8" s="14" t="s">
        <v>7</v>
      </c>
      <c r="AB8" s="83"/>
    </row>
    <row r="9" spans="2:28" x14ac:dyDescent="0.25">
      <c r="B9" s="32"/>
      <c r="C9" s="2">
        <v>1</v>
      </c>
      <c r="D9" s="2">
        <v>2</v>
      </c>
      <c r="E9" s="2">
        <v>3</v>
      </c>
      <c r="F9" s="2"/>
      <c r="G9" s="2">
        <v>4</v>
      </c>
      <c r="H9" s="2">
        <v>5</v>
      </c>
      <c r="I9" s="2">
        <v>6</v>
      </c>
      <c r="J9" s="2">
        <v>7</v>
      </c>
      <c r="K9" s="2">
        <v>8</v>
      </c>
      <c r="L9" s="2">
        <v>9</v>
      </c>
      <c r="M9" s="2">
        <v>10</v>
      </c>
      <c r="N9" s="2">
        <v>11</v>
      </c>
      <c r="O9" s="2">
        <v>12</v>
      </c>
      <c r="P9" s="2">
        <v>13</v>
      </c>
      <c r="Q9" s="2">
        <v>14</v>
      </c>
      <c r="R9" s="2">
        <v>15</v>
      </c>
      <c r="S9" s="2">
        <v>16</v>
      </c>
      <c r="T9" s="2">
        <v>17</v>
      </c>
      <c r="U9" s="2">
        <v>18</v>
      </c>
      <c r="V9" s="2">
        <v>19</v>
      </c>
      <c r="W9" s="2">
        <v>20</v>
      </c>
      <c r="X9" s="2">
        <v>21</v>
      </c>
      <c r="Y9" s="2">
        <v>22</v>
      </c>
      <c r="Z9" s="2">
        <v>23</v>
      </c>
      <c r="AA9" s="2">
        <v>24</v>
      </c>
      <c r="AB9" s="2">
        <v>25</v>
      </c>
    </row>
    <row r="10" spans="2:28" ht="18" x14ac:dyDescent="0.25">
      <c r="B10" s="3"/>
      <c r="C10" s="3"/>
      <c r="D10" s="3"/>
      <c r="E10" s="3"/>
      <c r="F10" s="4"/>
      <c r="G10" s="4"/>
      <c r="H10" s="3"/>
      <c r="I10" s="3"/>
      <c r="J10" s="3"/>
      <c r="K10" s="3"/>
      <c r="L10" s="3"/>
      <c r="M10" s="3"/>
      <c r="N10" s="5"/>
      <c r="O10" s="5"/>
      <c r="P10" s="5"/>
      <c r="Q10" s="5"/>
      <c r="R10" s="5"/>
      <c r="S10" s="5"/>
      <c r="T10" s="3"/>
      <c r="U10" s="3"/>
      <c r="V10" s="3"/>
      <c r="W10" s="3"/>
      <c r="X10" s="3"/>
      <c r="Y10" s="3"/>
      <c r="Z10" s="3"/>
      <c r="AA10" s="3"/>
      <c r="AB10" s="2"/>
    </row>
    <row r="11" spans="2:28" s="68" customFormat="1" ht="18" x14ac:dyDescent="0.25">
      <c r="B11" s="59"/>
      <c r="C11" s="60"/>
      <c r="D11" s="60"/>
      <c r="E11" s="60"/>
      <c r="F11" s="61"/>
      <c r="G11" s="62"/>
      <c r="H11" s="60"/>
      <c r="I11" s="60"/>
      <c r="J11" s="63"/>
      <c r="K11" s="63"/>
      <c r="L11" s="63"/>
      <c r="M11" s="63"/>
      <c r="N11" s="64"/>
      <c r="O11" s="65"/>
      <c r="P11" s="64"/>
      <c r="Q11" s="64"/>
      <c r="R11" s="60"/>
      <c r="S11" s="63"/>
      <c r="T11" s="60"/>
      <c r="U11" s="60"/>
      <c r="V11" s="60"/>
      <c r="W11" s="60"/>
      <c r="X11" s="60"/>
      <c r="Y11" s="60"/>
      <c r="Z11" s="60"/>
      <c r="AA11" s="66"/>
      <c r="AB11" s="67"/>
    </row>
    <row r="12" spans="2:28" ht="18" x14ac:dyDescent="0.25">
      <c r="B12" s="3"/>
      <c r="C12" s="5"/>
      <c r="D12" s="5"/>
      <c r="E12" s="5"/>
      <c r="F12" s="8"/>
      <c r="G12" s="22"/>
      <c r="H12" s="7"/>
      <c r="I12" s="5"/>
      <c r="J12" s="6"/>
      <c r="K12" s="6"/>
      <c r="L12" s="6"/>
      <c r="M12" s="6"/>
      <c r="N12" s="5"/>
      <c r="O12" s="23"/>
      <c r="P12" s="5"/>
      <c r="Q12" s="5"/>
      <c r="R12" s="7"/>
      <c r="S12" s="6"/>
      <c r="T12" s="7"/>
      <c r="U12" s="7"/>
      <c r="V12" s="7"/>
      <c r="W12" s="7"/>
      <c r="X12" s="7"/>
      <c r="Y12" s="7"/>
      <c r="Z12" s="7"/>
      <c r="AA12" s="24"/>
      <c r="AB12" s="25"/>
    </row>
    <row r="13" spans="2:28" ht="18" x14ac:dyDescent="0.25">
      <c r="B13" s="3"/>
      <c r="C13" s="5"/>
      <c r="D13" s="5"/>
      <c r="E13" s="5"/>
      <c r="F13" s="8"/>
      <c r="G13" s="22"/>
      <c r="H13" s="7"/>
      <c r="I13" s="5"/>
      <c r="J13" s="6"/>
      <c r="K13" s="6"/>
      <c r="L13" s="6"/>
      <c r="M13" s="6"/>
      <c r="N13" s="5"/>
      <c r="O13" s="23"/>
      <c r="P13" s="5"/>
      <c r="Q13" s="5"/>
      <c r="R13" s="7"/>
      <c r="S13" s="6"/>
      <c r="T13" s="7"/>
      <c r="U13" s="7"/>
      <c r="V13" s="7"/>
      <c r="W13" s="7"/>
      <c r="X13" s="7"/>
      <c r="Y13" s="7"/>
      <c r="Z13" s="7"/>
      <c r="AA13" s="24"/>
      <c r="AB13" s="25"/>
    </row>
    <row r="14" spans="2:28" ht="17.45" x14ac:dyDescent="0.3">
      <c r="B14" s="3">
        <v>28</v>
      </c>
      <c r="C14" s="5">
        <v>63923</v>
      </c>
      <c r="D14" s="5">
        <v>487469</v>
      </c>
      <c r="E14" s="5">
        <v>77183</v>
      </c>
      <c r="F14" s="8">
        <f t="shared" ref="F13:F41" si="0">C14+D14+E14</f>
        <v>628575</v>
      </c>
      <c r="G14" s="22">
        <f t="shared" ref="G13:G40" si="1">(C15+D15+E15)+((S14/24)*9.5)</f>
        <v>628559.89583333337</v>
      </c>
      <c r="H14" s="7">
        <f t="shared" ref="H13:H40" si="2">G14+((K14/12)*2.5)</f>
        <v>628564.89583333337</v>
      </c>
      <c r="I14" s="5">
        <v>215151</v>
      </c>
      <c r="J14" s="6">
        <f t="shared" ref="J13:L41" si="3">C14-C15</f>
        <v>0</v>
      </c>
      <c r="K14" s="6">
        <f t="shared" si="3"/>
        <v>24</v>
      </c>
      <c r="L14" s="6">
        <f t="shared" si="3"/>
        <v>1</v>
      </c>
      <c r="M14" s="6">
        <f t="shared" ref="M13:M41" si="4">I14-I15</f>
        <v>47</v>
      </c>
      <c r="N14" s="5">
        <f t="shared" ref="N12:N40" si="5">N15</f>
        <v>58.928571428571431</v>
      </c>
      <c r="O14" s="23">
        <f t="shared" ref="O13:O41" si="6">L14</f>
        <v>1</v>
      </c>
      <c r="P14" s="5">
        <f t="shared" ref="P13:P41" si="7">N14-O14</f>
        <v>57.928571428571431</v>
      </c>
      <c r="Q14" s="5">
        <f t="shared" ref="Q13:Q41" si="8">H14-G14</f>
        <v>5</v>
      </c>
      <c r="R14" s="7">
        <f t="shared" ref="R12:R39" si="9">R15</f>
        <v>357.14285714285717</v>
      </c>
      <c r="S14" s="6">
        <f t="shared" ref="S13:S41" si="10">J14+K14+L14</f>
        <v>25</v>
      </c>
      <c r="T14" s="7">
        <f t="shared" ref="T13:T41" si="11">R14-S14</f>
        <v>332.14285714285717</v>
      </c>
      <c r="U14" s="7">
        <f t="shared" ref="U13:V40" si="12">U15+N14</f>
        <v>1649.9999999999991</v>
      </c>
      <c r="V14" s="7">
        <f t="shared" si="12"/>
        <v>335</v>
      </c>
      <c r="W14" s="7">
        <f t="shared" ref="W13:W41" si="13">U14-V14</f>
        <v>1314.9999999999991</v>
      </c>
      <c r="X14" s="7">
        <f t="shared" ref="X13:Y40" si="14">X15+R14</f>
        <v>9999.9999999999982</v>
      </c>
      <c r="Y14" s="7">
        <f t="shared" si="14"/>
        <v>2400</v>
      </c>
      <c r="Z14" s="7">
        <f t="shared" ref="Z13:Z41" si="15">X14-Y14</f>
        <v>7599.9999999999982</v>
      </c>
      <c r="AA14" s="24">
        <f t="shared" ref="AA13:AA41" si="16">COS(ATAN(M14/S14))</f>
        <v>0.46961297297834037</v>
      </c>
      <c r="AB14" s="25"/>
    </row>
    <row r="15" spans="2:28" ht="18" x14ac:dyDescent="0.25">
      <c r="B15" s="3">
        <v>27</v>
      </c>
      <c r="C15" s="5">
        <v>63923</v>
      </c>
      <c r="D15" s="5">
        <v>487445</v>
      </c>
      <c r="E15" s="5">
        <v>77182</v>
      </c>
      <c r="F15" s="8">
        <f t="shared" si="0"/>
        <v>628550</v>
      </c>
      <c r="G15" s="22">
        <f t="shared" si="1"/>
        <v>628498.64583333337</v>
      </c>
      <c r="H15" s="7">
        <f t="shared" si="2"/>
        <v>628504.6875</v>
      </c>
      <c r="I15" s="5">
        <f t="shared" ref="I15" si="17">I16+12</f>
        <v>215104</v>
      </c>
      <c r="J15" s="6">
        <f t="shared" si="3"/>
        <v>56</v>
      </c>
      <c r="K15" s="6">
        <f t="shared" si="3"/>
        <v>29</v>
      </c>
      <c r="L15" s="6">
        <f t="shared" si="3"/>
        <v>0</v>
      </c>
      <c r="M15" s="6">
        <f t="shared" si="4"/>
        <v>12</v>
      </c>
      <c r="N15" s="5">
        <f t="shared" si="5"/>
        <v>58.928571428571431</v>
      </c>
      <c r="O15" s="23">
        <f t="shared" si="6"/>
        <v>0</v>
      </c>
      <c r="P15" s="5">
        <f t="shared" si="7"/>
        <v>58.928571428571431</v>
      </c>
      <c r="Q15" s="5">
        <f t="shared" si="8"/>
        <v>6.0416666666278616</v>
      </c>
      <c r="R15" s="7">
        <f t="shared" si="9"/>
        <v>357.14285714285717</v>
      </c>
      <c r="S15" s="6">
        <f t="shared" si="10"/>
        <v>85</v>
      </c>
      <c r="T15" s="7">
        <f t="shared" si="11"/>
        <v>272.14285714285717</v>
      </c>
      <c r="U15" s="7">
        <f t="shared" si="12"/>
        <v>1591.0714285714278</v>
      </c>
      <c r="V15" s="7">
        <f t="shared" si="12"/>
        <v>334</v>
      </c>
      <c r="W15" s="7">
        <f t="shared" si="13"/>
        <v>1257.0714285714278</v>
      </c>
      <c r="X15" s="7">
        <f t="shared" si="14"/>
        <v>9642.8571428571413</v>
      </c>
      <c r="Y15" s="7">
        <f t="shared" si="14"/>
        <v>2375</v>
      </c>
      <c r="Z15" s="7">
        <f t="shared" si="15"/>
        <v>7267.8571428571413</v>
      </c>
      <c r="AA15" s="24">
        <f t="shared" si="16"/>
        <v>0.99018113405917263</v>
      </c>
      <c r="AB15" s="25"/>
    </row>
    <row r="16" spans="2:28" ht="18" x14ac:dyDescent="0.25">
      <c r="B16" s="3">
        <v>26</v>
      </c>
      <c r="C16" s="5">
        <f>C17+55</f>
        <v>63867</v>
      </c>
      <c r="D16" s="5">
        <f>D17+25</f>
        <v>487416</v>
      </c>
      <c r="E16" s="5">
        <f>E17+16</f>
        <v>77182</v>
      </c>
      <c r="F16" s="8">
        <f t="shared" si="0"/>
        <v>628465</v>
      </c>
      <c r="G16" s="22">
        <f t="shared" si="1"/>
        <v>628407</v>
      </c>
      <c r="H16" s="7">
        <f t="shared" si="2"/>
        <v>628412.20833333337</v>
      </c>
      <c r="I16" s="5">
        <f>I17+11</f>
        <v>215092</v>
      </c>
      <c r="J16" s="6">
        <f t="shared" si="3"/>
        <v>55</v>
      </c>
      <c r="K16" s="6">
        <f t="shared" si="3"/>
        <v>25</v>
      </c>
      <c r="L16" s="6">
        <f t="shared" si="3"/>
        <v>16</v>
      </c>
      <c r="M16" s="6">
        <f t="shared" si="4"/>
        <v>11</v>
      </c>
      <c r="N16" s="5">
        <f t="shared" si="5"/>
        <v>58.928571428571431</v>
      </c>
      <c r="O16" s="23">
        <f t="shared" si="6"/>
        <v>16</v>
      </c>
      <c r="P16" s="5">
        <f t="shared" si="7"/>
        <v>42.928571428571431</v>
      </c>
      <c r="Q16" s="5">
        <f t="shared" si="8"/>
        <v>5.2083333333721384</v>
      </c>
      <c r="R16" s="7">
        <f t="shared" si="9"/>
        <v>357.14285714285717</v>
      </c>
      <c r="S16" s="6">
        <f t="shared" si="10"/>
        <v>96</v>
      </c>
      <c r="T16" s="7">
        <f t="shared" si="11"/>
        <v>261.14285714285717</v>
      </c>
      <c r="U16" s="7">
        <f t="shared" si="12"/>
        <v>1532.1428571428564</v>
      </c>
      <c r="V16" s="7">
        <f t="shared" si="12"/>
        <v>334</v>
      </c>
      <c r="W16" s="7">
        <f t="shared" si="13"/>
        <v>1198.1428571428564</v>
      </c>
      <c r="X16" s="7">
        <f t="shared" si="14"/>
        <v>9285.7142857142844</v>
      </c>
      <c r="Y16" s="7">
        <f t="shared" si="14"/>
        <v>2290</v>
      </c>
      <c r="Z16" s="7">
        <f t="shared" si="15"/>
        <v>6995.7142857142844</v>
      </c>
      <c r="AA16" s="24">
        <f t="shared" si="16"/>
        <v>0.99349927297299989</v>
      </c>
      <c r="AB16" s="25"/>
    </row>
    <row r="17" spans="2:28" ht="18" x14ac:dyDescent="0.25">
      <c r="B17" s="3">
        <v>25</v>
      </c>
      <c r="C17" s="5">
        <f>C18+61</f>
        <v>63812</v>
      </c>
      <c r="D17" s="5">
        <f>D18+29</f>
        <v>487391</v>
      </c>
      <c r="E17" s="5">
        <f>E18+16</f>
        <v>77166</v>
      </c>
      <c r="F17" s="8">
        <f t="shared" si="0"/>
        <v>628369</v>
      </c>
      <c r="G17" s="22">
        <f t="shared" si="1"/>
        <v>628304.95833333337</v>
      </c>
      <c r="H17" s="7">
        <f t="shared" si="2"/>
        <v>628311</v>
      </c>
      <c r="I17" s="5">
        <f>I18+12</f>
        <v>215081</v>
      </c>
      <c r="J17" s="6">
        <f t="shared" si="3"/>
        <v>61</v>
      </c>
      <c r="K17" s="6">
        <f t="shared" si="3"/>
        <v>29</v>
      </c>
      <c r="L17" s="6">
        <f t="shared" si="3"/>
        <v>16</v>
      </c>
      <c r="M17" s="6">
        <f t="shared" si="4"/>
        <v>12</v>
      </c>
      <c r="N17" s="5">
        <f t="shared" si="5"/>
        <v>58.928571428571431</v>
      </c>
      <c r="O17" s="23">
        <f t="shared" si="6"/>
        <v>16</v>
      </c>
      <c r="P17" s="5">
        <f t="shared" si="7"/>
        <v>42.928571428571431</v>
      </c>
      <c r="Q17" s="5">
        <f t="shared" si="8"/>
        <v>6.0416666666278616</v>
      </c>
      <c r="R17" s="7">
        <f t="shared" si="9"/>
        <v>357.14285714285717</v>
      </c>
      <c r="S17" s="6">
        <f t="shared" si="10"/>
        <v>106</v>
      </c>
      <c r="T17" s="7">
        <f t="shared" si="11"/>
        <v>251.14285714285717</v>
      </c>
      <c r="U17" s="7">
        <f t="shared" si="12"/>
        <v>1473.2142857142851</v>
      </c>
      <c r="V17" s="7">
        <f t="shared" si="12"/>
        <v>318</v>
      </c>
      <c r="W17" s="7">
        <f t="shared" si="13"/>
        <v>1155.2142857142851</v>
      </c>
      <c r="X17" s="7">
        <f t="shared" si="14"/>
        <v>8928.5714285714275</v>
      </c>
      <c r="Y17" s="7">
        <f t="shared" si="14"/>
        <v>2194</v>
      </c>
      <c r="Z17" s="7">
        <f t="shared" si="15"/>
        <v>6734.5714285714275</v>
      </c>
      <c r="AA17" s="24">
        <f t="shared" si="16"/>
        <v>0.99365296831495686</v>
      </c>
      <c r="AB17" s="25"/>
    </row>
    <row r="18" spans="2:28" ht="18" x14ac:dyDescent="0.25">
      <c r="B18" s="3">
        <v>24</v>
      </c>
      <c r="C18" s="5">
        <f>C19+33</f>
        <v>63751</v>
      </c>
      <c r="D18" s="5">
        <f>D19+28</f>
        <v>487362</v>
      </c>
      <c r="E18" s="5">
        <f>E19+19</f>
        <v>77150</v>
      </c>
      <c r="F18" s="8">
        <f t="shared" si="0"/>
        <v>628263</v>
      </c>
      <c r="G18" s="22">
        <f t="shared" si="1"/>
        <v>628214.66666666663</v>
      </c>
      <c r="H18" s="7">
        <f t="shared" si="2"/>
        <v>628220.5</v>
      </c>
      <c r="I18" s="5">
        <f>I19+35</f>
        <v>215069</v>
      </c>
      <c r="J18" s="6">
        <f t="shared" si="3"/>
        <v>33</v>
      </c>
      <c r="K18" s="6">
        <f t="shared" si="3"/>
        <v>28</v>
      </c>
      <c r="L18" s="6">
        <f t="shared" si="3"/>
        <v>19</v>
      </c>
      <c r="M18" s="6">
        <f t="shared" si="4"/>
        <v>35</v>
      </c>
      <c r="N18" s="5">
        <f t="shared" si="5"/>
        <v>58.928571428571431</v>
      </c>
      <c r="O18" s="23">
        <f t="shared" si="6"/>
        <v>19</v>
      </c>
      <c r="P18" s="5">
        <f t="shared" si="7"/>
        <v>39.928571428571431</v>
      </c>
      <c r="Q18" s="5">
        <f t="shared" si="8"/>
        <v>5.8333333333721384</v>
      </c>
      <c r="R18" s="7">
        <f t="shared" si="9"/>
        <v>357.14285714285717</v>
      </c>
      <c r="S18" s="6">
        <f t="shared" si="10"/>
        <v>80</v>
      </c>
      <c r="T18" s="7">
        <f t="shared" si="11"/>
        <v>277.14285714285717</v>
      </c>
      <c r="U18" s="7">
        <f t="shared" si="12"/>
        <v>1414.2857142857138</v>
      </c>
      <c r="V18" s="7">
        <f t="shared" si="12"/>
        <v>302</v>
      </c>
      <c r="W18" s="7">
        <f t="shared" si="13"/>
        <v>1112.2857142857138</v>
      </c>
      <c r="X18" s="7">
        <f t="shared" si="14"/>
        <v>8571.4285714285706</v>
      </c>
      <c r="Y18" s="7">
        <f t="shared" si="14"/>
        <v>2088</v>
      </c>
      <c r="Z18" s="7">
        <f t="shared" si="15"/>
        <v>6483.4285714285706</v>
      </c>
      <c r="AA18" s="24">
        <f t="shared" si="16"/>
        <v>0.91615733490218909</v>
      </c>
      <c r="AB18" s="25"/>
    </row>
    <row r="19" spans="2:28" ht="18" x14ac:dyDescent="0.25">
      <c r="B19" s="3">
        <v>23</v>
      </c>
      <c r="C19" s="5">
        <v>63718</v>
      </c>
      <c r="D19" s="5">
        <v>487334</v>
      </c>
      <c r="E19" s="5">
        <v>77131</v>
      </c>
      <c r="F19" s="8">
        <f t="shared" si="0"/>
        <v>628183</v>
      </c>
      <c r="G19" s="22">
        <f t="shared" si="1"/>
        <v>628137.6875</v>
      </c>
      <c r="H19" s="7">
        <f t="shared" si="2"/>
        <v>628143.10416666663</v>
      </c>
      <c r="I19" s="5">
        <v>215034</v>
      </c>
      <c r="J19" s="6">
        <f t="shared" si="3"/>
        <v>31</v>
      </c>
      <c r="K19" s="6">
        <f t="shared" si="3"/>
        <v>26</v>
      </c>
      <c r="L19" s="6">
        <f t="shared" si="3"/>
        <v>18</v>
      </c>
      <c r="M19" s="6">
        <f t="shared" si="4"/>
        <v>32</v>
      </c>
      <c r="N19" s="5">
        <f t="shared" si="5"/>
        <v>58.928571428571431</v>
      </c>
      <c r="O19" s="3">
        <f t="shared" si="6"/>
        <v>18</v>
      </c>
      <c r="P19" s="5">
        <f t="shared" si="7"/>
        <v>40.928571428571431</v>
      </c>
      <c r="Q19" s="5">
        <f t="shared" si="8"/>
        <v>5.4166666666278616</v>
      </c>
      <c r="R19" s="7">
        <f t="shared" si="9"/>
        <v>357.14285714285717</v>
      </c>
      <c r="S19" s="6">
        <f t="shared" si="10"/>
        <v>75</v>
      </c>
      <c r="T19" s="7">
        <f t="shared" si="11"/>
        <v>282.14285714285717</v>
      </c>
      <c r="U19" s="7">
        <f t="shared" si="12"/>
        <v>1355.3571428571424</v>
      </c>
      <c r="V19" s="7">
        <f t="shared" si="12"/>
        <v>283</v>
      </c>
      <c r="W19" s="7">
        <f t="shared" si="13"/>
        <v>1072.3571428571424</v>
      </c>
      <c r="X19" s="7">
        <f t="shared" si="14"/>
        <v>8214.2857142857138</v>
      </c>
      <c r="Y19" s="7">
        <f t="shared" si="14"/>
        <v>2008</v>
      </c>
      <c r="Z19" s="7">
        <f t="shared" si="15"/>
        <v>6206.2857142857138</v>
      </c>
      <c r="AA19" s="24">
        <f t="shared" si="16"/>
        <v>0.91977816808074253</v>
      </c>
      <c r="AB19" s="1"/>
    </row>
    <row r="20" spans="2:28" ht="18" x14ac:dyDescent="0.25">
      <c r="B20" s="3">
        <v>22</v>
      </c>
      <c r="C20" s="5">
        <f>C21+28</f>
        <v>63687</v>
      </c>
      <c r="D20" s="5">
        <f t="shared" ref="D20:D35" si="18">D21+44</f>
        <v>487308</v>
      </c>
      <c r="E20" s="5">
        <f>E21+13</f>
        <v>77113</v>
      </c>
      <c r="F20" s="8">
        <f t="shared" si="0"/>
        <v>628108</v>
      </c>
      <c r="G20" s="22">
        <f t="shared" si="1"/>
        <v>628056.64583333337</v>
      </c>
      <c r="H20" s="7">
        <f t="shared" si="2"/>
        <v>628065.8125</v>
      </c>
      <c r="I20" s="5">
        <f>I21+25</f>
        <v>215002</v>
      </c>
      <c r="J20" s="6">
        <f t="shared" si="3"/>
        <v>28</v>
      </c>
      <c r="K20" s="6">
        <f t="shared" si="3"/>
        <v>44</v>
      </c>
      <c r="L20" s="6">
        <f t="shared" si="3"/>
        <v>13</v>
      </c>
      <c r="M20" s="6">
        <f t="shared" si="4"/>
        <v>25</v>
      </c>
      <c r="N20" s="5">
        <f t="shared" si="5"/>
        <v>58.928571428571431</v>
      </c>
      <c r="O20" s="3">
        <f t="shared" si="6"/>
        <v>13</v>
      </c>
      <c r="P20" s="5">
        <f t="shared" si="7"/>
        <v>45.928571428571431</v>
      </c>
      <c r="Q20" s="5">
        <f t="shared" si="8"/>
        <v>9.1666666666278616</v>
      </c>
      <c r="R20" s="7">
        <f t="shared" si="9"/>
        <v>357.14285714285717</v>
      </c>
      <c r="S20" s="6">
        <f t="shared" si="10"/>
        <v>85</v>
      </c>
      <c r="T20" s="7">
        <f t="shared" si="11"/>
        <v>272.14285714285717</v>
      </c>
      <c r="U20" s="7">
        <f t="shared" si="12"/>
        <v>1296.4285714285711</v>
      </c>
      <c r="V20" s="7">
        <f t="shared" si="12"/>
        <v>265</v>
      </c>
      <c r="W20" s="7">
        <f t="shared" si="13"/>
        <v>1031.4285714285711</v>
      </c>
      <c r="X20" s="7">
        <f t="shared" si="14"/>
        <v>7857.142857142856</v>
      </c>
      <c r="Y20" s="7">
        <f t="shared" si="14"/>
        <v>1933</v>
      </c>
      <c r="Z20" s="7">
        <f t="shared" si="15"/>
        <v>5924.142857142856</v>
      </c>
      <c r="AA20" s="24">
        <f t="shared" si="16"/>
        <v>0.95936550157127054</v>
      </c>
      <c r="AB20" s="1"/>
    </row>
    <row r="21" spans="2:28" ht="18" x14ac:dyDescent="0.25">
      <c r="B21" s="3">
        <v>21</v>
      </c>
      <c r="C21" s="5">
        <f>C22+35</f>
        <v>63659</v>
      </c>
      <c r="D21" s="5">
        <f>D22+41</f>
        <v>487264</v>
      </c>
      <c r="E21" s="5">
        <f t="shared" ref="E21:E37" si="19">E22+12</f>
        <v>77100</v>
      </c>
      <c r="F21" s="8">
        <f t="shared" si="0"/>
        <v>628023</v>
      </c>
      <c r="G21" s="22">
        <f t="shared" si="1"/>
        <v>627969.83333333337</v>
      </c>
      <c r="H21" s="7">
        <f t="shared" si="2"/>
        <v>627978.375</v>
      </c>
      <c r="I21" s="5">
        <f t="shared" ref="I21:I26" si="20">I22+32</f>
        <v>214977</v>
      </c>
      <c r="J21" s="6">
        <f t="shared" si="3"/>
        <v>35</v>
      </c>
      <c r="K21" s="6">
        <f t="shared" si="3"/>
        <v>41</v>
      </c>
      <c r="L21" s="6">
        <f t="shared" si="3"/>
        <v>12</v>
      </c>
      <c r="M21" s="6">
        <f t="shared" si="4"/>
        <v>32</v>
      </c>
      <c r="N21" s="5">
        <f t="shared" si="5"/>
        <v>58.928571428571431</v>
      </c>
      <c r="O21" s="3">
        <f t="shared" si="6"/>
        <v>12</v>
      </c>
      <c r="P21" s="5">
        <f t="shared" si="7"/>
        <v>46.928571428571431</v>
      </c>
      <c r="Q21" s="5">
        <f t="shared" si="8"/>
        <v>8.5416666666278616</v>
      </c>
      <c r="R21" s="7">
        <f t="shared" si="9"/>
        <v>357.14285714285717</v>
      </c>
      <c r="S21" s="6">
        <f t="shared" si="10"/>
        <v>88</v>
      </c>
      <c r="T21" s="7">
        <f t="shared" si="11"/>
        <v>269.14285714285717</v>
      </c>
      <c r="U21" s="7">
        <f t="shared" si="12"/>
        <v>1237.4999999999998</v>
      </c>
      <c r="V21" s="7">
        <f t="shared" si="12"/>
        <v>252</v>
      </c>
      <c r="W21" s="7">
        <f t="shared" si="13"/>
        <v>985.49999999999977</v>
      </c>
      <c r="X21" s="7">
        <f t="shared" si="14"/>
        <v>7499.9999999999991</v>
      </c>
      <c r="Y21" s="7">
        <f t="shared" si="14"/>
        <v>1848</v>
      </c>
      <c r="Z21" s="7">
        <f t="shared" si="15"/>
        <v>5651.9999999999991</v>
      </c>
      <c r="AA21" s="24">
        <f t="shared" si="16"/>
        <v>0.93979342348843709</v>
      </c>
      <c r="AB21" s="1"/>
    </row>
    <row r="22" spans="2:28" ht="18" x14ac:dyDescent="0.25">
      <c r="B22" s="3">
        <v>20</v>
      </c>
      <c r="C22" s="5">
        <f t="shared" ref="C22:C29" si="21">C23+30</f>
        <v>63624</v>
      </c>
      <c r="D22" s="5">
        <f>D23+42</f>
        <v>487223</v>
      </c>
      <c r="E22" s="5">
        <f>E23+15</f>
        <v>77088</v>
      </c>
      <c r="F22" s="8">
        <f t="shared" si="0"/>
        <v>627935</v>
      </c>
      <c r="G22" s="22">
        <f t="shared" si="1"/>
        <v>627882.4375</v>
      </c>
      <c r="H22" s="7">
        <f t="shared" si="2"/>
        <v>627891.1875</v>
      </c>
      <c r="I22" s="5">
        <f>I23+33</f>
        <v>214945</v>
      </c>
      <c r="J22" s="6">
        <f t="shared" si="3"/>
        <v>30</v>
      </c>
      <c r="K22" s="6">
        <f t="shared" si="3"/>
        <v>42</v>
      </c>
      <c r="L22" s="6">
        <f t="shared" si="3"/>
        <v>15</v>
      </c>
      <c r="M22" s="6">
        <f t="shared" si="4"/>
        <v>33</v>
      </c>
      <c r="N22" s="5">
        <f t="shared" si="5"/>
        <v>58.928571428571431</v>
      </c>
      <c r="O22" s="3">
        <f t="shared" si="6"/>
        <v>15</v>
      </c>
      <c r="P22" s="5">
        <f t="shared" si="7"/>
        <v>43.928571428571431</v>
      </c>
      <c r="Q22" s="5">
        <f t="shared" si="8"/>
        <v>8.75</v>
      </c>
      <c r="R22" s="7">
        <f t="shared" si="9"/>
        <v>357.14285714285717</v>
      </c>
      <c r="S22" s="6">
        <f t="shared" si="10"/>
        <v>87</v>
      </c>
      <c r="T22" s="7">
        <f t="shared" si="11"/>
        <v>270.14285714285717</v>
      </c>
      <c r="U22" s="7">
        <f t="shared" si="12"/>
        <v>1178.5714285714284</v>
      </c>
      <c r="V22" s="7">
        <f t="shared" si="12"/>
        <v>240</v>
      </c>
      <c r="W22" s="7">
        <f t="shared" si="13"/>
        <v>938.57142857142844</v>
      </c>
      <c r="X22" s="7">
        <f t="shared" si="14"/>
        <v>7142.8571428571422</v>
      </c>
      <c r="Y22" s="7">
        <f t="shared" si="14"/>
        <v>1760</v>
      </c>
      <c r="Z22" s="7">
        <f t="shared" si="15"/>
        <v>5382.8571428571422</v>
      </c>
      <c r="AA22" s="24">
        <f t="shared" si="16"/>
        <v>0.93499752631778354</v>
      </c>
      <c r="AB22" s="1"/>
    </row>
    <row r="23" spans="2:28" ht="18" x14ac:dyDescent="0.25">
      <c r="B23" s="3">
        <v>19</v>
      </c>
      <c r="C23" s="5">
        <f>C24+37</f>
        <v>63594</v>
      </c>
      <c r="D23" s="5">
        <f>D24+50</f>
        <v>487181</v>
      </c>
      <c r="E23" s="5">
        <f>E24+18</f>
        <v>77073</v>
      </c>
      <c r="F23" s="8">
        <f t="shared" si="0"/>
        <v>627848</v>
      </c>
      <c r="G23" s="22">
        <f t="shared" si="1"/>
        <v>627784.5625</v>
      </c>
      <c r="H23" s="7">
        <f t="shared" si="2"/>
        <v>627794.97916666663</v>
      </c>
      <c r="I23" s="5">
        <f>I24+31</f>
        <v>214912</v>
      </c>
      <c r="J23" s="6">
        <f t="shared" si="3"/>
        <v>37</v>
      </c>
      <c r="K23" s="6">
        <f t="shared" si="3"/>
        <v>50</v>
      </c>
      <c r="L23" s="6">
        <f t="shared" si="3"/>
        <v>18</v>
      </c>
      <c r="M23" s="6">
        <f t="shared" si="4"/>
        <v>31</v>
      </c>
      <c r="N23" s="5">
        <f t="shared" si="5"/>
        <v>58.928571428571431</v>
      </c>
      <c r="O23" s="3">
        <f t="shared" si="6"/>
        <v>18</v>
      </c>
      <c r="P23" s="5">
        <f t="shared" si="7"/>
        <v>40.928571428571431</v>
      </c>
      <c r="Q23" s="5">
        <f t="shared" si="8"/>
        <v>10.416666666627862</v>
      </c>
      <c r="R23" s="7">
        <f t="shared" si="9"/>
        <v>357.14285714285717</v>
      </c>
      <c r="S23" s="6">
        <f t="shared" si="10"/>
        <v>105</v>
      </c>
      <c r="T23" s="7">
        <f t="shared" si="11"/>
        <v>252.14285714285717</v>
      </c>
      <c r="U23" s="7">
        <f t="shared" si="12"/>
        <v>1119.6428571428571</v>
      </c>
      <c r="V23" s="7">
        <f t="shared" si="12"/>
        <v>225</v>
      </c>
      <c r="W23" s="7">
        <f t="shared" si="13"/>
        <v>894.64285714285711</v>
      </c>
      <c r="X23" s="7">
        <f t="shared" si="14"/>
        <v>6785.7142857142853</v>
      </c>
      <c r="Y23" s="7">
        <f t="shared" si="14"/>
        <v>1673</v>
      </c>
      <c r="Z23" s="7">
        <f t="shared" si="15"/>
        <v>5112.7142857142853</v>
      </c>
      <c r="AA23" s="24">
        <f t="shared" si="16"/>
        <v>0.95907409879606198</v>
      </c>
      <c r="AB23" s="1"/>
    </row>
    <row r="24" spans="2:28" ht="18" x14ac:dyDescent="0.25">
      <c r="B24" s="3">
        <v>18</v>
      </c>
      <c r="C24" s="5">
        <f>C25+31</f>
        <v>63557</v>
      </c>
      <c r="D24" s="5">
        <f>D25+55</f>
        <v>487131</v>
      </c>
      <c r="E24" s="5">
        <f t="shared" si="19"/>
        <v>77055</v>
      </c>
      <c r="F24" s="9">
        <f>C24+D24+E24</f>
        <v>627743</v>
      </c>
      <c r="G24" s="22">
        <f t="shared" si="1"/>
        <v>627683.79166666663</v>
      </c>
      <c r="H24" s="7">
        <f t="shared" si="2"/>
        <v>627695.25</v>
      </c>
      <c r="I24" s="5">
        <f>I25+36</f>
        <v>214881</v>
      </c>
      <c r="J24" s="6">
        <f t="shared" si="3"/>
        <v>31</v>
      </c>
      <c r="K24" s="6">
        <f t="shared" si="3"/>
        <v>55</v>
      </c>
      <c r="L24" s="6">
        <f t="shared" si="3"/>
        <v>12</v>
      </c>
      <c r="M24" s="6">
        <f t="shared" si="4"/>
        <v>36</v>
      </c>
      <c r="N24" s="5">
        <f t="shared" si="5"/>
        <v>58.928571428571431</v>
      </c>
      <c r="O24" s="3">
        <f t="shared" si="6"/>
        <v>12</v>
      </c>
      <c r="P24" s="5">
        <f t="shared" si="7"/>
        <v>46.928571428571431</v>
      </c>
      <c r="Q24" s="5">
        <f t="shared" si="8"/>
        <v>11.458333333372138</v>
      </c>
      <c r="R24" s="7">
        <f t="shared" si="9"/>
        <v>357.14285714285717</v>
      </c>
      <c r="S24" s="6">
        <f t="shared" si="10"/>
        <v>98</v>
      </c>
      <c r="T24" s="7">
        <f t="shared" si="11"/>
        <v>259.14285714285717</v>
      </c>
      <c r="U24" s="7">
        <f t="shared" si="12"/>
        <v>1060.7142857142858</v>
      </c>
      <c r="V24" s="7">
        <f t="shared" si="12"/>
        <v>207</v>
      </c>
      <c r="W24" s="7">
        <f t="shared" si="13"/>
        <v>853.71428571428578</v>
      </c>
      <c r="X24" s="7">
        <f t="shared" si="14"/>
        <v>6428.5714285714284</v>
      </c>
      <c r="Y24" s="7">
        <f t="shared" si="14"/>
        <v>1568</v>
      </c>
      <c r="Z24" s="7">
        <f t="shared" si="15"/>
        <v>4860.5714285714284</v>
      </c>
      <c r="AA24" s="24">
        <f t="shared" si="16"/>
        <v>0.93866975951672837</v>
      </c>
      <c r="AB24" s="1"/>
    </row>
    <row r="25" spans="2:28" ht="18" x14ac:dyDescent="0.25">
      <c r="B25" s="3">
        <v>17</v>
      </c>
      <c r="C25" s="5">
        <f>C26+29</f>
        <v>63526</v>
      </c>
      <c r="D25" s="5">
        <f>D26+46</f>
        <v>487076</v>
      </c>
      <c r="E25" s="5">
        <f>E26+11</f>
        <v>77043</v>
      </c>
      <c r="F25" s="8">
        <f t="shared" si="0"/>
        <v>627645</v>
      </c>
      <c r="G25" s="22">
        <f t="shared" si="1"/>
        <v>627593.04166666663</v>
      </c>
      <c r="H25" s="7">
        <f t="shared" si="2"/>
        <v>627602.625</v>
      </c>
      <c r="I25" s="5">
        <f>I26+27</f>
        <v>214845</v>
      </c>
      <c r="J25" s="6">
        <f t="shared" si="3"/>
        <v>29</v>
      </c>
      <c r="K25" s="6">
        <f t="shared" si="3"/>
        <v>46</v>
      </c>
      <c r="L25" s="6">
        <f t="shared" si="3"/>
        <v>11</v>
      </c>
      <c r="M25" s="7">
        <f t="shared" si="4"/>
        <v>27</v>
      </c>
      <c r="N25" s="5">
        <f t="shared" si="5"/>
        <v>58.928571428571431</v>
      </c>
      <c r="O25" s="3">
        <f t="shared" si="6"/>
        <v>11</v>
      </c>
      <c r="P25" s="5">
        <f t="shared" si="7"/>
        <v>47.928571428571431</v>
      </c>
      <c r="Q25" s="5">
        <f t="shared" si="8"/>
        <v>9.5833333333721384</v>
      </c>
      <c r="R25" s="7">
        <f t="shared" si="9"/>
        <v>357.14285714285717</v>
      </c>
      <c r="S25" s="6">
        <f t="shared" si="10"/>
        <v>86</v>
      </c>
      <c r="T25" s="7">
        <f t="shared" si="11"/>
        <v>271.14285714285717</v>
      </c>
      <c r="U25" s="7">
        <f t="shared" si="12"/>
        <v>1001.7857142857144</v>
      </c>
      <c r="V25" s="6">
        <f t="shared" si="12"/>
        <v>195</v>
      </c>
      <c r="W25" s="7">
        <f t="shared" si="13"/>
        <v>806.78571428571445</v>
      </c>
      <c r="X25" s="7">
        <f t="shared" si="14"/>
        <v>6071.4285714285716</v>
      </c>
      <c r="Y25" s="7">
        <f t="shared" si="14"/>
        <v>1470</v>
      </c>
      <c r="Z25" s="7">
        <f t="shared" si="15"/>
        <v>4601.4285714285716</v>
      </c>
      <c r="AA25" s="24">
        <f t="shared" si="16"/>
        <v>0.95408433750739408</v>
      </c>
      <c r="AB25" s="1"/>
    </row>
    <row r="26" spans="2:28" ht="18" x14ac:dyDescent="0.25">
      <c r="B26" s="3">
        <v>16</v>
      </c>
      <c r="C26" s="5">
        <f>C27+35</f>
        <v>63497</v>
      </c>
      <c r="D26" s="5">
        <f t="shared" si="18"/>
        <v>487030</v>
      </c>
      <c r="E26" s="5">
        <f t="shared" si="19"/>
        <v>77032</v>
      </c>
      <c r="F26" s="8">
        <f t="shared" si="0"/>
        <v>627559</v>
      </c>
      <c r="G26" s="22">
        <f t="shared" si="1"/>
        <v>627504.02083333337</v>
      </c>
      <c r="H26" s="7">
        <f t="shared" si="2"/>
        <v>627513.1875</v>
      </c>
      <c r="I26" s="5">
        <f t="shared" si="20"/>
        <v>214818</v>
      </c>
      <c r="J26" s="6">
        <f t="shared" si="3"/>
        <v>35</v>
      </c>
      <c r="K26" s="6">
        <f t="shared" si="3"/>
        <v>44</v>
      </c>
      <c r="L26" s="6">
        <f t="shared" si="3"/>
        <v>12</v>
      </c>
      <c r="M26" s="7">
        <f t="shared" si="4"/>
        <v>32</v>
      </c>
      <c r="N26" s="5">
        <f t="shared" si="5"/>
        <v>58.928571428571431</v>
      </c>
      <c r="O26" s="3">
        <f t="shared" si="6"/>
        <v>12</v>
      </c>
      <c r="P26" s="5">
        <f t="shared" si="7"/>
        <v>46.928571428571431</v>
      </c>
      <c r="Q26" s="5">
        <f t="shared" si="8"/>
        <v>9.1666666666278616</v>
      </c>
      <c r="R26" s="7">
        <f t="shared" si="9"/>
        <v>357.14285714285717</v>
      </c>
      <c r="S26" s="6">
        <f t="shared" si="10"/>
        <v>91</v>
      </c>
      <c r="T26" s="7">
        <f t="shared" si="11"/>
        <v>266.14285714285717</v>
      </c>
      <c r="U26" s="7">
        <f t="shared" si="12"/>
        <v>942.857142857143</v>
      </c>
      <c r="V26" s="6">
        <f t="shared" si="12"/>
        <v>184</v>
      </c>
      <c r="W26" s="7">
        <f t="shared" si="13"/>
        <v>758.857142857143</v>
      </c>
      <c r="X26" s="7">
        <f t="shared" si="14"/>
        <v>5714.2857142857147</v>
      </c>
      <c r="Y26" s="7">
        <f t="shared" si="14"/>
        <v>1384</v>
      </c>
      <c r="Z26" s="7">
        <f t="shared" si="15"/>
        <v>4330.2857142857147</v>
      </c>
      <c r="AA26" s="24">
        <f t="shared" si="16"/>
        <v>0.94337248152774478</v>
      </c>
      <c r="AB26" s="1"/>
    </row>
    <row r="27" spans="2:28" ht="18" x14ac:dyDescent="0.25">
      <c r="B27" s="3">
        <v>15</v>
      </c>
      <c r="C27" s="5">
        <f>C28+33</f>
        <v>63462</v>
      </c>
      <c r="D27" s="5">
        <f>D28+47</f>
        <v>486986</v>
      </c>
      <c r="E27" s="5">
        <f>E28+15</f>
        <v>77020</v>
      </c>
      <c r="F27" s="8">
        <f t="shared" si="0"/>
        <v>627468</v>
      </c>
      <c r="G27" s="22">
        <f t="shared" si="1"/>
        <v>627410.60416666663</v>
      </c>
      <c r="H27" s="7">
        <f t="shared" si="2"/>
        <v>627420.39583333326</v>
      </c>
      <c r="I27" s="5">
        <f>I28+30</f>
        <v>214786</v>
      </c>
      <c r="J27" s="6">
        <f t="shared" si="3"/>
        <v>33</v>
      </c>
      <c r="K27" s="6">
        <f t="shared" si="3"/>
        <v>47</v>
      </c>
      <c r="L27" s="6">
        <f t="shared" si="3"/>
        <v>15</v>
      </c>
      <c r="M27" s="7">
        <f t="shared" si="4"/>
        <v>30</v>
      </c>
      <c r="N27" s="5">
        <f t="shared" si="5"/>
        <v>58.928571428571431</v>
      </c>
      <c r="O27" s="3">
        <f t="shared" si="6"/>
        <v>15</v>
      </c>
      <c r="P27" s="5">
        <f t="shared" si="7"/>
        <v>43.928571428571431</v>
      </c>
      <c r="Q27" s="5">
        <f t="shared" si="8"/>
        <v>9.7916666666278616</v>
      </c>
      <c r="R27" s="7">
        <f t="shared" si="9"/>
        <v>357.14285714285717</v>
      </c>
      <c r="S27" s="6">
        <f t="shared" si="10"/>
        <v>95</v>
      </c>
      <c r="T27" s="7">
        <f t="shared" si="11"/>
        <v>262.14285714285717</v>
      </c>
      <c r="U27" s="7">
        <f t="shared" si="12"/>
        <v>883.92857142857156</v>
      </c>
      <c r="V27" s="6">
        <f t="shared" si="12"/>
        <v>172</v>
      </c>
      <c r="W27" s="7">
        <f t="shared" si="13"/>
        <v>711.92857142857156</v>
      </c>
      <c r="X27" s="7">
        <f t="shared" si="14"/>
        <v>5357.1428571428578</v>
      </c>
      <c r="Y27" s="7">
        <f t="shared" si="14"/>
        <v>1293</v>
      </c>
      <c r="Z27" s="7">
        <f t="shared" si="15"/>
        <v>4064.1428571428578</v>
      </c>
      <c r="AA27" s="24">
        <f t="shared" si="16"/>
        <v>0.95358266513414158</v>
      </c>
      <c r="AB27" s="1"/>
    </row>
    <row r="28" spans="2:28" ht="18" x14ac:dyDescent="0.25">
      <c r="B28" s="3">
        <v>14</v>
      </c>
      <c r="C28" s="5">
        <f>C29+28</f>
        <v>63429</v>
      </c>
      <c r="D28" s="5">
        <f>D29+52</f>
        <v>486939</v>
      </c>
      <c r="E28" s="5">
        <f t="shared" si="19"/>
        <v>77005</v>
      </c>
      <c r="F28" s="8">
        <f t="shared" si="0"/>
        <v>627373</v>
      </c>
      <c r="G28" s="22">
        <f t="shared" si="1"/>
        <v>627317.41666666663</v>
      </c>
      <c r="H28" s="7">
        <f t="shared" si="2"/>
        <v>627328.25</v>
      </c>
      <c r="I28" s="5">
        <f>I29+39</f>
        <v>214756</v>
      </c>
      <c r="J28" s="6">
        <f t="shared" si="3"/>
        <v>28</v>
      </c>
      <c r="K28" s="6">
        <f t="shared" si="3"/>
        <v>52</v>
      </c>
      <c r="L28" s="6">
        <f t="shared" si="3"/>
        <v>12</v>
      </c>
      <c r="M28" s="7">
        <f t="shared" si="4"/>
        <v>39</v>
      </c>
      <c r="N28" s="5">
        <f t="shared" si="5"/>
        <v>58.928571428571431</v>
      </c>
      <c r="O28" s="3">
        <f t="shared" si="6"/>
        <v>12</v>
      </c>
      <c r="P28" s="5">
        <f t="shared" si="7"/>
        <v>46.928571428571431</v>
      </c>
      <c r="Q28" s="5">
        <f t="shared" si="8"/>
        <v>10.833333333372138</v>
      </c>
      <c r="R28" s="7">
        <f t="shared" si="9"/>
        <v>357.14285714285717</v>
      </c>
      <c r="S28" s="6">
        <f t="shared" si="10"/>
        <v>92</v>
      </c>
      <c r="T28" s="7">
        <f t="shared" si="11"/>
        <v>265.14285714285717</v>
      </c>
      <c r="U28" s="7">
        <f t="shared" si="12"/>
        <v>825.00000000000011</v>
      </c>
      <c r="V28" s="6">
        <f t="shared" si="12"/>
        <v>157</v>
      </c>
      <c r="W28" s="7">
        <f t="shared" si="13"/>
        <v>668.00000000000011</v>
      </c>
      <c r="X28" s="7">
        <f t="shared" si="14"/>
        <v>5000.0000000000009</v>
      </c>
      <c r="Y28" s="7">
        <f t="shared" si="14"/>
        <v>1198</v>
      </c>
      <c r="Z28" s="7">
        <f t="shared" si="15"/>
        <v>3802.0000000000009</v>
      </c>
      <c r="AA28" s="24">
        <f t="shared" si="16"/>
        <v>0.92069077722158776</v>
      </c>
      <c r="AB28" s="1"/>
    </row>
    <row r="29" spans="2:28" ht="18" x14ac:dyDescent="0.25">
      <c r="B29" s="3">
        <v>13</v>
      </c>
      <c r="C29" s="5">
        <f t="shared" si="21"/>
        <v>63401</v>
      </c>
      <c r="D29" s="5">
        <f t="shared" si="18"/>
        <v>486887</v>
      </c>
      <c r="E29" s="5">
        <f>E30+9</f>
        <v>76993</v>
      </c>
      <c r="F29" s="8">
        <f t="shared" si="0"/>
        <v>627281</v>
      </c>
      <c r="G29" s="22">
        <f t="shared" si="1"/>
        <v>627230.85416666663</v>
      </c>
      <c r="H29" s="7">
        <f t="shared" si="2"/>
        <v>627240.02083333326</v>
      </c>
      <c r="I29" s="5">
        <f>I30+30</f>
        <v>214717</v>
      </c>
      <c r="J29" s="6">
        <f t="shared" si="3"/>
        <v>30</v>
      </c>
      <c r="K29" s="6">
        <f t="shared" si="3"/>
        <v>44</v>
      </c>
      <c r="L29" s="6">
        <f t="shared" si="3"/>
        <v>9</v>
      </c>
      <c r="M29" s="6">
        <f t="shared" si="4"/>
        <v>30</v>
      </c>
      <c r="N29" s="5">
        <f t="shared" si="5"/>
        <v>58.928571428571431</v>
      </c>
      <c r="O29" s="3">
        <f t="shared" si="6"/>
        <v>9</v>
      </c>
      <c r="P29" s="5">
        <f t="shared" si="7"/>
        <v>49.928571428571431</v>
      </c>
      <c r="Q29" s="5">
        <f t="shared" si="8"/>
        <v>9.1666666666278616</v>
      </c>
      <c r="R29" s="7">
        <f t="shared" si="9"/>
        <v>357.14285714285717</v>
      </c>
      <c r="S29" s="6">
        <f t="shared" si="10"/>
        <v>83</v>
      </c>
      <c r="T29" s="7">
        <f t="shared" si="11"/>
        <v>274.14285714285717</v>
      </c>
      <c r="U29" s="7">
        <f t="shared" si="12"/>
        <v>766.07142857142867</v>
      </c>
      <c r="V29" s="6">
        <f t="shared" si="12"/>
        <v>145</v>
      </c>
      <c r="W29" s="7">
        <f t="shared" si="13"/>
        <v>621.07142857142867</v>
      </c>
      <c r="X29" s="7">
        <f t="shared" si="14"/>
        <v>4642.857142857144</v>
      </c>
      <c r="Y29" s="7">
        <f t="shared" si="14"/>
        <v>1106</v>
      </c>
      <c r="Z29" s="7">
        <f t="shared" si="15"/>
        <v>3536.857142857144</v>
      </c>
      <c r="AA29" s="24">
        <f t="shared" si="16"/>
        <v>0.94045331246065478</v>
      </c>
      <c r="AB29" s="1"/>
    </row>
    <row r="30" spans="2:28" ht="18" x14ac:dyDescent="0.25">
      <c r="B30" s="3">
        <v>12</v>
      </c>
      <c r="C30" s="5">
        <f>C31+37</f>
        <v>63371</v>
      </c>
      <c r="D30" s="5">
        <f>D31+42</f>
        <v>486843</v>
      </c>
      <c r="E30" s="5">
        <f>E31+14</f>
        <v>76984</v>
      </c>
      <c r="F30" s="8">
        <f t="shared" si="0"/>
        <v>627198</v>
      </c>
      <c r="G30" s="22">
        <f t="shared" si="1"/>
        <v>627141.8125</v>
      </c>
      <c r="H30" s="7">
        <f t="shared" si="2"/>
        <v>627150.5625</v>
      </c>
      <c r="I30" s="5">
        <f>I31+30</f>
        <v>214687</v>
      </c>
      <c r="J30" s="6">
        <f t="shared" si="3"/>
        <v>37</v>
      </c>
      <c r="K30" s="6">
        <f t="shared" si="3"/>
        <v>42</v>
      </c>
      <c r="L30" s="6">
        <f t="shared" si="3"/>
        <v>14</v>
      </c>
      <c r="M30" s="6">
        <f t="shared" si="4"/>
        <v>30</v>
      </c>
      <c r="N30" s="5">
        <f t="shared" si="5"/>
        <v>58.928571428571431</v>
      </c>
      <c r="O30" s="3">
        <f t="shared" si="6"/>
        <v>14</v>
      </c>
      <c r="P30" s="5">
        <f t="shared" si="7"/>
        <v>44.928571428571431</v>
      </c>
      <c r="Q30" s="5">
        <f t="shared" si="8"/>
        <v>8.75</v>
      </c>
      <c r="R30" s="7">
        <f t="shared" si="9"/>
        <v>357.14285714285717</v>
      </c>
      <c r="S30" s="6">
        <f t="shared" si="10"/>
        <v>93</v>
      </c>
      <c r="T30" s="7">
        <f t="shared" si="11"/>
        <v>264.14285714285717</v>
      </c>
      <c r="U30" s="7">
        <f t="shared" si="12"/>
        <v>707.14285714285722</v>
      </c>
      <c r="V30" s="6">
        <f t="shared" si="12"/>
        <v>136</v>
      </c>
      <c r="W30" s="7">
        <f t="shared" si="13"/>
        <v>571.14285714285722</v>
      </c>
      <c r="X30" s="7">
        <f t="shared" si="14"/>
        <v>4285.7142857142871</v>
      </c>
      <c r="Y30" s="7">
        <f t="shared" si="14"/>
        <v>1023</v>
      </c>
      <c r="Z30" s="7">
        <f t="shared" si="15"/>
        <v>3262.7142857142871</v>
      </c>
      <c r="AA30" s="24">
        <f t="shared" si="16"/>
        <v>0.95170861776055093</v>
      </c>
      <c r="AB30" s="1"/>
    </row>
    <row r="31" spans="2:28" ht="18" x14ac:dyDescent="0.25">
      <c r="B31" s="3">
        <v>11</v>
      </c>
      <c r="C31" s="5">
        <f>C32+39</f>
        <v>63334</v>
      </c>
      <c r="D31" s="5">
        <f>D32+40</f>
        <v>486801</v>
      </c>
      <c r="E31" s="5">
        <f t="shared" si="19"/>
        <v>76970</v>
      </c>
      <c r="F31" s="8">
        <f t="shared" si="0"/>
        <v>627105</v>
      </c>
      <c r="G31" s="22">
        <f t="shared" si="1"/>
        <v>627050.02083333337</v>
      </c>
      <c r="H31" s="7">
        <f t="shared" si="2"/>
        <v>627058.35416666674</v>
      </c>
      <c r="I31" s="5">
        <f>I32+32</f>
        <v>214657</v>
      </c>
      <c r="J31" s="6">
        <f t="shared" si="3"/>
        <v>39</v>
      </c>
      <c r="K31" s="6">
        <f t="shared" si="3"/>
        <v>40</v>
      </c>
      <c r="L31" s="6">
        <f t="shared" si="3"/>
        <v>12</v>
      </c>
      <c r="M31" s="6">
        <f t="shared" si="4"/>
        <v>32</v>
      </c>
      <c r="N31" s="5">
        <f t="shared" si="5"/>
        <v>58.928571428571431</v>
      </c>
      <c r="O31" s="3">
        <f t="shared" si="6"/>
        <v>12</v>
      </c>
      <c r="P31" s="5">
        <f t="shared" si="7"/>
        <v>46.928571428571431</v>
      </c>
      <c r="Q31" s="5">
        <f t="shared" si="8"/>
        <v>8.3333333333721384</v>
      </c>
      <c r="R31" s="7">
        <f t="shared" si="9"/>
        <v>357.14285714285717</v>
      </c>
      <c r="S31" s="6">
        <f t="shared" si="10"/>
        <v>91</v>
      </c>
      <c r="T31" s="7">
        <f t="shared" si="11"/>
        <v>266.14285714285717</v>
      </c>
      <c r="U31" s="7">
        <f t="shared" si="12"/>
        <v>648.21428571428578</v>
      </c>
      <c r="V31" s="6">
        <f t="shared" si="12"/>
        <v>122</v>
      </c>
      <c r="W31" s="7">
        <f t="shared" si="13"/>
        <v>526.21428571428578</v>
      </c>
      <c r="X31" s="7">
        <f t="shared" si="14"/>
        <v>3928.5714285714298</v>
      </c>
      <c r="Y31" s="7">
        <f t="shared" si="14"/>
        <v>930</v>
      </c>
      <c r="Z31" s="7">
        <f t="shared" si="15"/>
        <v>2998.5714285714298</v>
      </c>
      <c r="AA31" s="24">
        <f t="shared" si="16"/>
        <v>0.94337248152774478</v>
      </c>
      <c r="AB31" s="1"/>
    </row>
    <row r="32" spans="2:28" ht="18" x14ac:dyDescent="0.25">
      <c r="B32" s="3">
        <v>10</v>
      </c>
      <c r="C32" s="5">
        <f>C33+36</f>
        <v>63295</v>
      </c>
      <c r="D32" s="5">
        <f>D33+37</f>
        <v>486761</v>
      </c>
      <c r="E32" s="5">
        <f>E33+11</f>
        <v>76958</v>
      </c>
      <c r="F32" s="8">
        <f t="shared" si="0"/>
        <v>627014</v>
      </c>
      <c r="G32" s="22">
        <f t="shared" si="1"/>
        <v>626963.25</v>
      </c>
      <c r="H32" s="7">
        <f t="shared" si="2"/>
        <v>626970.95833333337</v>
      </c>
      <c r="I32" s="5">
        <f>I33+35</f>
        <v>214625</v>
      </c>
      <c r="J32" s="6">
        <f t="shared" si="3"/>
        <v>36</v>
      </c>
      <c r="K32" s="6">
        <f t="shared" si="3"/>
        <v>37</v>
      </c>
      <c r="L32" s="6">
        <f t="shared" si="3"/>
        <v>11</v>
      </c>
      <c r="M32" s="6">
        <f t="shared" si="4"/>
        <v>35</v>
      </c>
      <c r="N32" s="5">
        <f t="shared" si="5"/>
        <v>58.928571428571431</v>
      </c>
      <c r="O32" s="3">
        <f t="shared" si="6"/>
        <v>11</v>
      </c>
      <c r="P32" s="5">
        <f t="shared" si="7"/>
        <v>47.928571428571431</v>
      </c>
      <c r="Q32" s="5">
        <f t="shared" si="8"/>
        <v>7.7083333333721384</v>
      </c>
      <c r="R32" s="7">
        <f t="shared" si="9"/>
        <v>357.14285714285717</v>
      </c>
      <c r="S32" s="6">
        <f t="shared" si="10"/>
        <v>84</v>
      </c>
      <c r="T32" s="7">
        <f t="shared" si="11"/>
        <v>273.14285714285717</v>
      </c>
      <c r="U32" s="7">
        <f t="shared" si="12"/>
        <v>589.28571428571433</v>
      </c>
      <c r="V32" s="6">
        <f t="shared" si="12"/>
        <v>110</v>
      </c>
      <c r="W32" s="7">
        <f t="shared" si="13"/>
        <v>479.28571428571433</v>
      </c>
      <c r="X32" s="7">
        <f t="shared" si="14"/>
        <v>3571.4285714285725</v>
      </c>
      <c r="Y32" s="7">
        <f t="shared" si="14"/>
        <v>839</v>
      </c>
      <c r="Z32" s="7">
        <f t="shared" si="15"/>
        <v>2732.4285714285725</v>
      </c>
      <c r="AA32" s="24">
        <f t="shared" si="16"/>
        <v>0.92307692307692302</v>
      </c>
      <c r="AB32" s="1"/>
    </row>
    <row r="33" spans="2:28" ht="18" x14ac:dyDescent="0.25">
      <c r="B33" s="3">
        <v>9</v>
      </c>
      <c r="C33" s="5">
        <f>C34+24</f>
        <v>63259</v>
      </c>
      <c r="D33" s="5">
        <f>D34+43</f>
        <v>486724</v>
      </c>
      <c r="E33" s="5">
        <f>E34+10</f>
        <v>76947</v>
      </c>
      <c r="F33" s="8">
        <f t="shared" si="0"/>
        <v>626930</v>
      </c>
      <c r="G33" s="22">
        <f t="shared" si="1"/>
        <v>626883.47916666663</v>
      </c>
      <c r="H33" s="7">
        <f t="shared" si="2"/>
        <v>626892.4375</v>
      </c>
      <c r="I33" s="5">
        <f>I34+37</f>
        <v>214590</v>
      </c>
      <c r="J33" s="6">
        <f t="shared" si="3"/>
        <v>24</v>
      </c>
      <c r="K33" s="6">
        <f t="shared" si="3"/>
        <v>43</v>
      </c>
      <c r="L33" s="6">
        <f t="shared" si="3"/>
        <v>10</v>
      </c>
      <c r="M33" s="6">
        <f t="shared" si="4"/>
        <v>37</v>
      </c>
      <c r="N33" s="5">
        <f t="shared" si="5"/>
        <v>58.928571428571431</v>
      </c>
      <c r="O33" s="3">
        <f t="shared" si="6"/>
        <v>10</v>
      </c>
      <c r="P33" s="5">
        <f t="shared" si="7"/>
        <v>48.928571428571431</v>
      </c>
      <c r="Q33" s="5">
        <f t="shared" si="8"/>
        <v>8.9583333333721384</v>
      </c>
      <c r="R33" s="7">
        <f t="shared" si="9"/>
        <v>357.14285714285717</v>
      </c>
      <c r="S33" s="6">
        <f t="shared" si="10"/>
        <v>77</v>
      </c>
      <c r="T33" s="7">
        <f t="shared" si="11"/>
        <v>280.14285714285717</v>
      </c>
      <c r="U33" s="7">
        <f t="shared" si="12"/>
        <v>530.35714285714289</v>
      </c>
      <c r="V33" s="6">
        <f t="shared" si="12"/>
        <v>99</v>
      </c>
      <c r="W33" s="7">
        <f t="shared" si="13"/>
        <v>431.35714285714289</v>
      </c>
      <c r="X33" s="7">
        <f t="shared" si="14"/>
        <v>3214.2857142857151</v>
      </c>
      <c r="Y33" s="7">
        <f t="shared" si="14"/>
        <v>755</v>
      </c>
      <c r="Z33" s="7">
        <f t="shared" si="15"/>
        <v>2459.2857142857151</v>
      </c>
      <c r="AA33" s="24">
        <f t="shared" si="16"/>
        <v>0.90134031314407392</v>
      </c>
      <c r="AB33" s="1"/>
    </row>
    <row r="34" spans="2:28" ht="18" x14ac:dyDescent="0.25">
      <c r="B34" s="3">
        <v>8</v>
      </c>
      <c r="C34" s="5">
        <f>C35+26</f>
        <v>63235</v>
      </c>
      <c r="D34" s="5">
        <f>D35+51</f>
        <v>486681</v>
      </c>
      <c r="E34" s="5">
        <f>E35+8</f>
        <v>76937</v>
      </c>
      <c r="F34" s="8">
        <f t="shared" si="0"/>
        <v>626853</v>
      </c>
      <c r="G34" s="22">
        <f t="shared" si="1"/>
        <v>626801.64583333337</v>
      </c>
      <c r="H34" s="7">
        <f t="shared" si="2"/>
        <v>626812.27083333337</v>
      </c>
      <c r="I34" s="5">
        <f>I35+34</f>
        <v>214553</v>
      </c>
      <c r="J34" s="6">
        <f t="shared" si="3"/>
        <v>26</v>
      </c>
      <c r="K34" s="6">
        <f t="shared" si="3"/>
        <v>51</v>
      </c>
      <c r="L34" s="6">
        <f t="shared" si="3"/>
        <v>8</v>
      </c>
      <c r="M34" s="6">
        <f t="shared" si="4"/>
        <v>34</v>
      </c>
      <c r="N34" s="5">
        <f t="shared" si="5"/>
        <v>58.928571428571431</v>
      </c>
      <c r="O34" s="3">
        <f t="shared" si="6"/>
        <v>8</v>
      </c>
      <c r="P34" s="5">
        <f t="shared" si="7"/>
        <v>50.928571428571431</v>
      </c>
      <c r="Q34" s="5">
        <f t="shared" si="8"/>
        <v>10.625</v>
      </c>
      <c r="R34" s="7">
        <f t="shared" si="9"/>
        <v>357.14285714285717</v>
      </c>
      <c r="S34" s="6">
        <f t="shared" si="10"/>
        <v>85</v>
      </c>
      <c r="T34" s="7">
        <f t="shared" si="11"/>
        <v>272.14285714285717</v>
      </c>
      <c r="U34" s="7">
        <f t="shared" si="12"/>
        <v>471.4285714285715</v>
      </c>
      <c r="V34" s="6">
        <f t="shared" si="12"/>
        <v>89</v>
      </c>
      <c r="W34" s="7">
        <f t="shared" si="13"/>
        <v>382.4285714285715</v>
      </c>
      <c r="X34" s="7">
        <f t="shared" si="14"/>
        <v>2857.1428571428578</v>
      </c>
      <c r="Y34" s="7">
        <f t="shared" si="14"/>
        <v>678</v>
      </c>
      <c r="Z34" s="7">
        <f t="shared" si="15"/>
        <v>2179.1428571428578</v>
      </c>
      <c r="AA34" s="24">
        <f t="shared" si="16"/>
        <v>0.9284766908852593</v>
      </c>
      <c r="AB34" s="1"/>
    </row>
    <row r="35" spans="2:28" ht="18" x14ac:dyDescent="0.25">
      <c r="B35" s="3">
        <v>7</v>
      </c>
      <c r="C35" s="5">
        <f>C36+25</f>
        <v>63209</v>
      </c>
      <c r="D35" s="5">
        <f t="shared" si="18"/>
        <v>486630</v>
      </c>
      <c r="E35" s="5">
        <f t="shared" si="19"/>
        <v>76929</v>
      </c>
      <c r="F35" s="8">
        <f t="shared" si="0"/>
        <v>626768</v>
      </c>
      <c r="G35" s="22">
        <f t="shared" si="1"/>
        <v>626719.0625</v>
      </c>
      <c r="H35" s="7">
        <f t="shared" si="2"/>
        <v>626728.22916666663</v>
      </c>
      <c r="I35" s="5">
        <f>I36+36</f>
        <v>214519</v>
      </c>
      <c r="J35" s="6">
        <f t="shared" si="3"/>
        <v>25</v>
      </c>
      <c r="K35" s="6">
        <f t="shared" si="3"/>
        <v>44</v>
      </c>
      <c r="L35" s="6">
        <f t="shared" si="3"/>
        <v>12</v>
      </c>
      <c r="M35" s="6">
        <f t="shared" si="4"/>
        <v>36</v>
      </c>
      <c r="N35" s="5">
        <f t="shared" si="5"/>
        <v>58.928571428571431</v>
      </c>
      <c r="O35" s="3">
        <f t="shared" si="6"/>
        <v>12</v>
      </c>
      <c r="P35" s="5">
        <f t="shared" si="7"/>
        <v>46.928571428571431</v>
      </c>
      <c r="Q35" s="5">
        <f t="shared" si="8"/>
        <v>9.1666666666278616</v>
      </c>
      <c r="R35" s="7">
        <f t="shared" si="9"/>
        <v>357.14285714285717</v>
      </c>
      <c r="S35" s="6">
        <f t="shared" si="10"/>
        <v>81</v>
      </c>
      <c r="T35" s="7">
        <f t="shared" si="11"/>
        <v>276.14285714285717</v>
      </c>
      <c r="U35" s="7">
        <f t="shared" si="12"/>
        <v>412.50000000000006</v>
      </c>
      <c r="V35" s="6">
        <f t="shared" si="12"/>
        <v>81</v>
      </c>
      <c r="W35" s="7">
        <f t="shared" si="13"/>
        <v>331.50000000000006</v>
      </c>
      <c r="X35" s="7">
        <f t="shared" si="14"/>
        <v>2500.0000000000005</v>
      </c>
      <c r="Y35" s="7">
        <f t="shared" si="14"/>
        <v>593</v>
      </c>
      <c r="Z35" s="7">
        <f t="shared" si="15"/>
        <v>1907.0000000000005</v>
      </c>
      <c r="AA35" s="24">
        <f t="shared" si="16"/>
        <v>0.91381154862025715</v>
      </c>
      <c r="AB35" s="1"/>
    </row>
    <row r="36" spans="2:28" ht="18" x14ac:dyDescent="0.25">
      <c r="B36" s="3">
        <v>6</v>
      </c>
      <c r="C36" s="5">
        <f>C37+38</f>
        <v>63184</v>
      </c>
      <c r="D36" s="5">
        <f>D37+50</f>
        <v>486586</v>
      </c>
      <c r="E36" s="5">
        <f>E37+10</f>
        <v>76917</v>
      </c>
      <c r="F36" s="8">
        <f t="shared" si="0"/>
        <v>626687</v>
      </c>
      <c r="G36" s="22">
        <f>(C37+D37+E37)+((S36/24)*9.5)</f>
        <v>626627.79166666663</v>
      </c>
      <c r="H36" s="7">
        <f t="shared" si="2"/>
        <v>626638.20833333326</v>
      </c>
      <c r="I36" s="5">
        <f>I37+33</f>
        <v>214483</v>
      </c>
      <c r="J36" s="6">
        <f t="shared" si="3"/>
        <v>38</v>
      </c>
      <c r="K36" s="6">
        <f>D36-D37</f>
        <v>50</v>
      </c>
      <c r="L36" s="6">
        <f t="shared" si="3"/>
        <v>10</v>
      </c>
      <c r="M36" s="6">
        <f t="shared" si="4"/>
        <v>33</v>
      </c>
      <c r="N36" s="5">
        <f t="shared" si="5"/>
        <v>58.928571428571431</v>
      </c>
      <c r="O36" s="3">
        <f t="shared" si="6"/>
        <v>10</v>
      </c>
      <c r="P36" s="5">
        <f t="shared" si="7"/>
        <v>48.928571428571431</v>
      </c>
      <c r="Q36" s="5">
        <f t="shared" si="8"/>
        <v>10.416666666627862</v>
      </c>
      <c r="R36" s="7">
        <f t="shared" si="9"/>
        <v>357.14285714285717</v>
      </c>
      <c r="S36" s="6">
        <f t="shared" si="10"/>
        <v>98</v>
      </c>
      <c r="T36" s="7">
        <f t="shared" si="11"/>
        <v>259.14285714285717</v>
      </c>
      <c r="U36" s="7">
        <f t="shared" si="12"/>
        <v>353.57142857142861</v>
      </c>
      <c r="V36" s="6">
        <f t="shared" si="12"/>
        <v>69</v>
      </c>
      <c r="W36" s="7">
        <f t="shared" si="13"/>
        <v>284.57142857142861</v>
      </c>
      <c r="X36" s="7">
        <f t="shared" si="14"/>
        <v>2142.8571428571431</v>
      </c>
      <c r="Y36" s="7">
        <f t="shared" si="14"/>
        <v>512</v>
      </c>
      <c r="Z36" s="7">
        <f t="shared" si="15"/>
        <v>1630.8571428571431</v>
      </c>
      <c r="AA36" s="24">
        <f t="shared" si="16"/>
        <v>0.94771180917205966</v>
      </c>
      <c r="AB36" s="1"/>
    </row>
    <row r="37" spans="2:28" ht="18" x14ac:dyDescent="0.25">
      <c r="B37" s="3">
        <v>5</v>
      </c>
      <c r="C37" s="5">
        <f>C38+23</f>
        <v>63146</v>
      </c>
      <c r="D37" s="5">
        <f>D38+42</f>
        <v>486536</v>
      </c>
      <c r="E37" s="5">
        <f t="shared" si="19"/>
        <v>76907</v>
      </c>
      <c r="F37" s="8">
        <f>C37+D37+E37</f>
        <v>626589</v>
      </c>
      <c r="G37" s="22">
        <f t="shared" si="1"/>
        <v>626542.47916666663</v>
      </c>
      <c r="H37" s="7">
        <f t="shared" si="2"/>
        <v>626551.22916666663</v>
      </c>
      <c r="I37" s="5">
        <f>I38+31</f>
        <v>214450</v>
      </c>
      <c r="J37" s="6">
        <f t="shared" si="3"/>
        <v>23</v>
      </c>
      <c r="K37" s="6">
        <f>D37-D38</f>
        <v>42</v>
      </c>
      <c r="L37" s="6">
        <f t="shared" si="3"/>
        <v>12</v>
      </c>
      <c r="M37" s="6">
        <f t="shared" si="4"/>
        <v>31</v>
      </c>
      <c r="N37" s="5">
        <f t="shared" si="5"/>
        <v>58.928571428571431</v>
      </c>
      <c r="O37" s="3">
        <f t="shared" si="6"/>
        <v>12</v>
      </c>
      <c r="P37" s="5">
        <f t="shared" si="7"/>
        <v>46.928571428571431</v>
      </c>
      <c r="Q37" s="5">
        <f t="shared" si="8"/>
        <v>8.75</v>
      </c>
      <c r="R37" s="7">
        <f t="shared" si="9"/>
        <v>357.14285714285717</v>
      </c>
      <c r="S37" s="6">
        <f t="shared" si="10"/>
        <v>77</v>
      </c>
      <c r="T37" s="7">
        <f t="shared" si="11"/>
        <v>280.14285714285717</v>
      </c>
      <c r="U37" s="7">
        <f t="shared" si="12"/>
        <v>294.64285714285717</v>
      </c>
      <c r="V37" s="6">
        <f t="shared" si="12"/>
        <v>59</v>
      </c>
      <c r="W37" s="7">
        <f t="shared" si="13"/>
        <v>235.64285714285717</v>
      </c>
      <c r="X37" s="7">
        <f t="shared" si="14"/>
        <v>1785.7142857142858</v>
      </c>
      <c r="Y37" s="7">
        <f t="shared" si="14"/>
        <v>414</v>
      </c>
      <c r="Z37" s="7">
        <f t="shared" si="15"/>
        <v>1371.7142857142858</v>
      </c>
      <c r="AA37" s="24">
        <f t="shared" si="16"/>
        <v>0.92764351793754962</v>
      </c>
      <c r="AB37" s="1"/>
    </row>
    <row r="38" spans="2:28" ht="18" x14ac:dyDescent="0.25">
      <c r="B38" s="3">
        <v>4</v>
      </c>
      <c r="C38" s="5">
        <f>C39+27</f>
        <v>63123</v>
      </c>
      <c r="D38" s="5">
        <f>D39+49</f>
        <v>486494</v>
      </c>
      <c r="E38" s="5">
        <f>E39+11</f>
        <v>76895</v>
      </c>
      <c r="F38" s="8">
        <f t="shared" si="0"/>
        <v>626512</v>
      </c>
      <c r="G38" s="22">
        <f>(C39+D39+E39)+((S38/24)*9.5)</f>
        <v>626459.4375</v>
      </c>
      <c r="H38" s="7">
        <f t="shared" si="2"/>
        <v>626469.64583333337</v>
      </c>
      <c r="I38" s="5">
        <f>I39+29</f>
        <v>214419</v>
      </c>
      <c r="J38" s="6">
        <f>C38-C39</f>
        <v>27</v>
      </c>
      <c r="K38" s="6">
        <f t="shared" si="3"/>
        <v>49</v>
      </c>
      <c r="L38" s="6">
        <f t="shared" si="3"/>
        <v>11</v>
      </c>
      <c r="M38" s="6">
        <f t="shared" si="4"/>
        <v>29</v>
      </c>
      <c r="N38" s="5">
        <f t="shared" si="5"/>
        <v>58.928571428571431</v>
      </c>
      <c r="O38" s="3">
        <f t="shared" si="6"/>
        <v>11</v>
      </c>
      <c r="P38" s="5">
        <f t="shared" si="7"/>
        <v>47.928571428571431</v>
      </c>
      <c r="Q38" s="5">
        <f t="shared" si="8"/>
        <v>10.208333333372138</v>
      </c>
      <c r="R38" s="7">
        <f t="shared" si="9"/>
        <v>357.14285714285717</v>
      </c>
      <c r="S38" s="6">
        <f t="shared" si="10"/>
        <v>87</v>
      </c>
      <c r="T38" s="7">
        <f t="shared" si="11"/>
        <v>270.14285714285717</v>
      </c>
      <c r="U38" s="7">
        <f t="shared" si="12"/>
        <v>235.71428571428572</v>
      </c>
      <c r="V38" s="6">
        <f t="shared" si="12"/>
        <v>47</v>
      </c>
      <c r="W38" s="7">
        <f t="shared" si="13"/>
        <v>188.71428571428572</v>
      </c>
      <c r="X38" s="7">
        <f t="shared" si="14"/>
        <v>1428.5714285714287</v>
      </c>
      <c r="Y38" s="7">
        <f t="shared" si="14"/>
        <v>337</v>
      </c>
      <c r="Z38" s="7">
        <f t="shared" si="15"/>
        <v>1091.5714285714287</v>
      </c>
      <c r="AA38" s="24">
        <f t="shared" si="16"/>
        <v>0.94868329805051377</v>
      </c>
      <c r="AB38" s="1"/>
    </row>
    <row r="39" spans="2:28" ht="18" x14ac:dyDescent="0.25">
      <c r="B39" s="3">
        <v>3</v>
      </c>
      <c r="C39" s="5">
        <f>C40+22</f>
        <v>63096</v>
      </c>
      <c r="D39" s="5">
        <f>D40+47</f>
        <v>486445</v>
      </c>
      <c r="E39" s="5">
        <f>E40+14</f>
        <v>76884</v>
      </c>
      <c r="F39" s="8">
        <f>C39+D39+E39</f>
        <v>626425</v>
      </c>
      <c r="G39" s="22">
        <f t="shared" si="1"/>
        <v>626374.85416666663</v>
      </c>
      <c r="H39" s="7">
        <f t="shared" si="2"/>
        <v>626384.64583333326</v>
      </c>
      <c r="I39" s="5">
        <f>I40+34</f>
        <v>214390</v>
      </c>
      <c r="J39" s="6">
        <f>C39-C40</f>
        <v>22</v>
      </c>
      <c r="K39" s="6">
        <f t="shared" si="3"/>
        <v>47</v>
      </c>
      <c r="L39" s="6">
        <f t="shared" si="3"/>
        <v>14</v>
      </c>
      <c r="M39" s="6">
        <f t="shared" si="4"/>
        <v>34</v>
      </c>
      <c r="N39" s="5">
        <f t="shared" si="5"/>
        <v>58.928571428571431</v>
      </c>
      <c r="O39" s="3">
        <f t="shared" si="6"/>
        <v>14</v>
      </c>
      <c r="P39" s="5">
        <f t="shared" si="7"/>
        <v>44.928571428571431</v>
      </c>
      <c r="Q39" s="5">
        <f t="shared" si="8"/>
        <v>9.7916666666278616</v>
      </c>
      <c r="R39" s="7">
        <f t="shared" si="9"/>
        <v>357.14285714285717</v>
      </c>
      <c r="S39" s="6">
        <f t="shared" si="10"/>
        <v>83</v>
      </c>
      <c r="T39" s="7">
        <f t="shared" si="11"/>
        <v>274.14285714285717</v>
      </c>
      <c r="U39" s="7">
        <f t="shared" si="12"/>
        <v>176.78571428571428</v>
      </c>
      <c r="V39" s="6">
        <f t="shared" si="12"/>
        <v>36</v>
      </c>
      <c r="W39" s="7">
        <f t="shared" si="13"/>
        <v>140.78571428571428</v>
      </c>
      <c r="X39" s="7">
        <f t="shared" si="14"/>
        <v>1071.4285714285716</v>
      </c>
      <c r="Y39" s="7">
        <f t="shared" si="14"/>
        <v>250</v>
      </c>
      <c r="Z39" s="7">
        <f t="shared" si="15"/>
        <v>821.42857142857156</v>
      </c>
      <c r="AA39" s="24">
        <f t="shared" si="16"/>
        <v>0.92536925927098368</v>
      </c>
      <c r="AB39" s="1"/>
    </row>
    <row r="40" spans="2:28" ht="18" x14ac:dyDescent="0.25">
      <c r="B40" s="3">
        <v>2</v>
      </c>
      <c r="C40" s="5">
        <f>C41+25</f>
        <v>63074</v>
      </c>
      <c r="D40" s="5">
        <f>D41+46</f>
        <v>486398</v>
      </c>
      <c r="E40" s="5">
        <f>E41+10</f>
        <v>76870</v>
      </c>
      <c r="F40" s="8">
        <f t="shared" si="0"/>
        <v>626342</v>
      </c>
      <c r="G40" s="22">
        <f t="shared" si="1"/>
        <v>626293.0625</v>
      </c>
      <c r="H40" s="7">
        <f t="shared" si="2"/>
        <v>626302.64583333337</v>
      </c>
      <c r="I40" s="5">
        <f>I41+30</f>
        <v>214356</v>
      </c>
      <c r="J40" s="6">
        <f t="shared" si="3"/>
        <v>25</v>
      </c>
      <c r="K40" s="6">
        <f t="shared" si="3"/>
        <v>46</v>
      </c>
      <c r="L40" s="6">
        <f t="shared" si="3"/>
        <v>10</v>
      </c>
      <c r="M40" s="6">
        <f t="shared" si="4"/>
        <v>30</v>
      </c>
      <c r="N40" s="5">
        <f t="shared" si="5"/>
        <v>58.928571428571431</v>
      </c>
      <c r="O40" s="3">
        <f t="shared" si="6"/>
        <v>10</v>
      </c>
      <c r="P40" s="5">
        <f t="shared" si="7"/>
        <v>48.928571428571431</v>
      </c>
      <c r="Q40" s="5">
        <f t="shared" si="8"/>
        <v>9.5833333333721384</v>
      </c>
      <c r="R40" s="7">
        <f>R41</f>
        <v>357.14285714285717</v>
      </c>
      <c r="S40" s="6">
        <f t="shared" si="10"/>
        <v>81</v>
      </c>
      <c r="T40" s="7">
        <f t="shared" si="11"/>
        <v>276.14285714285717</v>
      </c>
      <c r="U40" s="7">
        <f t="shared" si="12"/>
        <v>117.85714285714286</v>
      </c>
      <c r="V40" s="6">
        <f t="shared" si="12"/>
        <v>22</v>
      </c>
      <c r="W40" s="7">
        <f t="shared" si="13"/>
        <v>95.857142857142861</v>
      </c>
      <c r="X40" s="7">
        <f t="shared" si="14"/>
        <v>714.28571428571433</v>
      </c>
      <c r="Y40" s="7">
        <f t="shared" si="14"/>
        <v>167</v>
      </c>
      <c r="Z40" s="7">
        <f t="shared" si="15"/>
        <v>547.28571428571433</v>
      </c>
      <c r="AA40" s="24">
        <f t="shared" si="16"/>
        <v>0.93774876072370361</v>
      </c>
      <c r="AB40" s="1"/>
    </row>
    <row r="41" spans="2:28" ht="18.75" thickBot="1" x14ac:dyDescent="0.3">
      <c r="B41" s="3">
        <v>1</v>
      </c>
      <c r="C41" s="5">
        <f>C42+30</f>
        <v>63049</v>
      </c>
      <c r="D41" s="5">
        <f>D42+44</f>
        <v>486352</v>
      </c>
      <c r="E41" s="5">
        <f>E42+12</f>
        <v>76860</v>
      </c>
      <c r="F41" s="8">
        <f t="shared" si="0"/>
        <v>626261</v>
      </c>
      <c r="G41" s="22">
        <f>(C42+D42+E42)+((S41/24)*9.5)</f>
        <v>626209.04166666663</v>
      </c>
      <c r="H41" s="7">
        <f>G41+((K41/12)*2.5)</f>
        <v>626218.20833333326</v>
      </c>
      <c r="I41" s="5">
        <f>I42+32</f>
        <v>214326</v>
      </c>
      <c r="J41" s="6">
        <f t="shared" si="3"/>
        <v>30</v>
      </c>
      <c r="K41" s="6">
        <f t="shared" si="3"/>
        <v>44</v>
      </c>
      <c r="L41" s="6">
        <f t="shared" si="3"/>
        <v>12</v>
      </c>
      <c r="M41" s="6">
        <f t="shared" si="4"/>
        <v>32</v>
      </c>
      <c r="N41" s="43">
        <f>O6/28</f>
        <v>58.928571428571431</v>
      </c>
      <c r="O41" s="3">
        <f t="shared" si="6"/>
        <v>12</v>
      </c>
      <c r="P41" s="5">
        <f t="shared" si="7"/>
        <v>46.928571428571431</v>
      </c>
      <c r="Q41" s="5">
        <f t="shared" si="8"/>
        <v>9.1666666666278616</v>
      </c>
      <c r="R41" s="45">
        <f>S6/28</f>
        <v>357.14285714285717</v>
      </c>
      <c r="S41" s="6">
        <f t="shared" si="10"/>
        <v>86</v>
      </c>
      <c r="T41" s="7">
        <f t="shared" si="11"/>
        <v>271.14285714285717</v>
      </c>
      <c r="U41" s="7">
        <f>N41</f>
        <v>58.928571428571431</v>
      </c>
      <c r="V41" s="6">
        <f>O41</f>
        <v>12</v>
      </c>
      <c r="W41" s="7">
        <f t="shared" si="13"/>
        <v>46.928571428571431</v>
      </c>
      <c r="X41" s="7">
        <f>R41</f>
        <v>357.14285714285717</v>
      </c>
      <c r="Y41" s="7">
        <f>S41</f>
        <v>86</v>
      </c>
      <c r="Z41" s="7">
        <f t="shared" si="15"/>
        <v>271.14285714285717</v>
      </c>
      <c r="AA41" s="24">
        <f t="shared" si="16"/>
        <v>0.93722185105756173</v>
      </c>
      <c r="AB41" s="1"/>
    </row>
    <row r="42" spans="2:28" ht="52.9" thickBot="1" x14ac:dyDescent="0.35">
      <c r="B42" s="33" t="s">
        <v>13</v>
      </c>
      <c r="C42" s="3">
        <v>63019</v>
      </c>
      <c r="D42" s="3">
        <v>486308</v>
      </c>
      <c r="E42" s="3">
        <v>76848</v>
      </c>
      <c r="F42" s="8">
        <v>626175</v>
      </c>
      <c r="G42" s="9">
        <v>626155.0625</v>
      </c>
      <c r="H42" s="9">
        <v>626155.0625</v>
      </c>
      <c r="I42" s="3">
        <v>214294</v>
      </c>
      <c r="J42" s="10"/>
      <c r="K42" s="10"/>
      <c r="L42" s="10"/>
      <c r="M42" s="46">
        <f>SUM(M14:M41)</f>
        <v>857</v>
      </c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58">
        <f>AVERAGE(AA14:AA41)</f>
        <v>0.92546895735990664</v>
      </c>
    </row>
    <row r="43" spans="2:28" ht="17.45" x14ac:dyDescent="0.3">
      <c r="B43" s="34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2:28" ht="17.45" x14ac:dyDescent="0.3">
      <c r="B44" s="10"/>
      <c r="C44" s="10"/>
      <c r="D44" s="10"/>
      <c r="E44" s="10"/>
      <c r="F44" s="10"/>
      <c r="G44" s="41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2:28" ht="17.45" x14ac:dyDescent="0.3"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50" spans="26:27" ht="17.45" x14ac:dyDescent="0.3">
      <c r="Z50" s="10" t="s">
        <v>38</v>
      </c>
    </row>
    <row r="51" spans="26:27" ht="18" x14ac:dyDescent="0.25">
      <c r="Z51" s="10" t="s">
        <v>44</v>
      </c>
      <c r="AA51" s="10"/>
    </row>
    <row r="52" spans="26:27" ht="17.45" x14ac:dyDescent="0.3">
      <c r="Z52" s="10" t="s">
        <v>45</v>
      </c>
      <c r="AA52" s="10"/>
    </row>
    <row r="53" spans="26:27" ht="17.45" x14ac:dyDescent="0.3">
      <c r="Z53" s="10" t="s">
        <v>12</v>
      </c>
      <c r="AA53" s="10"/>
    </row>
  </sheetData>
  <mergeCells count="9">
    <mergeCell ref="U7:W7"/>
    <mergeCell ref="X7:AA7"/>
    <mergeCell ref="AB7:AB8"/>
    <mergeCell ref="B7:B8"/>
    <mergeCell ref="C7:I7"/>
    <mergeCell ref="J7:M7"/>
    <mergeCell ref="N7:P7"/>
    <mergeCell ref="Q7:Q8"/>
    <mergeCell ref="R7:T7"/>
  </mergeCells>
  <printOptions horizontalCentered="1"/>
  <pageMargins left="0.25" right="0.25" top="0.75" bottom="0.75" header="0.3" footer="0.3"/>
  <pageSetup paperSize="9" scale="4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pageSetUpPr fitToPage="1"/>
  </sheetPr>
  <dimension ref="B2:AB55"/>
  <sheetViews>
    <sheetView tabSelected="1" zoomScale="85" zoomScaleNormal="85" zoomScaleSheetLayoutView="95" workbookViewId="0">
      <pane ySplit="1" topLeftCell="A3" activePane="bottomLeft" state="frozen"/>
      <selection pane="bottomLeft" activeCell="D14" sqref="D14"/>
    </sheetView>
  </sheetViews>
  <sheetFormatPr baseColWidth="10" defaultColWidth="11.42578125" defaultRowHeight="15" x14ac:dyDescent="0.25"/>
  <cols>
    <col min="1" max="2" width="11.42578125" customWidth="1"/>
    <col min="3" max="3" width="12.28515625" bestFit="1" customWidth="1"/>
    <col min="4" max="4" width="12.140625" customWidth="1"/>
    <col min="5" max="5" width="11.42578125" customWidth="1"/>
    <col min="6" max="7" width="13" customWidth="1"/>
    <col min="8" max="8" width="12" customWidth="1"/>
    <col min="9" max="9" width="12.28515625" bestFit="1" customWidth="1"/>
    <col min="11" max="11" width="14" customWidth="1"/>
    <col min="16" max="16" width="13.42578125" bestFit="1" customWidth="1"/>
    <col min="17" max="17" width="13.140625" customWidth="1"/>
    <col min="18" max="18" width="11.42578125" style="16"/>
    <col min="19" max="19" width="13.28515625" customWidth="1"/>
    <col min="20" max="20" width="14.7109375" bestFit="1" customWidth="1"/>
    <col min="21" max="21" width="11.7109375" bestFit="1" customWidth="1"/>
    <col min="22" max="22" width="13.28515625" bestFit="1" customWidth="1"/>
    <col min="23" max="23" width="12.5703125" bestFit="1" customWidth="1"/>
    <col min="24" max="24" width="11.5703125" bestFit="1" customWidth="1"/>
    <col min="25" max="25" width="14" bestFit="1" customWidth="1"/>
    <col min="26" max="26" width="13.42578125" bestFit="1" customWidth="1"/>
    <col min="27" max="27" width="15.140625" customWidth="1"/>
    <col min="28" max="28" width="16.140625" customWidth="1"/>
  </cols>
  <sheetData>
    <row r="2" spans="2:28" ht="15.75" customHeight="1" x14ac:dyDescent="0.25">
      <c r="G2" s="26" t="s">
        <v>29</v>
      </c>
    </row>
    <row r="3" spans="2:28" ht="15.75" customHeight="1" x14ac:dyDescent="0.25">
      <c r="G3" s="26" t="s">
        <v>28</v>
      </c>
    </row>
    <row r="4" spans="2:28" ht="15.75" customHeight="1" x14ac:dyDescent="0.3">
      <c r="G4" s="27" t="s">
        <v>30</v>
      </c>
      <c r="N4" s="28">
        <f>'Ciencia A'!N4</f>
        <v>45689</v>
      </c>
    </row>
    <row r="5" spans="2:28" x14ac:dyDescent="0.25">
      <c r="C5" s="81" t="s">
        <v>37</v>
      </c>
      <c r="D5" s="81"/>
      <c r="E5" s="81"/>
      <c r="T5" s="52"/>
      <c r="U5" s="52" t="s">
        <v>42</v>
      </c>
      <c r="V5" s="52" t="s">
        <v>43</v>
      </c>
      <c r="W5" s="42"/>
    </row>
    <row r="6" spans="2:28" ht="15.75" x14ac:dyDescent="0.25">
      <c r="N6" s="13" t="s">
        <v>27</v>
      </c>
      <c r="O6" s="29">
        <f>S6*16.5%</f>
        <v>895.95</v>
      </c>
      <c r="P6" s="30" t="s">
        <v>26</v>
      </c>
      <c r="Q6" s="11">
        <f>(S6*8)/100</f>
        <v>434.4</v>
      </c>
      <c r="R6" s="17" t="s">
        <v>25</v>
      </c>
      <c r="S6" s="11">
        <v>5430</v>
      </c>
      <c r="T6" s="52" t="s">
        <v>41</v>
      </c>
      <c r="U6" s="52">
        <v>395</v>
      </c>
      <c r="V6" s="51">
        <f>U6/31</f>
        <v>12.741935483870968</v>
      </c>
    </row>
    <row r="7" spans="2:28" ht="46.5" customHeight="1" x14ac:dyDescent="0.25">
      <c r="B7" s="84" t="s">
        <v>24</v>
      </c>
      <c r="C7" s="82" t="s">
        <v>9</v>
      </c>
      <c r="D7" s="82"/>
      <c r="E7" s="82"/>
      <c r="F7" s="82"/>
      <c r="G7" s="82"/>
      <c r="H7" s="82"/>
      <c r="I7" s="82"/>
      <c r="J7" s="82" t="s">
        <v>23</v>
      </c>
      <c r="K7" s="82"/>
      <c r="L7" s="82"/>
      <c r="M7" s="82"/>
      <c r="N7" s="82" t="s">
        <v>22</v>
      </c>
      <c r="O7" s="82"/>
      <c r="P7" s="82"/>
      <c r="Q7" s="83" t="s">
        <v>21</v>
      </c>
      <c r="R7" s="82" t="s">
        <v>20</v>
      </c>
      <c r="S7" s="82"/>
      <c r="T7" s="82"/>
      <c r="U7" s="82" t="s">
        <v>10</v>
      </c>
      <c r="V7" s="82"/>
      <c r="W7" s="82"/>
      <c r="X7" s="82" t="s">
        <v>11</v>
      </c>
      <c r="Y7" s="82"/>
      <c r="Z7" s="82"/>
      <c r="AA7" s="82"/>
      <c r="AB7" s="83" t="s">
        <v>8</v>
      </c>
    </row>
    <row r="8" spans="2:28" ht="30" x14ac:dyDescent="0.25">
      <c r="B8" s="84"/>
      <c r="C8" s="14" t="s">
        <v>1</v>
      </c>
      <c r="D8" s="14" t="s">
        <v>0</v>
      </c>
      <c r="E8" s="14" t="s">
        <v>2</v>
      </c>
      <c r="F8" s="14" t="s">
        <v>19</v>
      </c>
      <c r="G8" s="14" t="s">
        <v>18</v>
      </c>
      <c r="H8" s="14" t="s">
        <v>17</v>
      </c>
      <c r="I8" s="14" t="s">
        <v>3</v>
      </c>
      <c r="J8" s="14" t="s">
        <v>1</v>
      </c>
      <c r="K8" s="14" t="s">
        <v>0</v>
      </c>
      <c r="L8" s="14" t="s">
        <v>2</v>
      </c>
      <c r="M8" s="14" t="s">
        <v>3</v>
      </c>
      <c r="N8" s="14" t="s">
        <v>4</v>
      </c>
      <c r="O8" s="14" t="s">
        <v>5</v>
      </c>
      <c r="P8" s="14" t="s">
        <v>16</v>
      </c>
      <c r="Q8" s="83"/>
      <c r="R8" s="18" t="s">
        <v>6</v>
      </c>
      <c r="S8" s="14" t="s">
        <v>15</v>
      </c>
      <c r="T8" s="14" t="s">
        <v>16</v>
      </c>
      <c r="U8" s="14" t="s">
        <v>4</v>
      </c>
      <c r="V8" s="14" t="s">
        <v>5</v>
      </c>
      <c r="W8" s="14" t="s">
        <v>16</v>
      </c>
      <c r="X8" s="14" t="s">
        <v>6</v>
      </c>
      <c r="Y8" s="14" t="s">
        <v>15</v>
      </c>
      <c r="Z8" s="31" t="s">
        <v>14</v>
      </c>
      <c r="AA8" s="14" t="s">
        <v>7</v>
      </c>
      <c r="AB8" s="83"/>
    </row>
    <row r="9" spans="2:28" x14ac:dyDescent="0.25">
      <c r="B9" s="32"/>
      <c r="C9" s="2">
        <v>1</v>
      </c>
      <c r="D9" s="2">
        <v>2</v>
      </c>
      <c r="E9" s="2">
        <v>3</v>
      </c>
      <c r="F9" s="2"/>
      <c r="G9" s="2">
        <v>4</v>
      </c>
      <c r="H9" s="2">
        <v>5</v>
      </c>
      <c r="I9" s="2">
        <v>6</v>
      </c>
      <c r="J9" s="2">
        <v>7</v>
      </c>
      <c r="K9" s="2">
        <v>8</v>
      </c>
      <c r="L9" s="2">
        <v>9</v>
      </c>
      <c r="M9" s="2">
        <v>10</v>
      </c>
      <c r="N9" s="2">
        <v>11</v>
      </c>
      <c r="O9" s="2">
        <v>12</v>
      </c>
      <c r="P9" s="2">
        <v>13</v>
      </c>
      <c r="Q9" s="2">
        <v>14</v>
      </c>
      <c r="R9" s="19">
        <v>15</v>
      </c>
      <c r="S9" s="2">
        <v>16</v>
      </c>
      <c r="T9" s="2">
        <v>17</v>
      </c>
      <c r="U9" s="2">
        <v>18</v>
      </c>
      <c r="V9" s="2">
        <v>19</v>
      </c>
      <c r="W9" s="2">
        <v>20</v>
      </c>
      <c r="X9" s="2">
        <v>21</v>
      </c>
      <c r="Y9" s="2">
        <v>22</v>
      </c>
      <c r="Z9" s="2">
        <v>23</v>
      </c>
      <c r="AA9" s="2">
        <v>24</v>
      </c>
      <c r="AB9" s="2">
        <v>25</v>
      </c>
    </row>
    <row r="10" spans="2:28" ht="18" x14ac:dyDescent="0.25">
      <c r="B10" s="3"/>
      <c r="C10" s="3"/>
      <c r="D10" s="3"/>
      <c r="E10" s="3"/>
      <c r="F10" s="4"/>
      <c r="G10" s="4"/>
      <c r="H10" s="3"/>
      <c r="I10" s="3"/>
      <c r="J10" s="3"/>
      <c r="K10" s="3"/>
      <c r="L10" s="3"/>
      <c r="M10" s="3"/>
      <c r="N10" s="5"/>
      <c r="O10" s="5"/>
      <c r="P10" s="5"/>
      <c r="Q10" s="5"/>
      <c r="R10" s="20"/>
      <c r="S10" s="5"/>
      <c r="T10" s="3"/>
      <c r="U10" s="3"/>
      <c r="V10" s="3"/>
      <c r="W10" s="3"/>
      <c r="X10" s="3"/>
      <c r="Y10" s="3"/>
      <c r="Z10" s="3"/>
      <c r="AA10" s="3"/>
      <c r="AB10" s="2"/>
    </row>
    <row r="11" spans="2:28" s="68" customFormat="1" ht="18" x14ac:dyDescent="0.25">
      <c r="B11" s="59"/>
      <c r="C11" s="59"/>
      <c r="D11" s="59"/>
      <c r="E11" s="59"/>
      <c r="F11" s="61"/>
      <c r="G11" s="62"/>
      <c r="H11" s="60"/>
      <c r="I11" s="7"/>
      <c r="J11" s="63"/>
      <c r="K11" s="63"/>
      <c r="L11" s="63"/>
      <c r="M11" s="63"/>
      <c r="N11" s="64"/>
      <c r="O11" s="65"/>
      <c r="P11" s="64"/>
      <c r="Q11" s="64"/>
      <c r="R11" s="73"/>
      <c r="S11" s="63"/>
      <c r="T11" s="60"/>
      <c r="U11" s="60"/>
      <c r="V11" s="60"/>
      <c r="W11" s="60"/>
      <c r="X11" s="60"/>
      <c r="Y11" s="60"/>
      <c r="Z11" s="60"/>
      <c r="AA11" s="66"/>
      <c r="AB11" s="67"/>
    </row>
    <row r="12" spans="2:28" ht="18" x14ac:dyDescent="0.25">
      <c r="B12" s="3"/>
      <c r="C12" s="5"/>
      <c r="D12" s="5"/>
      <c r="E12" s="5"/>
      <c r="F12" s="8"/>
      <c r="G12" s="22"/>
      <c r="H12" s="7"/>
      <c r="I12" s="7"/>
      <c r="J12" s="6"/>
      <c r="K12" s="6"/>
      <c r="L12" s="6"/>
      <c r="M12" s="6"/>
      <c r="N12" s="5"/>
      <c r="O12" s="23"/>
      <c r="P12" s="5"/>
      <c r="Q12" s="5"/>
      <c r="R12" s="20"/>
      <c r="S12" s="6"/>
      <c r="T12" s="7"/>
      <c r="U12" s="7"/>
      <c r="V12" s="7"/>
      <c r="W12" s="7"/>
      <c r="X12" s="7"/>
      <c r="Y12" s="7"/>
      <c r="Z12" s="7"/>
      <c r="AA12" s="24"/>
      <c r="AB12" s="25"/>
    </row>
    <row r="13" spans="2:28" ht="18" x14ac:dyDescent="0.25">
      <c r="B13" s="3"/>
      <c r="C13" s="5"/>
      <c r="D13" s="5"/>
      <c r="E13" s="5"/>
      <c r="F13" s="8"/>
      <c r="G13" s="22"/>
      <c r="H13" s="7"/>
      <c r="I13" s="7"/>
      <c r="J13" s="6"/>
      <c r="K13" s="6"/>
      <c r="L13" s="6"/>
      <c r="M13" s="6"/>
      <c r="N13" s="5"/>
      <c r="O13" s="23"/>
      <c r="P13" s="5"/>
      <c r="Q13" s="5"/>
      <c r="R13" s="20"/>
      <c r="S13" s="6"/>
      <c r="T13" s="7"/>
      <c r="U13" s="7"/>
      <c r="V13" s="7"/>
      <c r="W13" s="7"/>
      <c r="X13" s="7"/>
      <c r="Y13" s="7"/>
      <c r="Z13" s="7"/>
      <c r="AA13" s="24"/>
      <c r="AB13" s="25"/>
    </row>
    <row r="14" spans="2:28" ht="17.45" x14ac:dyDescent="0.3">
      <c r="B14" s="3">
        <v>28</v>
      </c>
      <c r="C14" s="5">
        <v>156304</v>
      </c>
      <c r="D14" s="5">
        <v>1438205</v>
      </c>
      <c r="E14" s="5">
        <v>294821</v>
      </c>
      <c r="F14" s="8">
        <f t="shared" ref="F12:F41" si="0">C14+D14+E14</f>
        <v>1889330</v>
      </c>
      <c r="G14" s="22">
        <f t="shared" ref="G13:G40" si="1">(C15+D15+E15)+((S15/24)*3)</f>
        <v>1889297.125</v>
      </c>
      <c r="H14" s="7">
        <f t="shared" ref="H13:H40" si="2">G14+((K14/12)*1.5)</f>
        <v>1889299.5</v>
      </c>
      <c r="I14" s="7">
        <v>985625</v>
      </c>
      <c r="J14" s="7">
        <f>C14-C15</f>
        <v>12</v>
      </c>
      <c r="K14" s="6">
        <f t="shared" ref="J13:L41" si="3">D14-D15</f>
        <v>19</v>
      </c>
      <c r="L14" s="6">
        <f t="shared" si="3"/>
        <v>6</v>
      </c>
      <c r="M14" s="6">
        <f t="shared" ref="M13:M41" si="4">I14-I15</f>
        <v>27</v>
      </c>
      <c r="N14" s="5">
        <f t="shared" ref="N12:N40" si="5">N15</f>
        <v>31.998214285714287</v>
      </c>
      <c r="O14" s="23">
        <f t="shared" ref="O13:O41" si="6">L14</f>
        <v>6</v>
      </c>
      <c r="P14" s="5">
        <f t="shared" ref="P13:P41" si="7">N14-O14</f>
        <v>25.998214285714287</v>
      </c>
      <c r="Q14" s="5">
        <f t="shared" ref="Q13:Q41" si="8">H14-G14</f>
        <v>2.375</v>
      </c>
      <c r="R14" s="20">
        <f t="shared" ref="R12:R38" si="9">R15</f>
        <v>193.92857142857142</v>
      </c>
      <c r="S14" s="6">
        <f t="shared" ref="S13:S41" si="10">J14+K14+L14</f>
        <v>37</v>
      </c>
      <c r="T14" s="7">
        <f t="shared" ref="T13:T41" si="11">R14-S14</f>
        <v>156.92857142857142</v>
      </c>
      <c r="U14" s="7">
        <f t="shared" ref="U13:V40" si="12">U15+N14</f>
        <v>895.9500000000005</v>
      </c>
      <c r="V14" s="7">
        <f t="shared" si="12"/>
        <v>103</v>
      </c>
      <c r="W14" s="7">
        <f t="shared" ref="W13:W41" si="13">U14-V14</f>
        <v>792.9500000000005</v>
      </c>
      <c r="X14" s="7">
        <f t="shared" ref="X13:Y40" si="14">X15+R14</f>
        <v>5430.0000000000018</v>
      </c>
      <c r="Y14" s="7">
        <f t="shared" si="14"/>
        <v>1120</v>
      </c>
      <c r="Z14" s="7">
        <f t="shared" ref="Z13:Z41" si="15">X14-Y14</f>
        <v>4310.0000000000018</v>
      </c>
      <c r="AA14" s="24">
        <f t="shared" ref="AA13:AA41" si="16">COS(ATAN(M14/S14))</f>
        <v>0.80779094785920902</v>
      </c>
      <c r="AB14" s="25"/>
    </row>
    <row r="15" spans="2:28" ht="17.45" x14ac:dyDescent="0.3">
      <c r="B15" s="3">
        <v>27</v>
      </c>
      <c r="C15" s="5">
        <f>C16+14</f>
        <v>156292</v>
      </c>
      <c r="D15" s="5">
        <f>D16+10</f>
        <v>1438186</v>
      </c>
      <c r="E15" s="5">
        <f>E16+9</f>
        <v>294815</v>
      </c>
      <c r="F15" s="8">
        <f t="shared" si="0"/>
        <v>1889293</v>
      </c>
      <c r="G15" s="22">
        <f>(C16+D16+E16)+((S16/24)*3)</f>
        <v>1889264.875</v>
      </c>
      <c r="H15" s="7">
        <f t="shared" si="2"/>
        <v>1889266.125</v>
      </c>
      <c r="I15" s="7">
        <f>I16+22</f>
        <v>985598</v>
      </c>
      <c r="J15" s="6">
        <f t="shared" si="3"/>
        <v>14</v>
      </c>
      <c r="K15" s="6">
        <f>D15-D16</f>
        <v>10</v>
      </c>
      <c r="L15" s="6">
        <f t="shared" si="3"/>
        <v>9</v>
      </c>
      <c r="M15" s="6">
        <f t="shared" si="4"/>
        <v>22</v>
      </c>
      <c r="N15" s="5">
        <f t="shared" si="5"/>
        <v>31.998214285714287</v>
      </c>
      <c r="O15" s="23">
        <f t="shared" si="6"/>
        <v>9</v>
      </c>
      <c r="P15" s="5">
        <f t="shared" si="7"/>
        <v>22.998214285714287</v>
      </c>
      <c r="Q15" s="5">
        <f t="shared" si="8"/>
        <v>1.25</v>
      </c>
      <c r="R15" s="20">
        <f t="shared" si="9"/>
        <v>193.92857142857142</v>
      </c>
      <c r="S15" s="6">
        <f t="shared" si="10"/>
        <v>33</v>
      </c>
      <c r="T15" s="7">
        <f t="shared" si="11"/>
        <v>160.92857142857142</v>
      </c>
      <c r="U15" s="7">
        <f t="shared" si="12"/>
        <v>863.95178571428619</v>
      </c>
      <c r="V15" s="7">
        <f t="shared" si="12"/>
        <v>97</v>
      </c>
      <c r="W15" s="7">
        <f t="shared" si="13"/>
        <v>766.95178571428619</v>
      </c>
      <c r="X15" s="7">
        <f t="shared" si="14"/>
        <v>5236.0714285714303</v>
      </c>
      <c r="Y15" s="7">
        <f t="shared" si="14"/>
        <v>1083</v>
      </c>
      <c r="Z15" s="7">
        <f t="shared" si="15"/>
        <v>4153.0714285714303</v>
      </c>
      <c r="AA15" s="24">
        <f t="shared" si="16"/>
        <v>0.83205029433784372</v>
      </c>
      <c r="AB15" s="25"/>
    </row>
    <row r="16" spans="2:28" ht="18" x14ac:dyDescent="0.25">
      <c r="B16" s="3">
        <v>26</v>
      </c>
      <c r="C16" s="5">
        <f>C17+21</f>
        <v>156278</v>
      </c>
      <c r="D16" s="5">
        <f>D17+11</f>
        <v>1438176</v>
      </c>
      <c r="E16" s="5">
        <f>E17+7</f>
        <v>294806</v>
      </c>
      <c r="F16" s="8">
        <f>C16+D16+E16</f>
        <v>1889260</v>
      </c>
      <c r="G16" s="22">
        <f>(C17+D17+E17)+((S17/24)*3)</f>
        <v>1889229.75</v>
      </c>
      <c r="H16" s="7">
        <f t="shared" si="2"/>
        <v>1889231.125</v>
      </c>
      <c r="I16" s="7">
        <f>I17+24</f>
        <v>985576</v>
      </c>
      <c r="J16" s="6">
        <f t="shared" si="3"/>
        <v>21</v>
      </c>
      <c r="K16" s="6">
        <f>D16-D17</f>
        <v>11</v>
      </c>
      <c r="L16" s="6">
        <f t="shared" si="3"/>
        <v>7</v>
      </c>
      <c r="M16" s="6">
        <f t="shared" si="4"/>
        <v>24</v>
      </c>
      <c r="N16" s="5">
        <f t="shared" si="5"/>
        <v>31.998214285714287</v>
      </c>
      <c r="O16" s="23">
        <f t="shared" si="6"/>
        <v>7</v>
      </c>
      <c r="P16" s="5">
        <f t="shared" si="7"/>
        <v>24.998214285714287</v>
      </c>
      <c r="Q16" s="5">
        <f t="shared" si="8"/>
        <v>1.375</v>
      </c>
      <c r="R16" s="20">
        <f t="shared" si="9"/>
        <v>193.92857142857142</v>
      </c>
      <c r="S16" s="6">
        <f t="shared" si="10"/>
        <v>39</v>
      </c>
      <c r="T16" s="7">
        <f t="shared" si="11"/>
        <v>154.92857142857142</v>
      </c>
      <c r="U16" s="7">
        <f t="shared" si="12"/>
        <v>831.95357142857188</v>
      </c>
      <c r="V16" s="7">
        <f t="shared" si="12"/>
        <v>88</v>
      </c>
      <c r="W16" s="7">
        <f t="shared" si="13"/>
        <v>743.95357142857188</v>
      </c>
      <c r="X16" s="7">
        <f t="shared" si="14"/>
        <v>5042.1428571428587</v>
      </c>
      <c r="Y16" s="7">
        <f t="shared" si="14"/>
        <v>1050</v>
      </c>
      <c r="Z16" s="7">
        <f t="shared" si="15"/>
        <v>3992.1428571428587</v>
      </c>
      <c r="AA16" s="24">
        <f t="shared" si="16"/>
        <v>0.85165831670454384</v>
      </c>
      <c r="AB16" s="25"/>
    </row>
    <row r="17" spans="2:28" ht="18" x14ac:dyDescent="0.25">
      <c r="B17" s="3">
        <v>25</v>
      </c>
      <c r="C17" s="5">
        <v>156257</v>
      </c>
      <c r="D17" s="5">
        <v>1438165</v>
      </c>
      <c r="E17" s="5">
        <v>294799</v>
      </c>
      <c r="F17" s="8">
        <f>C17+D17+E17</f>
        <v>1889221</v>
      </c>
      <c r="G17" s="22">
        <f>(C18+D18+E18)+((S18/24)*3)</f>
        <v>1889154.625</v>
      </c>
      <c r="H17" s="7">
        <f t="shared" si="2"/>
        <v>1889158.375</v>
      </c>
      <c r="I17" s="7">
        <v>985552</v>
      </c>
      <c r="J17" s="6">
        <f t="shared" si="3"/>
        <v>35</v>
      </c>
      <c r="K17" s="6">
        <f>D17-D18</f>
        <v>30</v>
      </c>
      <c r="L17" s="6">
        <f t="shared" si="3"/>
        <v>5</v>
      </c>
      <c r="M17" s="6">
        <f t="shared" si="4"/>
        <v>55</v>
      </c>
      <c r="N17" s="5">
        <f t="shared" si="5"/>
        <v>31.998214285714287</v>
      </c>
      <c r="O17" s="23">
        <f t="shared" si="6"/>
        <v>5</v>
      </c>
      <c r="P17" s="5">
        <f t="shared" si="7"/>
        <v>26.998214285714287</v>
      </c>
      <c r="Q17" s="5">
        <f t="shared" si="8"/>
        <v>3.75</v>
      </c>
      <c r="R17" s="20">
        <f t="shared" si="9"/>
        <v>193.92857142857142</v>
      </c>
      <c r="S17" s="6">
        <f t="shared" si="10"/>
        <v>70</v>
      </c>
      <c r="T17" s="7">
        <f t="shared" si="11"/>
        <v>123.92857142857142</v>
      </c>
      <c r="U17" s="7">
        <f t="shared" si="12"/>
        <v>799.95535714285757</v>
      </c>
      <c r="V17" s="7">
        <f t="shared" si="12"/>
        <v>81</v>
      </c>
      <c r="W17" s="7">
        <f t="shared" si="13"/>
        <v>718.95535714285757</v>
      </c>
      <c r="X17" s="7">
        <f t="shared" si="14"/>
        <v>4848.2142857142871</v>
      </c>
      <c r="Y17" s="7">
        <f t="shared" si="14"/>
        <v>1011</v>
      </c>
      <c r="Z17" s="7">
        <f t="shared" si="15"/>
        <v>3837.2142857142871</v>
      </c>
      <c r="AA17" s="24">
        <f t="shared" si="16"/>
        <v>0.78631833882242264</v>
      </c>
      <c r="AB17" s="25"/>
    </row>
    <row r="18" spans="2:28" ht="18" x14ac:dyDescent="0.25">
      <c r="B18" s="3">
        <v>24</v>
      </c>
      <c r="C18" s="5">
        <f>C19+16</f>
        <v>156222</v>
      </c>
      <c r="D18" s="5">
        <f>D19+13</f>
        <v>1438135</v>
      </c>
      <c r="E18" s="5">
        <v>294794</v>
      </c>
      <c r="F18" s="8">
        <f t="shared" si="0"/>
        <v>1889151</v>
      </c>
      <c r="G18" s="22">
        <f t="shared" si="1"/>
        <v>1889125.75</v>
      </c>
      <c r="H18" s="7">
        <f t="shared" si="2"/>
        <v>1889127.375</v>
      </c>
      <c r="I18" s="7">
        <f>I19+43</f>
        <v>985497</v>
      </c>
      <c r="J18" s="6">
        <f t="shared" si="3"/>
        <v>16</v>
      </c>
      <c r="K18" s="6">
        <f t="shared" si="3"/>
        <v>13</v>
      </c>
      <c r="L18" s="6">
        <f t="shared" si="3"/>
        <v>0</v>
      </c>
      <c r="M18" s="6">
        <f t="shared" si="4"/>
        <v>43</v>
      </c>
      <c r="N18" s="5">
        <f t="shared" si="5"/>
        <v>31.998214285714287</v>
      </c>
      <c r="O18" s="23">
        <f t="shared" si="6"/>
        <v>0</v>
      </c>
      <c r="P18" s="5">
        <f t="shared" si="7"/>
        <v>31.998214285714287</v>
      </c>
      <c r="Q18" s="5">
        <f t="shared" si="8"/>
        <v>1.625</v>
      </c>
      <c r="R18" s="20">
        <f t="shared" si="9"/>
        <v>193.92857142857142</v>
      </c>
      <c r="S18" s="6">
        <f t="shared" si="10"/>
        <v>29</v>
      </c>
      <c r="T18" s="7">
        <f t="shared" si="11"/>
        <v>164.92857142857142</v>
      </c>
      <c r="U18" s="7">
        <f t="shared" si="12"/>
        <v>767.95714285714325</v>
      </c>
      <c r="V18" s="7">
        <f t="shared" si="12"/>
        <v>76</v>
      </c>
      <c r="W18" s="7">
        <f t="shared" si="13"/>
        <v>691.95714285714325</v>
      </c>
      <c r="X18" s="7">
        <f t="shared" si="14"/>
        <v>4654.2857142857156</v>
      </c>
      <c r="Y18" s="7">
        <f t="shared" si="14"/>
        <v>941</v>
      </c>
      <c r="Z18" s="7">
        <f t="shared" si="15"/>
        <v>3713.2857142857156</v>
      </c>
      <c r="AA18" s="24">
        <f t="shared" si="16"/>
        <v>0.55914166827778178</v>
      </c>
      <c r="AB18" s="25"/>
    </row>
    <row r="19" spans="2:28" ht="18" x14ac:dyDescent="0.25">
      <c r="B19" s="3">
        <v>23</v>
      </c>
      <c r="C19" s="5">
        <f>C20+15</f>
        <v>156206</v>
      </c>
      <c r="D19" s="5">
        <f>D20+15</f>
        <v>1438122</v>
      </c>
      <c r="E19" s="5">
        <v>294794</v>
      </c>
      <c r="F19" s="8">
        <f t="shared" si="0"/>
        <v>1889122</v>
      </c>
      <c r="G19" s="22">
        <f t="shared" si="1"/>
        <v>1889096.75</v>
      </c>
      <c r="H19" s="7">
        <f t="shared" si="2"/>
        <v>1889098.625</v>
      </c>
      <c r="I19" s="7">
        <f>I20+36</f>
        <v>985454</v>
      </c>
      <c r="J19" s="6">
        <f t="shared" si="3"/>
        <v>15</v>
      </c>
      <c r="K19" s="6">
        <f t="shared" si="3"/>
        <v>15</v>
      </c>
      <c r="L19" s="6">
        <f t="shared" si="3"/>
        <v>0</v>
      </c>
      <c r="M19" s="6">
        <f t="shared" si="4"/>
        <v>36</v>
      </c>
      <c r="N19" s="5">
        <f t="shared" si="5"/>
        <v>31.998214285714287</v>
      </c>
      <c r="O19" s="3">
        <f t="shared" si="6"/>
        <v>0</v>
      </c>
      <c r="P19" s="5">
        <f t="shared" si="7"/>
        <v>31.998214285714287</v>
      </c>
      <c r="Q19" s="5">
        <f t="shared" si="8"/>
        <v>1.875</v>
      </c>
      <c r="R19" s="20">
        <f t="shared" si="9"/>
        <v>193.92857142857142</v>
      </c>
      <c r="S19" s="6">
        <f t="shared" si="10"/>
        <v>30</v>
      </c>
      <c r="T19" s="7">
        <f t="shared" si="11"/>
        <v>163.92857142857142</v>
      </c>
      <c r="U19" s="7">
        <f t="shared" si="12"/>
        <v>735.95892857142894</v>
      </c>
      <c r="V19" s="7">
        <f t="shared" si="12"/>
        <v>76</v>
      </c>
      <c r="W19" s="7">
        <f t="shared" si="13"/>
        <v>659.95892857142894</v>
      </c>
      <c r="X19" s="7">
        <f t="shared" si="14"/>
        <v>4460.357142857144</v>
      </c>
      <c r="Y19" s="7">
        <f t="shared" si="14"/>
        <v>912</v>
      </c>
      <c r="Z19" s="7">
        <f t="shared" si="15"/>
        <v>3548.357142857144</v>
      </c>
      <c r="AA19" s="24">
        <f t="shared" si="16"/>
        <v>0.64018439966447982</v>
      </c>
      <c r="AB19" s="1"/>
    </row>
    <row r="20" spans="2:28" ht="18" x14ac:dyDescent="0.25">
      <c r="B20" s="3">
        <v>22</v>
      </c>
      <c r="C20" s="5">
        <f>C21+20</f>
        <v>156191</v>
      </c>
      <c r="D20" s="5">
        <f>D21+18</f>
        <v>1438107</v>
      </c>
      <c r="E20" s="5">
        <v>294794</v>
      </c>
      <c r="F20" s="8">
        <f t="shared" si="0"/>
        <v>1889092</v>
      </c>
      <c r="G20" s="22">
        <f t="shared" si="1"/>
        <v>1889058.375</v>
      </c>
      <c r="H20" s="7">
        <f t="shared" si="2"/>
        <v>1889060.625</v>
      </c>
      <c r="I20" s="7">
        <f>I21+28</f>
        <v>985418</v>
      </c>
      <c r="J20" s="6">
        <f t="shared" si="3"/>
        <v>20</v>
      </c>
      <c r="K20" s="6">
        <f t="shared" si="3"/>
        <v>18</v>
      </c>
      <c r="L20" s="6">
        <f t="shared" si="3"/>
        <v>0</v>
      </c>
      <c r="M20" s="6">
        <f t="shared" si="4"/>
        <v>28</v>
      </c>
      <c r="N20" s="5">
        <f t="shared" si="5"/>
        <v>31.998214285714287</v>
      </c>
      <c r="O20" s="3">
        <f t="shared" si="6"/>
        <v>0</v>
      </c>
      <c r="P20" s="5">
        <f t="shared" si="7"/>
        <v>31.998214285714287</v>
      </c>
      <c r="Q20" s="5">
        <f t="shared" si="8"/>
        <v>2.25</v>
      </c>
      <c r="R20" s="20">
        <f t="shared" si="9"/>
        <v>193.92857142857142</v>
      </c>
      <c r="S20" s="6">
        <f t="shared" si="10"/>
        <v>38</v>
      </c>
      <c r="T20" s="7">
        <f t="shared" si="11"/>
        <v>155.92857142857142</v>
      </c>
      <c r="U20" s="7">
        <f t="shared" si="12"/>
        <v>703.96071428571463</v>
      </c>
      <c r="V20" s="7">
        <f t="shared" si="12"/>
        <v>76</v>
      </c>
      <c r="W20" s="7">
        <f t="shared" si="13"/>
        <v>627.96071428571463</v>
      </c>
      <c r="X20" s="7">
        <f t="shared" si="14"/>
        <v>4266.4285714285725</v>
      </c>
      <c r="Y20" s="7">
        <f t="shared" si="14"/>
        <v>882</v>
      </c>
      <c r="Z20" s="7">
        <f t="shared" si="15"/>
        <v>3384.4285714285725</v>
      </c>
      <c r="AA20" s="24">
        <f t="shared" si="16"/>
        <v>0.80505583735336805</v>
      </c>
      <c r="AB20" s="1"/>
    </row>
    <row r="21" spans="2:28" ht="18" x14ac:dyDescent="0.25">
      <c r="B21" s="3">
        <v>21</v>
      </c>
      <c r="C21" s="5">
        <f>C22+16</f>
        <v>156171</v>
      </c>
      <c r="D21" s="5">
        <f>D22+14</f>
        <v>1438089</v>
      </c>
      <c r="E21" s="5">
        <f t="shared" ref="E21" si="17">E22+5</f>
        <v>294794</v>
      </c>
      <c r="F21" s="8">
        <f t="shared" si="0"/>
        <v>1889054</v>
      </c>
      <c r="G21" s="22">
        <f t="shared" si="1"/>
        <v>1889023.25</v>
      </c>
      <c r="H21" s="7">
        <f t="shared" si="2"/>
        <v>1889025</v>
      </c>
      <c r="I21" s="7">
        <f>I22+22</f>
        <v>985390</v>
      </c>
      <c r="J21" s="6">
        <f t="shared" si="3"/>
        <v>16</v>
      </c>
      <c r="K21" s="6">
        <f t="shared" si="3"/>
        <v>14</v>
      </c>
      <c r="L21" s="6">
        <f t="shared" si="3"/>
        <v>5</v>
      </c>
      <c r="M21" s="6">
        <f t="shared" si="4"/>
        <v>22</v>
      </c>
      <c r="N21" s="5">
        <f t="shared" si="5"/>
        <v>31.998214285714287</v>
      </c>
      <c r="O21" s="3">
        <f t="shared" si="6"/>
        <v>5</v>
      </c>
      <c r="P21" s="5">
        <f t="shared" si="7"/>
        <v>26.998214285714287</v>
      </c>
      <c r="Q21" s="5">
        <f t="shared" si="8"/>
        <v>1.75</v>
      </c>
      <c r="R21" s="20">
        <f t="shared" si="9"/>
        <v>193.92857142857142</v>
      </c>
      <c r="S21" s="6">
        <f t="shared" si="10"/>
        <v>35</v>
      </c>
      <c r="T21" s="7">
        <f t="shared" si="11"/>
        <v>158.92857142857142</v>
      </c>
      <c r="U21" s="7">
        <f t="shared" si="12"/>
        <v>671.96250000000032</v>
      </c>
      <c r="V21" s="7">
        <f t="shared" si="12"/>
        <v>76</v>
      </c>
      <c r="W21" s="7">
        <f t="shared" si="13"/>
        <v>595.96250000000032</v>
      </c>
      <c r="X21" s="7">
        <f t="shared" si="14"/>
        <v>4072.5000000000009</v>
      </c>
      <c r="Y21" s="7">
        <f t="shared" si="14"/>
        <v>844</v>
      </c>
      <c r="Z21" s="7">
        <f t="shared" si="15"/>
        <v>3228.5000000000009</v>
      </c>
      <c r="AA21" s="24">
        <f t="shared" si="16"/>
        <v>0.84663654921100473</v>
      </c>
      <c r="AB21" s="1"/>
    </row>
    <row r="22" spans="2:28" ht="18" x14ac:dyDescent="0.25">
      <c r="B22" s="3">
        <v>20</v>
      </c>
      <c r="C22" s="5">
        <f>C23+17</f>
        <v>156155</v>
      </c>
      <c r="D22" s="5">
        <f>D23+17</f>
        <v>1438075</v>
      </c>
      <c r="E22" s="5">
        <v>294789</v>
      </c>
      <c r="F22" s="9">
        <f>C22+D22+E22</f>
        <v>1889019</v>
      </c>
      <c r="G22" s="22">
        <f t="shared" si="1"/>
        <v>1888989.125</v>
      </c>
      <c r="H22" s="7">
        <f t="shared" si="2"/>
        <v>1888991.25</v>
      </c>
      <c r="I22" s="7">
        <f>I23+17</f>
        <v>985368</v>
      </c>
      <c r="J22" s="6">
        <f t="shared" si="3"/>
        <v>17</v>
      </c>
      <c r="K22" s="6">
        <f t="shared" si="3"/>
        <v>17</v>
      </c>
      <c r="L22" s="6">
        <f t="shared" si="3"/>
        <v>0</v>
      </c>
      <c r="M22" s="6">
        <f t="shared" si="4"/>
        <v>17</v>
      </c>
      <c r="N22" s="5">
        <f t="shared" si="5"/>
        <v>31.998214285714287</v>
      </c>
      <c r="O22" s="3">
        <f t="shared" si="6"/>
        <v>0</v>
      </c>
      <c r="P22" s="5">
        <f t="shared" si="7"/>
        <v>31.998214285714287</v>
      </c>
      <c r="Q22" s="5">
        <f t="shared" si="8"/>
        <v>2.125</v>
      </c>
      <c r="R22" s="20">
        <f t="shared" si="9"/>
        <v>193.92857142857142</v>
      </c>
      <c r="S22" s="6">
        <f t="shared" si="10"/>
        <v>34</v>
      </c>
      <c r="T22" s="7">
        <f t="shared" si="11"/>
        <v>159.92857142857142</v>
      </c>
      <c r="U22" s="7">
        <f t="shared" si="12"/>
        <v>639.96428571428601</v>
      </c>
      <c r="V22" s="7">
        <f t="shared" si="12"/>
        <v>71</v>
      </c>
      <c r="W22" s="7">
        <f t="shared" si="13"/>
        <v>568.96428571428601</v>
      </c>
      <c r="X22" s="7">
        <f t="shared" si="14"/>
        <v>3878.5714285714294</v>
      </c>
      <c r="Y22" s="7">
        <f t="shared" si="14"/>
        <v>809</v>
      </c>
      <c r="Z22" s="7">
        <f t="shared" si="15"/>
        <v>3069.5714285714294</v>
      </c>
      <c r="AA22" s="24">
        <f t="shared" si="16"/>
        <v>0.89442719099991586</v>
      </c>
      <c r="AB22" s="1"/>
    </row>
    <row r="23" spans="2:28" ht="18" x14ac:dyDescent="0.25">
      <c r="B23" s="3">
        <v>19</v>
      </c>
      <c r="C23" s="5">
        <f>C24+18</f>
        <v>156138</v>
      </c>
      <c r="D23" s="5">
        <f>D24+15</f>
        <v>1438058</v>
      </c>
      <c r="E23" s="5">
        <v>294789</v>
      </c>
      <c r="F23" s="8">
        <f t="shared" si="0"/>
        <v>1888985</v>
      </c>
      <c r="G23" s="22">
        <f t="shared" si="1"/>
        <v>1888956.5</v>
      </c>
      <c r="H23" s="7">
        <f t="shared" si="2"/>
        <v>1888958.375</v>
      </c>
      <c r="I23" s="7">
        <f t="shared" ref="I23" si="18">I24+20</f>
        <v>985351</v>
      </c>
      <c r="J23" s="6">
        <f t="shared" si="3"/>
        <v>18</v>
      </c>
      <c r="K23" s="6">
        <f t="shared" si="3"/>
        <v>15</v>
      </c>
      <c r="L23" s="6">
        <f t="shared" si="3"/>
        <v>0</v>
      </c>
      <c r="M23" s="6">
        <f t="shared" si="4"/>
        <v>20</v>
      </c>
      <c r="N23" s="5">
        <f t="shared" si="5"/>
        <v>31.998214285714287</v>
      </c>
      <c r="O23" s="3">
        <f t="shared" si="6"/>
        <v>0</v>
      </c>
      <c r="P23" s="5">
        <f t="shared" si="7"/>
        <v>31.998214285714287</v>
      </c>
      <c r="Q23" s="5">
        <f t="shared" si="8"/>
        <v>1.875</v>
      </c>
      <c r="R23" s="20">
        <f t="shared" si="9"/>
        <v>193.92857142857142</v>
      </c>
      <c r="S23" s="6">
        <f t="shared" si="10"/>
        <v>33</v>
      </c>
      <c r="T23" s="7">
        <f t="shared" si="11"/>
        <v>160.92857142857142</v>
      </c>
      <c r="U23" s="7">
        <f t="shared" si="12"/>
        <v>607.96607142857169</v>
      </c>
      <c r="V23" s="7">
        <f t="shared" si="12"/>
        <v>71</v>
      </c>
      <c r="W23" s="7">
        <f t="shared" si="13"/>
        <v>536.96607142857169</v>
      </c>
      <c r="X23" s="7">
        <f t="shared" si="14"/>
        <v>3684.6428571428578</v>
      </c>
      <c r="Y23" s="7">
        <f t="shared" si="14"/>
        <v>775</v>
      </c>
      <c r="Z23" s="7">
        <f t="shared" si="15"/>
        <v>2909.6428571428578</v>
      </c>
      <c r="AA23" s="24">
        <f t="shared" si="16"/>
        <v>0.85519783155401796</v>
      </c>
      <c r="AB23" s="1"/>
    </row>
    <row r="24" spans="2:28" ht="18" x14ac:dyDescent="0.25">
      <c r="B24" s="3">
        <v>18</v>
      </c>
      <c r="C24" s="5">
        <f>C25+23</f>
        <v>156120</v>
      </c>
      <c r="D24" s="5">
        <f>D25+13</f>
        <v>1438043</v>
      </c>
      <c r="E24" s="5">
        <v>294789</v>
      </c>
      <c r="F24" s="8">
        <f t="shared" si="0"/>
        <v>1888952</v>
      </c>
      <c r="G24" s="22">
        <f t="shared" si="1"/>
        <v>1888920.75</v>
      </c>
      <c r="H24" s="7">
        <f t="shared" si="2"/>
        <v>1888922.375</v>
      </c>
      <c r="I24" s="7">
        <f>I25+19</f>
        <v>985331</v>
      </c>
      <c r="J24" s="6">
        <f t="shared" si="3"/>
        <v>23</v>
      </c>
      <c r="K24" s="6">
        <f t="shared" si="3"/>
        <v>13</v>
      </c>
      <c r="L24" s="6">
        <f t="shared" si="3"/>
        <v>0</v>
      </c>
      <c r="M24" s="6">
        <f t="shared" si="4"/>
        <v>19</v>
      </c>
      <c r="N24" s="5">
        <f t="shared" si="5"/>
        <v>31.998214285714287</v>
      </c>
      <c r="O24" s="3">
        <f t="shared" si="6"/>
        <v>0</v>
      </c>
      <c r="P24" s="5">
        <f t="shared" si="7"/>
        <v>31.998214285714287</v>
      </c>
      <c r="Q24" s="5">
        <f t="shared" si="8"/>
        <v>1.625</v>
      </c>
      <c r="R24" s="20">
        <f t="shared" si="9"/>
        <v>193.92857142857142</v>
      </c>
      <c r="S24" s="6">
        <f t="shared" si="10"/>
        <v>36</v>
      </c>
      <c r="T24" s="7">
        <f t="shared" si="11"/>
        <v>157.92857142857142</v>
      </c>
      <c r="U24" s="7">
        <f t="shared" si="12"/>
        <v>575.96785714285738</v>
      </c>
      <c r="V24" s="7">
        <f t="shared" si="12"/>
        <v>71</v>
      </c>
      <c r="W24" s="7">
        <f t="shared" si="13"/>
        <v>504.96785714285738</v>
      </c>
      <c r="X24" s="7">
        <f t="shared" si="14"/>
        <v>3490.7142857142862</v>
      </c>
      <c r="Y24" s="7">
        <f t="shared" si="14"/>
        <v>742</v>
      </c>
      <c r="Z24" s="7">
        <f t="shared" si="15"/>
        <v>2748.7142857142862</v>
      </c>
      <c r="AA24" s="24">
        <f t="shared" si="16"/>
        <v>0.8843847528469696</v>
      </c>
      <c r="AB24" s="1"/>
    </row>
    <row r="25" spans="2:28" ht="18" x14ac:dyDescent="0.25">
      <c r="B25" s="3">
        <v>17</v>
      </c>
      <c r="C25" s="5">
        <f>C26+19</f>
        <v>156097</v>
      </c>
      <c r="D25" s="5">
        <f t="shared" ref="D25" si="19">D26+12</f>
        <v>1438030</v>
      </c>
      <c r="E25" s="5">
        <f>E26+7</f>
        <v>294789</v>
      </c>
      <c r="F25" s="8">
        <f t="shared" si="0"/>
        <v>1888916</v>
      </c>
      <c r="G25" s="22">
        <f t="shared" si="1"/>
        <v>1888881.875</v>
      </c>
      <c r="H25" s="7">
        <f t="shared" si="2"/>
        <v>1888883.375</v>
      </c>
      <c r="I25" s="7">
        <f>I26+21</f>
        <v>985312</v>
      </c>
      <c r="J25" s="6">
        <f t="shared" si="3"/>
        <v>19</v>
      </c>
      <c r="K25" s="6">
        <f t="shared" si="3"/>
        <v>12</v>
      </c>
      <c r="L25" s="6">
        <f t="shared" si="3"/>
        <v>7</v>
      </c>
      <c r="M25" s="7">
        <f t="shared" si="4"/>
        <v>21</v>
      </c>
      <c r="N25" s="5">
        <f t="shared" si="5"/>
        <v>31.998214285714287</v>
      </c>
      <c r="O25" s="3">
        <f t="shared" si="6"/>
        <v>7</v>
      </c>
      <c r="P25" s="5">
        <f t="shared" si="7"/>
        <v>24.998214285714287</v>
      </c>
      <c r="Q25" s="5">
        <f t="shared" si="8"/>
        <v>1.5</v>
      </c>
      <c r="R25" s="20">
        <f t="shared" si="9"/>
        <v>193.92857142857142</v>
      </c>
      <c r="S25" s="6">
        <f t="shared" si="10"/>
        <v>38</v>
      </c>
      <c r="T25" s="7">
        <f t="shared" si="11"/>
        <v>155.92857142857142</v>
      </c>
      <c r="U25" s="7">
        <f t="shared" si="12"/>
        <v>543.96964285714307</v>
      </c>
      <c r="V25" s="6">
        <f t="shared" si="12"/>
        <v>71</v>
      </c>
      <c r="W25" s="7">
        <f t="shared" si="13"/>
        <v>472.96964285714307</v>
      </c>
      <c r="X25" s="7">
        <f t="shared" si="14"/>
        <v>3296.7857142857147</v>
      </c>
      <c r="Y25" s="7">
        <f t="shared" si="14"/>
        <v>706</v>
      </c>
      <c r="Z25" s="7">
        <f t="shared" si="15"/>
        <v>2590.7857142857147</v>
      </c>
      <c r="AA25" s="24">
        <f t="shared" si="16"/>
        <v>0.87524153543926952</v>
      </c>
      <c r="AB25" s="1"/>
    </row>
    <row r="26" spans="2:28" ht="18" x14ac:dyDescent="0.25">
      <c r="B26" s="3">
        <v>16</v>
      </c>
      <c r="C26" s="5">
        <f>C27+21</f>
        <v>156078</v>
      </c>
      <c r="D26" s="5">
        <f>D27+10</f>
        <v>1438018</v>
      </c>
      <c r="E26" s="5">
        <f>E27+0</f>
        <v>294782</v>
      </c>
      <c r="F26" s="8">
        <f t="shared" si="0"/>
        <v>1888878</v>
      </c>
      <c r="G26" s="22">
        <f t="shared" si="1"/>
        <v>1888851.125</v>
      </c>
      <c r="H26" s="7">
        <f t="shared" si="2"/>
        <v>1888852.375</v>
      </c>
      <c r="I26" s="7">
        <f>I27+18</f>
        <v>985291</v>
      </c>
      <c r="J26" s="6">
        <f t="shared" si="3"/>
        <v>21</v>
      </c>
      <c r="K26" s="6">
        <f t="shared" si="3"/>
        <v>10</v>
      </c>
      <c r="L26" s="6">
        <f t="shared" si="3"/>
        <v>0</v>
      </c>
      <c r="M26" s="7">
        <f t="shared" si="4"/>
        <v>18</v>
      </c>
      <c r="N26" s="5">
        <f t="shared" si="5"/>
        <v>31.998214285714287</v>
      </c>
      <c r="O26" s="3">
        <f t="shared" si="6"/>
        <v>0</v>
      </c>
      <c r="P26" s="5">
        <f t="shared" si="7"/>
        <v>31.998214285714287</v>
      </c>
      <c r="Q26" s="5">
        <f t="shared" si="8"/>
        <v>1.25</v>
      </c>
      <c r="R26" s="20">
        <f t="shared" si="9"/>
        <v>193.92857142857142</v>
      </c>
      <c r="S26" s="6">
        <f t="shared" si="10"/>
        <v>31</v>
      </c>
      <c r="T26" s="7">
        <f t="shared" si="11"/>
        <v>162.92857142857142</v>
      </c>
      <c r="U26" s="7">
        <f t="shared" si="12"/>
        <v>511.97142857142876</v>
      </c>
      <c r="V26" s="6">
        <f t="shared" si="12"/>
        <v>64</v>
      </c>
      <c r="W26" s="7">
        <f t="shared" si="13"/>
        <v>447.97142857142876</v>
      </c>
      <c r="X26" s="7">
        <f t="shared" si="14"/>
        <v>3102.8571428571431</v>
      </c>
      <c r="Y26" s="7">
        <f t="shared" si="14"/>
        <v>668</v>
      </c>
      <c r="Z26" s="7">
        <f t="shared" si="15"/>
        <v>2434.8571428571431</v>
      </c>
      <c r="AA26" s="24">
        <f t="shared" si="16"/>
        <v>0.86478894661008954</v>
      </c>
      <c r="AB26" s="1"/>
    </row>
    <row r="27" spans="2:28" ht="18" x14ac:dyDescent="0.25">
      <c r="B27" s="3">
        <v>15</v>
      </c>
      <c r="C27" s="5">
        <f>C28+15</f>
        <v>156057</v>
      </c>
      <c r="D27" s="5">
        <f>D28+14</f>
        <v>1438008</v>
      </c>
      <c r="E27" s="5">
        <f>E28+4</f>
        <v>294782</v>
      </c>
      <c r="F27" s="8">
        <f t="shared" si="0"/>
        <v>1888847</v>
      </c>
      <c r="G27" s="22">
        <f t="shared" si="1"/>
        <v>1888818.25</v>
      </c>
      <c r="H27" s="7">
        <f t="shared" si="2"/>
        <v>1888820</v>
      </c>
      <c r="I27" s="7">
        <f>I28+15</f>
        <v>985273</v>
      </c>
      <c r="J27" s="6">
        <f t="shared" si="3"/>
        <v>15</v>
      </c>
      <c r="K27" s="6">
        <f t="shared" si="3"/>
        <v>14</v>
      </c>
      <c r="L27" s="6">
        <f t="shared" si="3"/>
        <v>4</v>
      </c>
      <c r="M27" s="7">
        <f t="shared" si="4"/>
        <v>15</v>
      </c>
      <c r="N27" s="5">
        <f t="shared" si="5"/>
        <v>31.998214285714287</v>
      </c>
      <c r="O27" s="3">
        <f t="shared" si="6"/>
        <v>4</v>
      </c>
      <c r="P27" s="5">
        <f t="shared" si="7"/>
        <v>27.998214285714287</v>
      </c>
      <c r="Q27" s="5">
        <f t="shared" si="8"/>
        <v>1.75</v>
      </c>
      <c r="R27" s="20">
        <f t="shared" si="9"/>
        <v>193.92857142857142</v>
      </c>
      <c r="S27" s="6">
        <f t="shared" si="10"/>
        <v>33</v>
      </c>
      <c r="T27" s="7">
        <f t="shared" si="11"/>
        <v>160.92857142857142</v>
      </c>
      <c r="U27" s="7">
        <f t="shared" si="12"/>
        <v>479.97321428571445</v>
      </c>
      <c r="V27" s="6">
        <f t="shared" si="12"/>
        <v>64</v>
      </c>
      <c r="W27" s="7">
        <f t="shared" si="13"/>
        <v>415.97321428571445</v>
      </c>
      <c r="X27" s="7">
        <f t="shared" si="14"/>
        <v>2908.9285714285716</v>
      </c>
      <c r="Y27" s="7">
        <f t="shared" si="14"/>
        <v>637</v>
      </c>
      <c r="Z27" s="7">
        <f t="shared" si="15"/>
        <v>2271.9285714285716</v>
      </c>
      <c r="AA27" s="24">
        <f t="shared" si="16"/>
        <v>0.9103664774626048</v>
      </c>
      <c r="AB27" s="1"/>
    </row>
    <row r="28" spans="2:28" ht="18" x14ac:dyDescent="0.25">
      <c r="B28" s="3">
        <v>14</v>
      </c>
      <c r="C28" s="5">
        <f>C29+17</f>
        <v>156042</v>
      </c>
      <c r="D28" s="5">
        <f>D29+12</f>
        <v>1437994</v>
      </c>
      <c r="E28" s="5">
        <f>E29+5</f>
        <v>294778</v>
      </c>
      <c r="F28" s="8">
        <f>C28+D28+E28</f>
        <v>1888814</v>
      </c>
      <c r="G28" s="22">
        <f t="shared" si="1"/>
        <v>1888782.625</v>
      </c>
      <c r="H28" s="7">
        <f t="shared" si="2"/>
        <v>1888784.125</v>
      </c>
      <c r="I28" s="7">
        <f>I29+17</f>
        <v>985258</v>
      </c>
      <c r="J28" s="6">
        <f t="shared" si="3"/>
        <v>17</v>
      </c>
      <c r="K28" s="6">
        <f t="shared" ref="K28:L30" si="20">D28-D29</f>
        <v>12</v>
      </c>
      <c r="L28" s="6">
        <f t="shared" si="20"/>
        <v>5</v>
      </c>
      <c r="M28" s="7">
        <f t="shared" si="4"/>
        <v>17</v>
      </c>
      <c r="N28" s="5">
        <f t="shared" si="5"/>
        <v>31.998214285714287</v>
      </c>
      <c r="O28" s="3">
        <f t="shared" si="6"/>
        <v>5</v>
      </c>
      <c r="P28" s="5">
        <f t="shared" si="7"/>
        <v>26.998214285714287</v>
      </c>
      <c r="Q28" s="5">
        <f t="shared" si="8"/>
        <v>1.5</v>
      </c>
      <c r="R28" s="20">
        <f t="shared" si="9"/>
        <v>193.92857142857142</v>
      </c>
      <c r="S28" s="6">
        <f t="shared" si="10"/>
        <v>34</v>
      </c>
      <c r="T28" s="7">
        <f t="shared" si="11"/>
        <v>159.92857142857142</v>
      </c>
      <c r="U28" s="7">
        <f t="shared" si="12"/>
        <v>447.97500000000014</v>
      </c>
      <c r="V28" s="6">
        <f t="shared" si="12"/>
        <v>60</v>
      </c>
      <c r="W28" s="7">
        <f t="shared" si="13"/>
        <v>387.97500000000014</v>
      </c>
      <c r="X28" s="7">
        <f t="shared" si="14"/>
        <v>2715</v>
      </c>
      <c r="Y28" s="7">
        <f t="shared" si="14"/>
        <v>604</v>
      </c>
      <c r="Z28" s="7">
        <f t="shared" si="15"/>
        <v>2111</v>
      </c>
      <c r="AA28" s="24">
        <f t="shared" si="16"/>
        <v>0.89442719099991586</v>
      </c>
      <c r="AB28" s="1"/>
    </row>
    <row r="29" spans="2:28" ht="18" x14ac:dyDescent="0.25">
      <c r="B29" s="3">
        <v>13</v>
      </c>
      <c r="C29" s="5">
        <f>C30+10</f>
        <v>156025</v>
      </c>
      <c r="D29" s="5">
        <f>D30+11</f>
        <v>1437982</v>
      </c>
      <c r="E29" s="5">
        <v>294773</v>
      </c>
      <c r="F29" s="8">
        <f>C29+D29+E29</f>
        <v>1888780</v>
      </c>
      <c r="G29" s="22">
        <f t="shared" si="1"/>
        <v>1888761.625</v>
      </c>
      <c r="H29" s="7">
        <f t="shared" si="2"/>
        <v>1888763</v>
      </c>
      <c r="I29" s="7">
        <f>I30+20</f>
        <v>985241</v>
      </c>
      <c r="J29" s="6">
        <f t="shared" si="3"/>
        <v>10</v>
      </c>
      <c r="K29" s="6">
        <f t="shared" si="20"/>
        <v>11</v>
      </c>
      <c r="L29" s="6">
        <f t="shared" si="20"/>
        <v>0</v>
      </c>
      <c r="M29" s="6">
        <f t="shared" si="4"/>
        <v>20</v>
      </c>
      <c r="N29" s="5">
        <f t="shared" si="5"/>
        <v>31.998214285714287</v>
      </c>
      <c r="O29" s="3">
        <f t="shared" si="6"/>
        <v>0</v>
      </c>
      <c r="P29" s="5">
        <f t="shared" si="7"/>
        <v>31.998214285714287</v>
      </c>
      <c r="Q29" s="5">
        <f t="shared" si="8"/>
        <v>1.375</v>
      </c>
      <c r="R29" s="20">
        <f t="shared" si="9"/>
        <v>193.92857142857142</v>
      </c>
      <c r="S29" s="6">
        <f t="shared" si="10"/>
        <v>21</v>
      </c>
      <c r="T29" s="7">
        <f t="shared" si="11"/>
        <v>172.92857142857142</v>
      </c>
      <c r="U29" s="7">
        <f t="shared" si="12"/>
        <v>415.97678571428582</v>
      </c>
      <c r="V29" s="6">
        <f t="shared" si="12"/>
        <v>55</v>
      </c>
      <c r="W29" s="7">
        <f t="shared" si="13"/>
        <v>360.97678571428582</v>
      </c>
      <c r="X29" s="7">
        <f t="shared" si="14"/>
        <v>2521.0714285714284</v>
      </c>
      <c r="Y29" s="7">
        <f t="shared" si="14"/>
        <v>570</v>
      </c>
      <c r="Z29" s="7">
        <f t="shared" si="15"/>
        <v>1951.0714285714284</v>
      </c>
      <c r="AA29" s="24">
        <f t="shared" si="16"/>
        <v>0.72413793103448276</v>
      </c>
      <c r="AB29" s="1"/>
    </row>
    <row r="30" spans="2:28" ht="17.45" x14ac:dyDescent="0.3">
      <c r="B30" s="3">
        <v>12</v>
      </c>
      <c r="C30" s="5">
        <f>C31+12</f>
        <v>156015</v>
      </c>
      <c r="D30" s="5">
        <f>D31+9</f>
        <v>1437971</v>
      </c>
      <c r="E30" s="5">
        <v>294773</v>
      </c>
      <c r="F30" s="8">
        <f>C30+D30+E30</f>
        <v>1888759</v>
      </c>
      <c r="G30" s="22">
        <f t="shared" si="1"/>
        <v>1888744.375</v>
      </c>
      <c r="H30" s="7">
        <f t="shared" si="2"/>
        <v>1888745.5</v>
      </c>
      <c r="I30" s="7">
        <f>I31+21</f>
        <v>985221</v>
      </c>
      <c r="J30" s="6">
        <f t="shared" si="3"/>
        <v>12</v>
      </c>
      <c r="K30" s="6">
        <f t="shared" si="20"/>
        <v>9</v>
      </c>
      <c r="L30" s="6">
        <f t="shared" si="20"/>
        <v>0</v>
      </c>
      <c r="M30" s="6">
        <f t="shared" si="4"/>
        <v>21</v>
      </c>
      <c r="N30" s="5">
        <f t="shared" si="5"/>
        <v>31.998214285714287</v>
      </c>
      <c r="O30" s="3">
        <f t="shared" si="6"/>
        <v>0</v>
      </c>
      <c r="P30" s="5">
        <f t="shared" si="7"/>
        <v>31.998214285714287</v>
      </c>
      <c r="Q30" s="5">
        <f t="shared" si="8"/>
        <v>1.125</v>
      </c>
      <c r="R30" s="20">
        <f t="shared" si="9"/>
        <v>193.92857142857142</v>
      </c>
      <c r="S30" s="6">
        <f t="shared" si="10"/>
        <v>21</v>
      </c>
      <c r="T30" s="7">
        <f t="shared" si="11"/>
        <v>172.92857142857142</v>
      </c>
      <c r="U30" s="7">
        <f t="shared" si="12"/>
        <v>383.97857142857151</v>
      </c>
      <c r="V30" s="6">
        <f t="shared" si="12"/>
        <v>55</v>
      </c>
      <c r="W30" s="7">
        <f t="shared" si="13"/>
        <v>328.97857142857151</v>
      </c>
      <c r="X30" s="7">
        <f t="shared" si="14"/>
        <v>2327.1428571428569</v>
      </c>
      <c r="Y30" s="7">
        <f t="shared" si="14"/>
        <v>549</v>
      </c>
      <c r="Z30" s="7">
        <f t="shared" si="15"/>
        <v>1778.1428571428569</v>
      </c>
      <c r="AA30" s="24">
        <f t="shared" si="16"/>
        <v>0.70710678118654757</v>
      </c>
      <c r="AB30" s="1"/>
    </row>
    <row r="31" spans="2:28" ht="17.45" x14ac:dyDescent="0.3">
      <c r="B31" s="3">
        <v>11</v>
      </c>
      <c r="C31" s="5">
        <v>156003</v>
      </c>
      <c r="D31" s="5">
        <v>1437962</v>
      </c>
      <c r="E31" s="5">
        <v>294773</v>
      </c>
      <c r="F31" s="8">
        <f t="shared" si="0"/>
        <v>1888738</v>
      </c>
      <c r="G31" s="22">
        <f t="shared" si="1"/>
        <v>1888694.625</v>
      </c>
      <c r="H31" s="7">
        <f t="shared" si="2"/>
        <v>1888696.75</v>
      </c>
      <c r="I31" s="7">
        <v>985200</v>
      </c>
      <c r="J31" s="6">
        <f t="shared" si="3"/>
        <v>15</v>
      </c>
      <c r="K31" s="6">
        <f t="shared" si="3"/>
        <v>17</v>
      </c>
      <c r="L31" s="6">
        <f t="shared" si="3"/>
        <v>19</v>
      </c>
      <c r="M31" s="6">
        <f t="shared" si="4"/>
        <v>39</v>
      </c>
      <c r="N31" s="5">
        <f t="shared" si="5"/>
        <v>31.998214285714287</v>
      </c>
      <c r="O31" s="3">
        <f t="shared" si="6"/>
        <v>19</v>
      </c>
      <c r="P31" s="5">
        <f t="shared" si="7"/>
        <v>12.998214285714287</v>
      </c>
      <c r="Q31" s="5">
        <f t="shared" si="8"/>
        <v>2.125</v>
      </c>
      <c r="R31" s="20">
        <f t="shared" si="9"/>
        <v>193.92857142857142</v>
      </c>
      <c r="S31" s="6">
        <f t="shared" si="10"/>
        <v>51</v>
      </c>
      <c r="T31" s="7">
        <f t="shared" si="11"/>
        <v>142.92857142857142</v>
      </c>
      <c r="U31" s="7">
        <f t="shared" si="12"/>
        <v>351.9803571428572</v>
      </c>
      <c r="V31" s="6">
        <f t="shared" si="12"/>
        <v>55</v>
      </c>
      <c r="W31" s="7">
        <f t="shared" si="13"/>
        <v>296.9803571428572</v>
      </c>
      <c r="X31" s="7">
        <f t="shared" si="14"/>
        <v>2133.2142857142853</v>
      </c>
      <c r="Y31" s="7">
        <f t="shared" si="14"/>
        <v>528</v>
      </c>
      <c r="Z31" s="7">
        <f t="shared" si="15"/>
        <v>1605.2142857142853</v>
      </c>
      <c r="AA31" s="24">
        <f t="shared" si="16"/>
        <v>0.7943578329771962</v>
      </c>
      <c r="AB31" s="1"/>
    </row>
    <row r="32" spans="2:28" ht="17.45" x14ac:dyDescent="0.3">
      <c r="B32" s="3">
        <v>10</v>
      </c>
      <c r="C32" s="5">
        <v>155988</v>
      </c>
      <c r="D32" s="5">
        <v>1437945</v>
      </c>
      <c r="E32" s="5">
        <v>294754</v>
      </c>
      <c r="F32" s="8">
        <f t="shared" si="0"/>
        <v>1888687</v>
      </c>
      <c r="G32" s="22">
        <f t="shared" si="1"/>
        <v>1888632.75</v>
      </c>
      <c r="H32" s="7">
        <f t="shared" si="2"/>
        <v>1888637.875</v>
      </c>
      <c r="I32" s="7">
        <v>985161</v>
      </c>
      <c r="J32" s="6">
        <f t="shared" si="3"/>
        <v>20</v>
      </c>
      <c r="K32" s="6">
        <f t="shared" si="3"/>
        <v>41</v>
      </c>
      <c r="L32" s="6">
        <f t="shared" si="3"/>
        <v>0</v>
      </c>
      <c r="M32" s="6">
        <f t="shared" si="4"/>
        <v>41</v>
      </c>
      <c r="N32" s="5">
        <f t="shared" si="5"/>
        <v>31.998214285714287</v>
      </c>
      <c r="O32" s="3">
        <f t="shared" si="6"/>
        <v>0</v>
      </c>
      <c r="P32" s="5">
        <f t="shared" si="7"/>
        <v>31.998214285714287</v>
      </c>
      <c r="Q32" s="5">
        <f t="shared" si="8"/>
        <v>5.125</v>
      </c>
      <c r="R32" s="20">
        <f t="shared" si="9"/>
        <v>193.92857142857142</v>
      </c>
      <c r="S32" s="6">
        <f t="shared" si="10"/>
        <v>61</v>
      </c>
      <c r="T32" s="7">
        <f t="shared" si="11"/>
        <v>132.92857142857142</v>
      </c>
      <c r="U32" s="7">
        <f t="shared" si="12"/>
        <v>319.98214285714289</v>
      </c>
      <c r="V32" s="6">
        <f t="shared" si="12"/>
        <v>36</v>
      </c>
      <c r="W32" s="7">
        <f t="shared" si="13"/>
        <v>283.98214285714289</v>
      </c>
      <c r="X32" s="7">
        <f t="shared" si="14"/>
        <v>1939.2857142857138</v>
      </c>
      <c r="Y32" s="7">
        <f t="shared" si="14"/>
        <v>477</v>
      </c>
      <c r="Z32" s="7">
        <f t="shared" si="15"/>
        <v>1462.2857142857138</v>
      </c>
      <c r="AA32" s="24">
        <f t="shared" si="16"/>
        <v>0.82995117684249575</v>
      </c>
      <c r="AB32" s="1"/>
    </row>
    <row r="33" spans="2:28" ht="17.45" x14ac:dyDescent="0.3">
      <c r="B33" s="3">
        <v>9</v>
      </c>
      <c r="C33" s="5">
        <v>155968</v>
      </c>
      <c r="D33" s="5">
        <v>1437904</v>
      </c>
      <c r="E33" s="5">
        <v>294754</v>
      </c>
      <c r="F33" s="8">
        <f t="shared" si="0"/>
        <v>1888626</v>
      </c>
      <c r="G33" s="22">
        <f t="shared" si="1"/>
        <v>1888576.375</v>
      </c>
      <c r="H33" s="7">
        <f t="shared" si="2"/>
        <v>1888577.875</v>
      </c>
      <c r="I33" s="7">
        <v>985120</v>
      </c>
      <c r="J33" s="6">
        <f t="shared" si="3"/>
        <v>30</v>
      </c>
      <c r="K33" s="6">
        <f t="shared" si="3"/>
        <v>12</v>
      </c>
      <c r="L33" s="6">
        <f t="shared" si="3"/>
        <v>12</v>
      </c>
      <c r="M33" s="6">
        <f t="shared" si="4"/>
        <v>30</v>
      </c>
      <c r="N33" s="5">
        <f t="shared" si="5"/>
        <v>31.998214285714287</v>
      </c>
      <c r="O33" s="3">
        <f t="shared" si="6"/>
        <v>12</v>
      </c>
      <c r="P33" s="5">
        <f t="shared" si="7"/>
        <v>19.998214285714287</v>
      </c>
      <c r="Q33" s="5">
        <f t="shared" si="8"/>
        <v>1.5</v>
      </c>
      <c r="R33" s="20">
        <f t="shared" si="9"/>
        <v>193.92857142857142</v>
      </c>
      <c r="S33" s="6">
        <f t="shared" si="10"/>
        <v>54</v>
      </c>
      <c r="T33" s="7">
        <f t="shared" si="11"/>
        <v>139.92857142857142</v>
      </c>
      <c r="U33" s="7">
        <f t="shared" si="12"/>
        <v>287.98392857142858</v>
      </c>
      <c r="V33" s="6">
        <f t="shared" si="12"/>
        <v>36</v>
      </c>
      <c r="W33" s="7">
        <f t="shared" si="13"/>
        <v>251.98392857142858</v>
      </c>
      <c r="X33" s="7">
        <f t="shared" si="14"/>
        <v>1745.3571428571424</v>
      </c>
      <c r="Y33" s="7">
        <f t="shared" si="14"/>
        <v>416</v>
      </c>
      <c r="Z33" s="7">
        <f t="shared" si="15"/>
        <v>1329.3571428571424</v>
      </c>
      <c r="AA33" s="24">
        <f t="shared" si="16"/>
        <v>0.87415727612153782</v>
      </c>
      <c r="AB33" s="1"/>
    </row>
    <row r="34" spans="2:28" ht="17.45" x14ac:dyDescent="0.3">
      <c r="B34" s="3">
        <v>8</v>
      </c>
      <c r="C34" s="7">
        <f>C35+23</f>
        <v>155938</v>
      </c>
      <c r="D34" s="7">
        <f>D35+12</f>
        <v>1437892</v>
      </c>
      <c r="E34" s="5">
        <v>294742</v>
      </c>
      <c r="F34" s="8">
        <f t="shared" si="0"/>
        <v>1888572</v>
      </c>
      <c r="G34" s="22">
        <f t="shared" si="1"/>
        <v>1888543.375</v>
      </c>
      <c r="H34" s="7">
        <f t="shared" si="2"/>
        <v>1888544.875</v>
      </c>
      <c r="I34" s="7">
        <f>I35+25</f>
        <v>985090</v>
      </c>
      <c r="J34" s="6">
        <f t="shared" si="3"/>
        <v>23</v>
      </c>
      <c r="K34" s="6">
        <f t="shared" si="3"/>
        <v>12</v>
      </c>
      <c r="L34" s="6">
        <f t="shared" si="3"/>
        <v>0</v>
      </c>
      <c r="M34" s="6">
        <f t="shared" si="4"/>
        <v>25</v>
      </c>
      <c r="N34" s="5">
        <f t="shared" si="5"/>
        <v>31.998214285714287</v>
      </c>
      <c r="O34" s="3">
        <f t="shared" si="6"/>
        <v>0</v>
      </c>
      <c r="P34" s="5">
        <f t="shared" si="7"/>
        <v>31.998214285714287</v>
      </c>
      <c r="Q34" s="5">
        <f t="shared" si="8"/>
        <v>1.5</v>
      </c>
      <c r="R34" s="20">
        <f t="shared" si="9"/>
        <v>193.92857142857142</v>
      </c>
      <c r="S34" s="6">
        <f t="shared" si="10"/>
        <v>35</v>
      </c>
      <c r="T34" s="7">
        <f t="shared" si="11"/>
        <v>158.92857142857142</v>
      </c>
      <c r="U34" s="7">
        <f t="shared" si="12"/>
        <v>255.98571428571429</v>
      </c>
      <c r="V34" s="6">
        <f t="shared" si="12"/>
        <v>24</v>
      </c>
      <c r="W34" s="7">
        <f t="shared" si="13"/>
        <v>231.98571428571429</v>
      </c>
      <c r="X34" s="7">
        <f t="shared" si="14"/>
        <v>1551.4285714285711</v>
      </c>
      <c r="Y34" s="7">
        <f t="shared" si="14"/>
        <v>362</v>
      </c>
      <c r="Z34" s="7">
        <f t="shared" si="15"/>
        <v>1189.4285714285711</v>
      </c>
      <c r="AA34" s="24">
        <f t="shared" si="16"/>
        <v>0.813733471206735</v>
      </c>
      <c r="AB34" s="1"/>
    </row>
    <row r="35" spans="2:28" ht="17.45" x14ac:dyDescent="0.3">
      <c r="B35" s="3">
        <v>7</v>
      </c>
      <c r="C35" s="7">
        <f>C36+27</f>
        <v>155915</v>
      </c>
      <c r="D35" s="7">
        <f>D36+19</f>
        <v>1437880</v>
      </c>
      <c r="E35" s="5">
        <v>294742</v>
      </c>
      <c r="F35" s="8">
        <f t="shared" si="0"/>
        <v>1888537</v>
      </c>
      <c r="G35" s="22">
        <f t="shared" si="1"/>
        <v>1888492.5</v>
      </c>
      <c r="H35" s="7">
        <f t="shared" si="2"/>
        <v>1888494.875</v>
      </c>
      <c r="I35" s="7">
        <f>I36+35</f>
        <v>985065</v>
      </c>
      <c r="J35" s="6">
        <f t="shared" si="3"/>
        <v>27</v>
      </c>
      <c r="K35" s="6">
        <f t="shared" si="3"/>
        <v>19</v>
      </c>
      <c r="L35" s="6">
        <f t="shared" si="3"/>
        <v>5</v>
      </c>
      <c r="M35" s="6">
        <f t="shared" si="4"/>
        <v>35</v>
      </c>
      <c r="N35" s="5">
        <f t="shared" si="5"/>
        <v>31.998214285714287</v>
      </c>
      <c r="O35" s="3">
        <f t="shared" si="6"/>
        <v>5</v>
      </c>
      <c r="P35" s="5">
        <f t="shared" si="7"/>
        <v>26.998214285714287</v>
      </c>
      <c r="Q35" s="5">
        <f t="shared" si="8"/>
        <v>2.375</v>
      </c>
      <c r="R35" s="20">
        <f t="shared" si="9"/>
        <v>193.92857142857142</v>
      </c>
      <c r="S35" s="6">
        <f t="shared" si="10"/>
        <v>51</v>
      </c>
      <c r="T35" s="7">
        <f t="shared" si="11"/>
        <v>142.92857142857142</v>
      </c>
      <c r="U35" s="7">
        <f t="shared" si="12"/>
        <v>223.98750000000001</v>
      </c>
      <c r="V35" s="6">
        <f t="shared" si="12"/>
        <v>24</v>
      </c>
      <c r="W35" s="7">
        <f t="shared" si="13"/>
        <v>199.98750000000001</v>
      </c>
      <c r="X35" s="7">
        <f t="shared" si="14"/>
        <v>1357.4999999999998</v>
      </c>
      <c r="Y35" s="7">
        <f t="shared" si="14"/>
        <v>327</v>
      </c>
      <c r="Z35" s="7">
        <f t="shared" si="15"/>
        <v>1030.4999999999998</v>
      </c>
      <c r="AA35" s="24">
        <f t="shared" si="16"/>
        <v>0.82451335264380332</v>
      </c>
      <c r="AB35" s="1"/>
    </row>
    <row r="36" spans="2:28" ht="17.45" x14ac:dyDescent="0.3">
      <c r="B36" s="3">
        <v>6</v>
      </c>
      <c r="C36" s="7">
        <f t="shared" ref="C36:C38" si="21">C37+25</f>
        <v>155888</v>
      </c>
      <c r="D36" s="7">
        <f>D37+16</f>
        <v>1437861</v>
      </c>
      <c r="E36" s="22">
        <v>294737</v>
      </c>
      <c r="F36" s="8">
        <f t="shared" si="0"/>
        <v>1888486</v>
      </c>
      <c r="G36" s="22">
        <f t="shared" si="1"/>
        <v>1888438.5</v>
      </c>
      <c r="H36" s="7">
        <f t="shared" si="2"/>
        <v>1888440.5</v>
      </c>
      <c r="I36" s="7">
        <f>I37+32</f>
        <v>985030</v>
      </c>
      <c r="J36" s="6">
        <f t="shared" si="3"/>
        <v>25</v>
      </c>
      <c r="K36" s="6">
        <f t="shared" si="3"/>
        <v>16</v>
      </c>
      <c r="L36" s="6">
        <f t="shared" si="3"/>
        <v>11</v>
      </c>
      <c r="M36" s="6">
        <f t="shared" si="4"/>
        <v>32</v>
      </c>
      <c r="N36" s="5">
        <f t="shared" si="5"/>
        <v>31.998214285714287</v>
      </c>
      <c r="O36" s="3">
        <f t="shared" si="6"/>
        <v>11</v>
      </c>
      <c r="P36" s="5">
        <f t="shared" si="7"/>
        <v>20.998214285714287</v>
      </c>
      <c r="Q36" s="5">
        <f t="shared" si="8"/>
        <v>2</v>
      </c>
      <c r="R36" s="20">
        <f t="shared" si="9"/>
        <v>193.92857142857142</v>
      </c>
      <c r="S36" s="6">
        <f t="shared" si="10"/>
        <v>52</v>
      </c>
      <c r="T36" s="7">
        <f t="shared" si="11"/>
        <v>141.92857142857142</v>
      </c>
      <c r="U36" s="7">
        <f t="shared" si="12"/>
        <v>191.98928571428573</v>
      </c>
      <c r="V36" s="6">
        <f t="shared" si="12"/>
        <v>19</v>
      </c>
      <c r="W36" s="7">
        <f t="shared" si="13"/>
        <v>172.98928571428573</v>
      </c>
      <c r="X36" s="7">
        <f t="shared" si="14"/>
        <v>1163.5714285714284</v>
      </c>
      <c r="Y36" s="7">
        <f t="shared" si="14"/>
        <v>276</v>
      </c>
      <c r="Z36" s="7">
        <f t="shared" si="15"/>
        <v>887.57142857142844</v>
      </c>
      <c r="AA36" s="24">
        <f t="shared" si="16"/>
        <v>0.85165831670454384</v>
      </c>
      <c r="AB36" s="1"/>
    </row>
    <row r="37" spans="2:28" ht="17.45" x14ac:dyDescent="0.3">
      <c r="B37" s="3">
        <v>5</v>
      </c>
      <c r="C37" s="7">
        <f>C38+22</f>
        <v>155863</v>
      </c>
      <c r="D37" s="7">
        <f>D38+14</f>
        <v>1437845</v>
      </c>
      <c r="E37" s="22">
        <v>294726</v>
      </c>
      <c r="F37" s="8">
        <f t="shared" si="0"/>
        <v>1888434</v>
      </c>
      <c r="G37" s="22">
        <f t="shared" si="1"/>
        <v>1888403.25</v>
      </c>
      <c r="H37" s="7">
        <f t="shared" si="2"/>
        <v>1888405</v>
      </c>
      <c r="I37" s="7">
        <f>I38+29</f>
        <v>984998</v>
      </c>
      <c r="J37" s="6">
        <f t="shared" si="3"/>
        <v>22</v>
      </c>
      <c r="K37" s="6">
        <f t="shared" si="3"/>
        <v>14</v>
      </c>
      <c r="L37" s="6">
        <f t="shared" si="3"/>
        <v>0</v>
      </c>
      <c r="M37" s="6">
        <f t="shared" si="4"/>
        <v>29</v>
      </c>
      <c r="N37" s="5">
        <f t="shared" si="5"/>
        <v>31.998214285714287</v>
      </c>
      <c r="O37" s="3">
        <f t="shared" si="6"/>
        <v>0</v>
      </c>
      <c r="P37" s="5">
        <f t="shared" si="7"/>
        <v>31.998214285714287</v>
      </c>
      <c r="Q37" s="5">
        <f t="shared" si="8"/>
        <v>1.75</v>
      </c>
      <c r="R37" s="20">
        <f t="shared" si="9"/>
        <v>193.92857142857142</v>
      </c>
      <c r="S37" s="6">
        <f t="shared" si="10"/>
        <v>36</v>
      </c>
      <c r="T37" s="7">
        <f t="shared" si="11"/>
        <v>157.92857142857142</v>
      </c>
      <c r="U37" s="7">
        <f t="shared" si="12"/>
        <v>159.99107142857144</v>
      </c>
      <c r="V37" s="6">
        <f t="shared" si="12"/>
        <v>8</v>
      </c>
      <c r="W37" s="7">
        <f t="shared" si="13"/>
        <v>151.99107142857144</v>
      </c>
      <c r="X37" s="7">
        <f t="shared" si="14"/>
        <v>969.64285714285711</v>
      </c>
      <c r="Y37" s="7">
        <f t="shared" si="14"/>
        <v>224</v>
      </c>
      <c r="Z37" s="7">
        <f t="shared" si="15"/>
        <v>745.64285714285711</v>
      </c>
      <c r="AA37" s="24">
        <f t="shared" si="16"/>
        <v>0.7787539090832829</v>
      </c>
      <c r="AB37" s="1"/>
    </row>
    <row r="38" spans="2:28" ht="18" x14ac:dyDescent="0.25">
      <c r="B38" s="3">
        <v>4</v>
      </c>
      <c r="C38" s="7">
        <f t="shared" si="21"/>
        <v>155841</v>
      </c>
      <c r="D38" s="7">
        <f>D39+17</f>
        <v>1437831</v>
      </c>
      <c r="E38" s="22">
        <v>294726</v>
      </c>
      <c r="F38" s="9">
        <f>C38+D38+E38</f>
        <v>1888398</v>
      </c>
      <c r="G38" s="22">
        <f t="shared" si="1"/>
        <v>1888361.875</v>
      </c>
      <c r="H38" s="7">
        <f t="shared" si="2"/>
        <v>1888364</v>
      </c>
      <c r="I38" s="7">
        <f>I39+31</f>
        <v>984969</v>
      </c>
      <c r="J38" s="6">
        <f t="shared" si="3"/>
        <v>25</v>
      </c>
      <c r="K38" s="6">
        <f t="shared" si="3"/>
        <v>17</v>
      </c>
      <c r="L38" s="6">
        <f t="shared" si="3"/>
        <v>0</v>
      </c>
      <c r="M38" s="6">
        <f t="shared" si="4"/>
        <v>31</v>
      </c>
      <c r="N38" s="5">
        <f t="shared" si="5"/>
        <v>31.998214285714287</v>
      </c>
      <c r="O38" s="3">
        <f t="shared" si="6"/>
        <v>0</v>
      </c>
      <c r="P38" s="5">
        <f t="shared" si="7"/>
        <v>31.998214285714287</v>
      </c>
      <c r="Q38" s="5">
        <f t="shared" si="8"/>
        <v>2.125</v>
      </c>
      <c r="R38" s="20">
        <f t="shared" si="9"/>
        <v>193.92857142857142</v>
      </c>
      <c r="S38" s="6">
        <f t="shared" si="10"/>
        <v>42</v>
      </c>
      <c r="T38" s="7">
        <f t="shared" si="11"/>
        <v>151.92857142857142</v>
      </c>
      <c r="U38" s="7">
        <f t="shared" si="12"/>
        <v>127.99285714285715</v>
      </c>
      <c r="V38" s="6">
        <f t="shared" si="12"/>
        <v>8</v>
      </c>
      <c r="W38" s="7">
        <f t="shared" si="13"/>
        <v>119.99285714285715</v>
      </c>
      <c r="X38" s="7">
        <f t="shared" si="14"/>
        <v>775.71428571428567</v>
      </c>
      <c r="Y38" s="7">
        <f t="shared" si="14"/>
        <v>188</v>
      </c>
      <c r="Z38" s="7">
        <f t="shared" si="15"/>
        <v>587.71428571428567</v>
      </c>
      <c r="AA38" s="24">
        <f t="shared" si="16"/>
        <v>0.8045740795857671</v>
      </c>
      <c r="AB38" s="1"/>
    </row>
    <row r="39" spans="2:28" ht="18" x14ac:dyDescent="0.25">
      <c r="B39" s="3">
        <v>3</v>
      </c>
      <c r="C39" s="7">
        <f>C40+24</f>
        <v>155816</v>
      </c>
      <c r="D39" s="7">
        <f>D40+15</f>
        <v>1437814</v>
      </c>
      <c r="E39" s="22">
        <v>294726</v>
      </c>
      <c r="F39" s="8">
        <f t="shared" si="0"/>
        <v>1888356</v>
      </c>
      <c r="G39" s="22">
        <f t="shared" si="1"/>
        <v>1888314.75</v>
      </c>
      <c r="H39" s="7">
        <f t="shared" si="2"/>
        <v>1888316.625</v>
      </c>
      <c r="I39" s="7">
        <f>I40+30</f>
        <v>984938</v>
      </c>
      <c r="J39" s="6">
        <f t="shared" si="3"/>
        <v>24</v>
      </c>
      <c r="K39" s="6">
        <f t="shared" si="3"/>
        <v>15</v>
      </c>
      <c r="L39" s="6">
        <f t="shared" si="3"/>
        <v>8</v>
      </c>
      <c r="M39" s="6">
        <f t="shared" si="4"/>
        <v>30</v>
      </c>
      <c r="N39" s="5">
        <f t="shared" si="5"/>
        <v>31.998214285714287</v>
      </c>
      <c r="O39" s="3">
        <f t="shared" si="6"/>
        <v>8</v>
      </c>
      <c r="P39" s="5">
        <f t="shared" si="7"/>
        <v>23.998214285714287</v>
      </c>
      <c r="Q39" s="5">
        <f t="shared" si="8"/>
        <v>1.875</v>
      </c>
      <c r="R39" s="20">
        <f>R40</f>
        <v>193.92857142857142</v>
      </c>
      <c r="S39" s="6">
        <f t="shared" si="10"/>
        <v>47</v>
      </c>
      <c r="T39" s="7">
        <f t="shared" si="11"/>
        <v>146.92857142857142</v>
      </c>
      <c r="U39" s="7">
        <f t="shared" si="12"/>
        <v>95.994642857142864</v>
      </c>
      <c r="V39" s="6">
        <f t="shared" si="12"/>
        <v>8</v>
      </c>
      <c r="W39" s="7">
        <f t="shared" si="13"/>
        <v>87.994642857142864</v>
      </c>
      <c r="X39" s="7">
        <f t="shared" si="14"/>
        <v>581.78571428571422</v>
      </c>
      <c r="Y39" s="7">
        <f t="shared" si="14"/>
        <v>146</v>
      </c>
      <c r="Z39" s="7">
        <f t="shared" si="15"/>
        <v>435.78571428571422</v>
      </c>
      <c r="AA39" s="24">
        <f t="shared" si="16"/>
        <v>0.84292220957758823</v>
      </c>
      <c r="AB39" s="1"/>
    </row>
    <row r="40" spans="2:28" ht="18" x14ac:dyDescent="0.25">
      <c r="B40" s="3">
        <v>2</v>
      </c>
      <c r="C40" s="7">
        <v>155792</v>
      </c>
      <c r="D40" s="7">
        <v>1437799</v>
      </c>
      <c r="E40" s="22">
        <v>294718</v>
      </c>
      <c r="F40" s="8">
        <f t="shared" si="0"/>
        <v>1888309</v>
      </c>
      <c r="G40" s="22">
        <f t="shared" si="1"/>
        <v>1888269.625</v>
      </c>
      <c r="H40" s="7">
        <f t="shared" si="2"/>
        <v>1888271.875</v>
      </c>
      <c r="I40" s="7">
        <v>984908</v>
      </c>
      <c r="J40" s="6">
        <f t="shared" si="3"/>
        <v>28</v>
      </c>
      <c r="K40" s="6">
        <f t="shared" si="3"/>
        <v>18</v>
      </c>
      <c r="L40" s="6">
        <f t="shared" si="3"/>
        <v>0</v>
      </c>
      <c r="M40" s="6">
        <f t="shared" si="4"/>
        <v>33</v>
      </c>
      <c r="N40" s="5">
        <f t="shared" si="5"/>
        <v>31.998214285714287</v>
      </c>
      <c r="O40" s="3">
        <f t="shared" si="6"/>
        <v>0</v>
      </c>
      <c r="P40" s="5">
        <f t="shared" si="7"/>
        <v>31.998214285714287</v>
      </c>
      <c r="Q40" s="5">
        <f t="shared" si="8"/>
        <v>2.25</v>
      </c>
      <c r="R40" s="20">
        <f>R41</f>
        <v>193.92857142857142</v>
      </c>
      <c r="S40" s="6">
        <f t="shared" si="10"/>
        <v>46</v>
      </c>
      <c r="T40" s="7">
        <f t="shared" si="11"/>
        <v>147.92857142857142</v>
      </c>
      <c r="U40" s="7">
        <f t="shared" si="12"/>
        <v>63.996428571428574</v>
      </c>
      <c r="V40" s="6">
        <f t="shared" si="12"/>
        <v>0</v>
      </c>
      <c r="W40" s="7">
        <f t="shared" si="13"/>
        <v>63.996428571428574</v>
      </c>
      <c r="X40" s="7">
        <f t="shared" si="14"/>
        <v>387.85714285714283</v>
      </c>
      <c r="Y40" s="7">
        <f t="shared" si="14"/>
        <v>99</v>
      </c>
      <c r="Z40" s="7">
        <f t="shared" si="15"/>
        <v>288.85714285714283</v>
      </c>
      <c r="AA40" s="24">
        <f t="shared" si="16"/>
        <v>0.81253825062968543</v>
      </c>
      <c r="AB40" s="1"/>
    </row>
    <row r="41" spans="2:28" ht="18.75" thickBot="1" x14ac:dyDescent="0.3">
      <c r="B41" s="3">
        <v>1</v>
      </c>
      <c r="C41" s="7">
        <v>155764</v>
      </c>
      <c r="D41" s="7">
        <v>1437781</v>
      </c>
      <c r="E41" s="22">
        <v>294718</v>
      </c>
      <c r="F41" s="8">
        <f t="shared" si="0"/>
        <v>1888263</v>
      </c>
      <c r="G41" s="22">
        <f>(C42+D42+E42)+((S42/24)*3)</f>
        <v>1888210</v>
      </c>
      <c r="H41" s="7">
        <f>G41+((K41/12)*1.5)</f>
        <v>1888212.25</v>
      </c>
      <c r="I41" s="7">
        <v>984875</v>
      </c>
      <c r="J41" s="6">
        <f t="shared" si="3"/>
        <v>35</v>
      </c>
      <c r="K41" s="6">
        <f t="shared" si="3"/>
        <v>18</v>
      </c>
      <c r="L41" s="6">
        <f t="shared" si="3"/>
        <v>0</v>
      </c>
      <c r="M41" s="6">
        <f t="shared" si="4"/>
        <v>33</v>
      </c>
      <c r="N41" s="43">
        <f>O6/28</f>
        <v>31.998214285714287</v>
      </c>
      <c r="O41" s="3">
        <f t="shared" si="6"/>
        <v>0</v>
      </c>
      <c r="P41" s="5">
        <f t="shared" si="7"/>
        <v>31.998214285714287</v>
      </c>
      <c r="Q41" s="5">
        <f t="shared" si="8"/>
        <v>2.25</v>
      </c>
      <c r="R41" s="47">
        <f>S6/28</f>
        <v>193.92857142857142</v>
      </c>
      <c r="S41" s="6">
        <f t="shared" si="10"/>
        <v>53</v>
      </c>
      <c r="T41" s="7">
        <f t="shared" si="11"/>
        <v>140.92857142857142</v>
      </c>
      <c r="U41" s="7">
        <f>N41</f>
        <v>31.998214285714287</v>
      </c>
      <c r="V41" s="6">
        <f>O41</f>
        <v>0</v>
      </c>
      <c r="W41" s="7">
        <f t="shared" si="13"/>
        <v>31.998214285714287</v>
      </c>
      <c r="X41" s="7">
        <f>R41</f>
        <v>193.92857142857142</v>
      </c>
      <c r="Y41" s="7">
        <f>S41</f>
        <v>53</v>
      </c>
      <c r="Z41" s="7">
        <f t="shared" si="15"/>
        <v>140.92857142857142</v>
      </c>
      <c r="AA41" s="24">
        <f t="shared" si="16"/>
        <v>0.84889690895409153</v>
      </c>
      <c r="AB41" s="1"/>
    </row>
    <row r="42" spans="2:28" ht="54.75" thickBot="1" x14ac:dyDescent="0.3">
      <c r="B42" s="33" t="s">
        <v>13</v>
      </c>
      <c r="C42" s="7">
        <v>155729</v>
      </c>
      <c r="D42" s="7">
        <v>1437763</v>
      </c>
      <c r="E42" s="7">
        <v>294718</v>
      </c>
      <c r="F42" s="54">
        <v>1888210</v>
      </c>
      <c r="G42" s="55">
        <v>1888207</v>
      </c>
      <c r="H42" s="20">
        <v>1888207</v>
      </c>
      <c r="I42" s="7">
        <v>984842</v>
      </c>
      <c r="J42" s="10"/>
      <c r="K42" s="10"/>
      <c r="L42" s="10"/>
      <c r="M42" s="46">
        <f>SUM(M14:M41)</f>
        <v>783</v>
      </c>
      <c r="N42" s="10"/>
      <c r="O42" s="10"/>
      <c r="P42" s="10"/>
      <c r="Q42" s="10"/>
      <c r="R42" s="21"/>
      <c r="S42" s="10"/>
      <c r="T42" s="10"/>
      <c r="U42" s="10"/>
      <c r="V42" s="10"/>
      <c r="W42" s="10"/>
      <c r="X42" s="10"/>
      <c r="Y42" s="10"/>
      <c r="Z42" s="10"/>
      <c r="AA42" s="58">
        <f>AVERAGE(AA11:AA41)</f>
        <v>0.8148204205246854</v>
      </c>
    </row>
    <row r="43" spans="2:28" ht="18" x14ac:dyDescent="0.25">
      <c r="B43" s="34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21"/>
      <c r="S43" s="10"/>
      <c r="T43" s="10"/>
      <c r="U43" s="10"/>
      <c r="V43" s="10"/>
      <c r="W43" s="10"/>
      <c r="X43" s="10"/>
      <c r="Y43" s="10"/>
      <c r="Z43" s="10"/>
      <c r="AA43" s="10"/>
    </row>
    <row r="44" spans="2:28" ht="18" x14ac:dyDescent="0.25"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21"/>
      <c r="S44" s="10"/>
      <c r="T44" s="10"/>
      <c r="U44" s="10"/>
      <c r="V44" s="10"/>
      <c r="W44" s="10"/>
      <c r="X44" s="10"/>
      <c r="Y44" s="10"/>
      <c r="Z44" s="10"/>
      <c r="AA44" s="10"/>
    </row>
    <row r="45" spans="2:28" ht="18" x14ac:dyDescent="0.25">
      <c r="B45" s="10"/>
      <c r="C45" s="10"/>
      <c r="D45" s="41"/>
      <c r="E45" s="10"/>
      <c r="F45" s="10"/>
      <c r="G45" s="10"/>
      <c r="H45" s="10" t="s">
        <v>40</v>
      </c>
      <c r="I45" s="10"/>
      <c r="J45" s="10"/>
      <c r="K45" s="10"/>
      <c r="L45" s="10"/>
      <c r="M45" s="10"/>
      <c r="N45" s="10"/>
      <c r="O45" s="10"/>
      <c r="P45" s="10"/>
      <c r="Q45" s="10"/>
      <c r="R45" s="21"/>
      <c r="S45" s="10"/>
      <c r="T45" s="10"/>
      <c r="U45" s="10"/>
      <c r="V45" s="10"/>
      <c r="W45" s="10"/>
      <c r="X45" s="10"/>
      <c r="Y45" s="10"/>
      <c r="Z45" s="10"/>
      <c r="AA45" s="10"/>
    </row>
    <row r="46" spans="2:28" x14ac:dyDescent="0.25">
      <c r="C46" s="35"/>
    </row>
    <row r="52" spans="26:27" ht="18" x14ac:dyDescent="0.25">
      <c r="Z52" s="10" t="s">
        <v>38</v>
      </c>
    </row>
    <row r="53" spans="26:27" ht="18" x14ac:dyDescent="0.25">
      <c r="Z53" s="10" t="s">
        <v>44</v>
      </c>
      <c r="AA53" s="10"/>
    </row>
    <row r="54" spans="26:27" ht="18" x14ac:dyDescent="0.25">
      <c r="Z54" s="10" t="s">
        <v>45</v>
      </c>
      <c r="AA54" s="10"/>
    </row>
    <row r="55" spans="26:27" ht="18" x14ac:dyDescent="0.25">
      <c r="Z55" s="10" t="s">
        <v>12</v>
      </c>
      <c r="AA55" s="10"/>
    </row>
  </sheetData>
  <mergeCells count="10">
    <mergeCell ref="C5:E5"/>
    <mergeCell ref="U7:W7"/>
    <mergeCell ref="X7:AA7"/>
    <mergeCell ref="AB7:AB8"/>
    <mergeCell ref="B7:B8"/>
    <mergeCell ref="C7:I7"/>
    <mergeCell ref="J7:M7"/>
    <mergeCell ref="N7:P7"/>
    <mergeCell ref="Q7:Q8"/>
    <mergeCell ref="R7:T7"/>
  </mergeCells>
  <printOptions horizontalCentered="1"/>
  <pageMargins left="0.25" right="0.25" top="0.75" bottom="0.75" header="0.3" footer="0.3"/>
  <pageSetup paperSize="9" scale="4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7</vt:i4>
      </vt:variant>
    </vt:vector>
  </HeadingPairs>
  <TitlesOfParts>
    <vt:vector size="14" baseType="lpstr">
      <vt:lpstr>Cocina C</vt:lpstr>
      <vt:lpstr>Ciencia A</vt:lpstr>
      <vt:lpstr>Preparatoria</vt:lpstr>
      <vt:lpstr>Sede Martí</vt:lpstr>
      <vt:lpstr>A.Cultural</vt:lpstr>
      <vt:lpstr>Laboratorios Tec.</vt:lpstr>
      <vt:lpstr>Sede Fajardo</vt:lpstr>
      <vt:lpstr>A.Cultural!Área_de_impresión</vt:lpstr>
      <vt:lpstr>'Ciencia A'!Área_de_impresión</vt:lpstr>
      <vt:lpstr>'Cocina C'!Área_de_impresión</vt:lpstr>
      <vt:lpstr>'Laboratorios Tec.'!Área_de_impresión</vt:lpstr>
      <vt:lpstr>Preparatoria!Área_de_impresión</vt:lpstr>
      <vt:lpstr>'Sede Fajardo'!Área_de_impresión</vt:lpstr>
      <vt:lpstr>'Sede Martí'!Área_de_impresión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Mayra Vives Cruz</dc:creator>
  <cp:lastModifiedBy>Mayelin</cp:lastModifiedBy>
  <cp:lastPrinted>2025-03-05T19:46:24Z</cp:lastPrinted>
  <dcterms:created xsi:type="dcterms:W3CDTF">2019-08-08T19:02:32Z</dcterms:created>
  <dcterms:modified xsi:type="dcterms:W3CDTF">2025-03-05T19:47:03Z</dcterms:modified>
</cp:coreProperties>
</file>