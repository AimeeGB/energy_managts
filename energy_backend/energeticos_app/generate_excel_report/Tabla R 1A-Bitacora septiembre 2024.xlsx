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teoria_del_big_bang" sheetId="1" state="visible" r:id="rId1"/>
    <sheet name="Hoja 2" sheetId="2" state="visible" r:id="rId2"/>
  </sheets>
  <definedNames>
    <definedName name="_xlnm.Print_Area" localSheetId="0">'teoria_del_big_bang'!$A$1:$AB$55</definedName>
    <definedName name="_xlnm.Print_Area" localSheetId="1">'Hoja 2'!$A$1:$AB$55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septiembre-2024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Teoria del Big Bang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32000</v>
      </c>
      <c r="T6" s="38" t="inlineStr">
        <is>
          <t>Perdidas:</t>
        </is>
      </c>
      <c r="U6" s="38" t="n">
        <v>320</v>
      </c>
      <c r="V6" s="37">
        <f>U6/30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>
        <v>30</v>
      </c>
      <c r="C12" s="47" t="n">
        <v>156959</v>
      </c>
      <c r="D12" s="47" t="n">
        <v>145315</v>
      </c>
      <c r="E12" s="47" t="n">
        <v>245663</v>
      </c>
      <c r="F12" s="44">
        <f>C12+D12+E12</f>
        <v/>
      </c>
      <c r="G12" s="45">
        <f>(C13+D13+E13)+((S12/24)*62.00)</f>
        <v/>
      </c>
      <c r="H12" s="43">
        <f>G12+((K12/12)*40.00)</f>
        <v/>
      </c>
      <c r="I12" s="43" t="n">
        <v>985474</v>
      </c>
      <c r="J12" s="46">
        <f>C12-C13</f>
        <v/>
      </c>
      <c r="K12" s="46">
        <f>D12-D13</f>
        <v/>
      </c>
      <c r="L12" s="46">
        <f>E12-E13</f>
        <v/>
      </c>
      <c r="M12" s="46">
        <f>I12-I13</f>
        <v/>
      </c>
      <c r="N12" s="47">
        <f>N13</f>
        <v/>
      </c>
      <c r="O12" s="48">
        <f>L12</f>
        <v/>
      </c>
      <c r="P12" s="47">
        <f>N12-O12</f>
        <v/>
      </c>
      <c r="Q12" s="47">
        <f>H12-G12</f>
        <v/>
      </c>
      <c r="R12" s="52">
        <f>R13</f>
        <v/>
      </c>
      <c r="S12" s="46">
        <f>J12+K12+L12</f>
        <v/>
      </c>
      <c r="T12" s="43">
        <f>R12-S12</f>
        <v/>
      </c>
      <c r="U12" s="43">
        <f>U13+N12</f>
        <v/>
      </c>
      <c r="V12" s="43">
        <f>V13+O12</f>
        <v/>
      </c>
      <c r="W12" s="43">
        <f>U12-V12</f>
        <v/>
      </c>
      <c r="X12" s="43">
        <f>X13+R12</f>
        <v/>
      </c>
      <c r="Y12" s="43">
        <f>Y13+S12</f>
        <v/>
      </c>
      <c r="Z12" s="43">
        <f>X12-Y12</f>
        <v/>
      </c>
      <c r="AA12" s="49">
        <f>COS(ATAN(M12/S12))</f>
        <v/>
      </c>
      <c r="AB12" s="50" t="n"/>
    </row>
    <row r="13" ht="18" customHeight="1" s="51">
      <c r="B13" s="42" t="n">
        <v>29</v>
      </c>
      <c r="C13" s="47" t="n">
        <v>156966</v>
      </c>
      <c r="D13" s="47" t="n">
        <v>145327</v>
      </c>
      <c r="E13" s="47" t="n">
        <v>245623</v>
      </c>
      <c r="F13" s="44">
        <f>C13+D13+E13</f>
        <v/>
      </c>
      <c r="G13" s="45">
        <f>(C14+D14+E14)+((S13/24)*62.00)</f>
        <v/>
      </c>
      <c r="H13" s="43">
        <f>G13+((K13/12)*40.00)</f>
        <v/>
      </c>
      <c r="I13" s="43" t="n">
        <v>985495</v>
      </c>
      <c r="J13" s="46">
        <f>C13-C14</f>
        <v/>
      </c>
      <c r="K13" s="46">
        <f>D13-D14</f>
        <v/>
      </c>
      <c r="L13" s="46">
        <f>E13-E14</f>
        <v/>
      </c>
      <c r="M13" s="46">
        <f>I13-I14</f>
        <v/>
      </c>
      <c r="N13" s="47">
        <f>N14</f>
        <v/>
      </c>
      <c r="O13" s="48">
        <f>L13</f>
        <v/>
      </c>
      <c r="P13" s="47">
        <f>N13-O13</f>
        <v/>
      </c>
      <c r="Q13" s="47">
        <f>H13-G13</f>
        <v/>
      </c>
      <c r="R13" s="52">
        <f>R14</f>
        <v/>
      </c>
      <c r="S13" s="46">
        <f>J13+K13+L13</f>
        <v/>
      </c>
      <c r="T13" s="43">
        <f>R13-S13</f>
        <v/>
      </c>
      <c r="U13" s="43">
        <f>U14+N13</f>
        <v/>
      </c>
      <c r="V13" s="43">
        <f>V14+O13</f>
        <v/>
      </c>
      <c r="W13" s="43">
        <f>U13-V13</f>
        <v/>
      </c>
      <c r="X13" s="43">
        <f>X14+R13</f>
        <v/>
      </c>
      <c r="Y13" s="43">
        <f>Y14+S13</f>
        <v/>
      </c>
      <c r="Z13" s="43">
        <f>X13-Y13</f>
        <v/>
      </c>
      <c r="AA13" s="49">
        <f>COS(ATAN(M13/S13))</f>
        <v/>
      </c>
      <c r="AB13" s="50" t="n"/>
    </row>
    <row r="14" ht="18" customHeight="1" s="51">
      <c r="B14" s="42" t="n">
        <v>28</v>
      </c>
      <c r="C14" s="47" t="n">
        <v>156979</v>
      </c>
      <c r="D14" s="47" t="n">
        <v>145320</v>
      </c>
      <c r="E14" s="47" t="n">
        <v>245630</v>
      </c>
      <c r="F14" s="44">
        <f>C14+D14+E14</f>
        <v/>
      </c>
      <c r="G14" s="45">
        <f>(C15+D15+E15)+((S14/24)*62.00)</f>
        <v/>
      </c>
      <c r="H14" s="43">
        <f>G14+((K14/12)*40.00)</f>
        <v/>
      </c>
      <c r="I14" s="43" t="n">
        <v>985411</v>
      </c>
      <c r="J14" s="43">
        <f>C14-C15</f>
        <v/>
      </c>
      <c r="K14" s="46">
        <f>D14-D15</f>
        <v/>
      </c>
      <c r="L14" s="46">
        <f>E14-E15</f>
        <v/>
      </c>
      <c r="M14" s="46">
        <f>I14-I15</f>
        <v/>
      </c>
      <c r="N14" s="47">
        <f>N15</f>
        <v/>
      </c>
      <c r="O14" s="48">
        <f>L14</f>
        <v/>
      </c>
      <c r="P14" s="47">
        <f>N14-O14</f>
        <v/>
      </c>
      <c r="Q14" s="47">
        <f>H14-G14</f>
        <v/>
      </c>
      <c r="R14" s="52">
        <f>R15</f>
        <v/>
      </c>
      <c r="S14" s="46">
        <f>J14+K14+L14</f>
        <v/>
      </c>
      <c r="T14" s="43">
        <f>R14-S14</f>
        <v/>
      </c>
      <c r="U14" s="43">
        <f>U15+N14</f>
        <v/>
      </c>
      <c r="V14" s="43">
        <f>V15+O14</f>
        <v/>
      </c>
      <c r="W14" s="43">
        <f>U14-V14</f>
        <v/>
      </c>
      <c r="X14" s="43">
        <f>X15+R14</f>
        <v/>
      </c>
      <c r="Y14" s="43">
        <f>Y15+S14</f>
        <v/>
      </c>
      <c r="Z14" s="43">
        <f>X14-Y14</f>
        <v/>
      </c>
      <c r="AA14" s="49">
        <f>COS(ATAN(M14/S14))</f>
        <v/>
      </c>
      <c r="AB14" s="50" t="n"/>
    </row>
    <row r="15" ht="18" customHeight="1" s="51">
      <c r="B15" s="42" t="n">
        <v>27</v>
      </c>
      <c r="C15" s="47" t="n">
        <v>156932</v>
      </c>
      <c r="D15" s="47" t="n">
        <v>145392</v>
      </c>
      <c r="E15" s="47" t="n">
        <v>245666</v>
      </c>
      <c r="F15" s="44">
        <f>C15+D15+E15</f>
        <v/>
      </c>
      <c r="G15" s="45">
        <f>(C16+D16+E16)+((S15/24)*62.00)</f>
        <v/>
      </c>
      <c r="H15" s="43">
        <f>G15+((K15/12)*40.00)</f>
        <v/>
      </c>
      <c r="I15" s="43" t="n">
        <v>985442</v>
      </c>
      <c r="J15" s="46">
        <f>C15-C16</f>
        <v/>
      </c>
      <c r="K15" s="46">
        <f>D15-D16</f>
        <v/>
      </c>
      <c r="L15" s="46">
        <f>E15-E16</f>
        <v/>
      </c>
      <c r="M15" s="46">
        <f>I15-I16</f>
        <v/>
      </c>
      <c r="N15" s="47">
        <f>N16</f>
        <v/>
      </c>
      <c r="O15" s="48">
        <f>L15</f>
        <v/>
      </c>
      <c r="P15" s="47">
        <f>N15-O15</f>
        <v/>
      </c>
      <c r="Q15" s="47">
        <f>H15-G15</f>
        <v/>
      </c>
      <c r="R15" s="52">
        <f>R16</f>
        <v/>
      </c>
      <c r="S15" s="46">
        <f>J15+K15+L15</f>
        <v/>
      </c>
      <c r="T15" s="43">
        <f>R15-S15</f>
        <v/>
      </c>
      <c r="U15" s="43">
        <f>U16+N15</f>
        <v/>
      </c>
      <c r="V15" s="43">
        <f>V16+O15</f>
        <v/>
      </c>
      <c r="W15" s="43">
        <f>U15-V15</f>
        <v/>
      </c>
      <c r="X15" s="43">
        <f>X16+R15</f>
        <v/>
      </c>
      <c r="Y15" s="43">
        <f>Y16+S15</f>
        <v/>
      </c>
      <c r="Z15" s="43">
        <f>X15-Y15</f>
        <v/>
      </c>
      <c r="AA15" s="49">
        <f>COS(ATAN(M15/S15))</f>
        <v/>
      </c>
      <c r="AB15" s="50" t="n"/>
    </row>
    <row r="16" ht="18" customHeight="1" s="51">
      <c r="B16" s="42" t="n">
        <v>26</v>
      </c>
      <c r="C16" s="47" t="n">
        <v>156996</v>
      </c>
      <c r="D16" s="47" t="n">
        <v>145369</v>
      </c>
      <c r="E16" s="47" t="n">
        <v>245618</v>
      </c>
      <c r="F16" s="44">
        <f>C16+D16+E16</f>
        <v/>
      </c>
      <c r="G16" s="45">
        <f>(C17+D17+E17)+((S16/24)*62.00)</f>
        <v/>
      </c>
      <c r="H16" s="43">
        <f>G16+((K16/12)*40.00)</f>
        <v/>
      </c>
      <c r="I16" s="43" t="n">
        <v>985436</v>
      </c>
      <c r="J16" s="46">
        <f>C16-C17</f>
        <v/>
      </c>
      <c r="K16" s="46">
        <f>D16-D17</f>
        <v/>
      </c>
      <c r="L16" s="46">
        <f>E16-E17</f>
        <v/>
      </c>
      <c r="M16" s="46">
        <f>I16-I17</f>
        <v/>
      </c>
      <c r="N16" s="47">
        <f>N17</f>
        <v/>
      </c>
      <c r="O16" s="48">
        <f>L16</f>
        <v/>
      </c>
      <c r="P16" s="47">
        <f>N16-O16</f>
        <v/>
      </c>
      <c r="Q16" s="47">
        <f>H16-G16</f>
        <v/>
      </c>
      <c r="R16" s="52">
        <f>R17</f>
        <v/>
      </c>
      <c r="S16" s="46">
        <f>J16+K16+L16</f>
        <v/>
      </c>
      <c r="T16" s="43">
        <f>R16-S16</f>
        <v/>
      </c>
      <c r="U16" s="43">
        <f>U17+N16</f>
        <v/>
      </c>
      <c r="V16" s="43">
        <f>V17+O16</f>
        <v/>
      </c>
      <c r="W16" s="43">
        <f>U16-V16</f>
        <v/>
      </c>
      <c r="X16" s="43">
        <f>X17+R16</f>
        <v/>
      </c>
      <c r="Y16" s="43">
        <f>Y17+S16</f>
        <v/>
      </c>
      <c r="Z16" s="43">
        <f>X16-Y16</f>
        <v/>
      </c>
      <c r="AA16" s="49">
        <f>COS(ATAN(M16/S16))</f>
        <v/>
      </c>
      <c r="AB16" s="50" t="n"/>
    </row>
    <row r="17" ht="18" customHeight="1" s="51">
      <c r="B17" s="42" t="n">
        <v>25</v>
      </c>
      <c r="C17" s="47" t="n">
        <v>156941</v>
      </c>
      <c r="D17" s="47" t="n">
        <v>145350</v>
      </c>
      <c r="E17" s="47" t="n">
        <v>245623</v>
      </c>
      <c r="F17" s="44">
        <f>C17+D17+E17</f>
        <v/>
      </c>
      <c r="G17" s="45">
        <f>(C18+D18+E18)+((S17/24)*62.00)</f>
        <v/>
      </c>
      <c r="H17" s="43">
        <f>G17+((K17/12)*40.00)</f>
        <v/>
      </c>
      <c r="I17" s="43" t="n">
        <v>985425</v>
      </c>
      <c r="J17" s="46">
        <f>C17-C18</f>
        <v/>
      </c>
      <c r="K17" s="46">
        <f>D17-D18</f>
        <v/>
      </c>
      <c r="L17" s="46">
        <f>E17-E18</f>
        <v/>
      </c>
      <c r="M17" s="46">
        <f>I17-I18</f>
        <v/>
      </c>
      <c r="N17" s="47">
        <f>N18</f>
        <v/>
      </c>
      <c r="O17" s="48">
        <f>L17</f>
        <v/>
      </c>
      <c r="P17" s="47">
        <f>N17-O17</f>
        <v/>
      </c>
      <c r="Q17" s="47">
        <f>H17-G17</f>
        <v/>
      </c>
      <c r="R17" s="52">
        <f>R18</f>
        <v/>
      </c>
      <c r="S17" s="46">
        <f>J17+K17+L17</f>
        <v/>
      </c>
      <c r="T17" s="43">
        <f>R17-S17</f>
        <v/>
      </c>
      <c r="U17" s="43">
        <f>U18+N17</f>
        <v/>
      </c>
      <c r="V17" s="43">
        <f>V18+O17</f>
        <v/>
      </c>
      <c r="W17" s="43">
        <f>U17-V17</f>
        <v/>
      </c>
      <c r="X17" s="43">
        <f>X18+R17</f>
        <v/>
      </c>
      <c r="Y17" s="43">
        <f>Y18+S17</f>
        <v/>
      </c>
      <c r="Z17" s="43">
        <f>X17-Y17</f>
        <v/>
      </c>
      <c r="AA17" s="49">
        <f>COS(ATAN(M17/S17))</f>
        <v/>
      </c>
      <c r="AB17" s="50" t="n"/>
    </row>
    <row r="18" ht="18" customHeight="1" s="51">
      <c r="B18" s="42" t="n">
        <v>24</v>
      </c>
      <c r="C18" s="47" t="n">
        <v>156978</v>
      </c>
      <c r="D18" s="47" t="n">
        <v>145374</v>
      </c>
      <c r="E18" s="47" t="n">
        <v>245652</v>
      </c>
      <c r="F18" s="44">
        <f>C18+D18+E18</f>
        <v/>
      </c>
      <c r="G18" s="45">
        <f>(C19+D19+E19)+((S18/24)*62.00)</f>
        <v/>
      </c>
      <c r="H18" s="43">
        <f>G18+((K18/12)*40.00)</f>
        <v/>
      </c>
      <c r="I18" s="43" t="n">
        <v>985420</v>
      </c>
      <c r="J18" s="46">
        <f>C18-C19</f>
        <v/>
      </c>
      <c r="K18" s="46">
        <f>D18-D19</f>
        <v/>
      </c>
      <c r="L18" s="46">
        <f>E18-E19</f>
        <v/>
      </c>
      <c r="M18" s="46">
        <f>I18-I19</f>
        <v/>
      </c>
      <c r="N18" s="47">
        <f>N19</f>
        <v/>
      </c>
      <c r="O18" s="48">
        <f>L18</f>
        <v/>
      </c>
      <c r="P18" s="47">
        <f>N18-O18</f>
        <v/>
      </c>
      <c r="Q18" s="47">
        <f>H18-G18</f>
        <v/>
      </c>
      <c r="R18" s="52">
        <f>R19</f>
        <v/>
      </c>
      <c r="S18" s="46">
        <f>J18+K18+L18</f>
        <v/>
      </c>
      <c r="T18" s="43">
        <f>R18-S18</f>
        <v/>
      </c>
      <c r="U18" s="43">
        <f>U19+N18</f>
        <v/>
      </c>
      <c r="V18" s="43">
        <f>V19+O18</f>
        <v/>
      </c>
      <c r="W18" s="43">
        <f>U18-V18</f>
        <v/>
      </c>
      <c r="X18" s="43">
        <f>X19+R18</f>
        <v/>
      </c>
      <c r="Y18" s="43">
        <f>Y19+S18</f>
        <v/>
      </c>
      <c r="Z18" s="43">
        <f>X18-Y18</f>
        <v/>
      </c>
      <c r="AA18" s="49">
        <f>COS(ATAN(M18/S18))</f>
        <v/>
      </c>
      <c r="AB18" s="50" t="n"/>
    </row>
    <row r="19" ht="18" customHeight="1" s="51">
      <c r="B19" s="42" t="n">
        <v>23</v>
      </c>
      <c r="C19" s="47" t="n">
        <v>156974</v>
      </c>
      <c r="D19" s="47" t="n">
        <v>145396</v>
      </c>
      <c r="E19" s="47" t="n">
        <v>245663</v>
      </c>
      <c r="F19" s="44">
        <f>C19+D19+E19</f>
        <v/>
      </c>
      <c r="G19" s="45">
        <f>(C20+D20+E20)+((S19/24)*62.00)</f>
        <v/>
      </c>
      <c r="H19" s="43">
        <f>G19+((K19/12)*40.00)</f>
        <v/>
      </c>
      <c r="I19" s="43" t="n">
        <v>985424</v>
      </c>
      <c r="J19" s="46">
        <f>C19-C20</f>
        <v/>
      </c>
      <c r="K19" s="46">
        <f>D19-D20</f>
        <v/>
      </c>
      <c r="L19" s="46">
        <f>E19-E20</f>
        <v/>
      </c>
      <c r="M19" s="46">
        <f>I19-I20</f>
        <v/>
      </c>
      <c r="N19" s="47">
        <f>N20</f>
        <v/>
      </c>
      <c r="O19" s="42">
        <f>L19</f>
        <v/>
      </c>
      <c r="P19" s="47">
        <f>N19-O19</f>
        <v/>
      </c>
      <c r="Q19" s="47">
        <f>H19-G19</f>
        <v/>
      </c>
      <c r="R19" s="52">
        <f>R20</f>
        <v/>
      </c>
      <c r="S19" s="46">
        <f>J19+K19+L19</f>
        <v/>
      </c>
      <c r="T19" s="43">
        <f>R19-S19</f>
        <v/>
      </c>
      <c r="U19" s="43">
        <f>U20+N19</f>
        <v/>
      </c>
      <c r="V19" s="43">
        <f>V20+O19</f>
        <v/>
      </c>
      <c r="W19" s="43">
        <f>U19-V19</f>
        <v/>
      </c>
      <c r="X19" s="43">
        <f>X20+R19</f>
        <v/>
      </c>
      <c r="Y19" s="43">
        <f>Y20+S19</f>
        <v/>
      </c>
      <c r="Z19" s="43">
        <f>X19-Y19</f>
        <v/>
      </c>
      <c r="AA19" s="49">
        <f>COS(ATAN(M19/S19))</f>
        <v/>
      </c>
      <c r="AB19" s="1" t="n"/>
    </row>
    <row r="20" ht="18" customHeight="1" s="51">
      <c r="B20" s="42" t="n">
        <v>22</v>
      </c>
      <c r="C20" s="47" t="n">
        <v>156925</v>
      </c>
      <c r="D20" s="47" t="n">
        <v>145312</v>
      </c>
      <c r="E20" s="47" t="n">
        <v>245632</v>
      </c>
      <c r="F20" s="44">
        <f>C20+D20+E20</f>
        <v/>
      </c>
      <c r="G20" s="45">
        <f>(C21+D21+E21)+((S20/24)*62.00)</f>
        <v/>
      </c>
      <c r="H20" s="43">
        <f>G20+((K20/12)*40.00)</f>
        <v/>
      </c>
      <c r="I20" s="43" t="n">
        <v>985452</v>
      </c>
      <c r="J20" s="46">
        <f>C20-C21</f>
        <v/>
      </c>
      <c r="K20" s="46">
        <f>D20-D21</f>
        <v/>
      </c>
      <c r="L20" s="46">
        <f>E20-E21</f>
        <v/>
      </c>
      <c r="M20" s="46">
        <f>I20-I21</f>
        <v/>
      </c>
      <c r="N20" s="47">
        <f>N21</f>
        <v/>
      </c>
      <c r="O20" s="42">
        <f>L20</f>
        <v/>
      </c>
      <c r="P20" s="47">
        <f>N20-O20</f>
        <v/>
      </c>
      <c r="Q20" s="47">
        <f>H20-G20</f>
        <v/>
      </c>
      <c r="R20" s="52">
        <f>R21</f>
        <v/>
      </c>
      <c r="S20" s="46">
        <f>J20+K20+L20</f>
        <v/>
      </c>
      <c r="T20" s="43">
        <f>R20-S20</f>
        <v/>
      </c>
      <c r="U20" s="43">
        <f>U21+N20</f>
        <v/>
      </c>
      <c r="V20" s="43">
        <f>V21+O20</f>
        <v/>
      </c>
      <c r="W20" s="43">
        <f>U20-V20</f>
        <v/>
      </c>
      <c r="X20" s="43">
        <f>X21+R20</f>
        <v/>
      </c>
      <c r="Y20" s="43">
        <f>Y21+S20</f>
        <v/>
      </c>
      <c r="Z20" s="43">
        <f>X20-Y20</f>
        <v/>
      </c>
      <c r="AA20" s="49">
        <f>COS(ATAN(M20/S20))</f>
        <v/>
      </c>
      <c r="AB20" s="1" t="n"/>
    </row>
    <row r="21" ht="18" customHeight="1" s="51">
      <c r="B21" s="42" t="n">
        <v>21</v>
      </c>
      <c r="C21" s="47" t="n">
        <v>156911</v>
      </c>
      <c r="D21" s="47" t="n">
        <v>145394</v>
      </c>
      <c r="E21" s="47" t="n">
        <v>245653</v>
      </c>
      <c r="F21" s="44">
        <f>C21+D21+E21</f>
        <v/>
      </c>
      <c r="G21" s="45">
        <f>(C22+D22+E22)+((S21/24)*62.00)</f>
        <v/>
      </c>
      <c r="H21" s="43">
        <f>G21+((K21/12)*40.00)</f>
        <v/>
      </c>
      <c r="I21" s="43" t="n">
        <v>985420</v>
      </c>
      <c r="J21" s="46">
        <f>C21-C22</f>
        <v/>
      </c>
      <c r="K21" s="46">
        <f>D21-D22</f>
        <v/>
      </c>
      <c r="L21" s="46">
        <f>E21-E22</f>
        <v/>
      </c>
      <c r="M21" s="46">
        <f>I21-I22</f>
        <v/>
      </c>
      <c r="N21" s="47">
        <f>N22</f>
        <v/>
      </c>
      <c r="O21" s="42">
        <f>L21</f>
        <v/>
      </c>
      <c r="P21" s="47">
        <f>N21-O21</f>
        <v/>
      </c>
      <c r="Q21" s="47">
        <f>H21-G21</f>
        <v/>
      </c>
      <c r="R21" s="52">
        <f>R22</f>
        <v/>
      </c>
      <c r="S21" s="46">
        <f>J21+K21+L21</f>
        <v/>
      </c>
      <c r="T21" s="43">
        <f>R21-S21</f>
        <v/>
      </c>
      <c r="U21" s="43">
        <f>U22+N21</f>
        <v/>
      </c>
      <c r="V21" s="43">
        <f>V22+O21</f>
        <v/>
      </c>
      <c r="W21" s="43">
        <f>U21-V21</f>
        <v/>
      </c>
      <c r="X21" s="43">
        <f>X22+R21</f>
        <v/>
      </c>
      <c r="Y21" s="43">
        <f>Y22+S21</f>
        <v/>
      </c>
      <c r="Z21" s="43">
        <f>X21-Y21</f>
        <v/>
      </c>
      <c r="AA21" s="49">
        <f>COS(ATAN(M21/S21))</f>
        <v/>
      </c>
      <c r="AB21" s="1" t="n"/>
    </row>
    <row r="22" ht="18" customHeight="1" s="51">
      <c r="B22" s="42" t="n">
        <v>20</v>
      </c>
      <c r="C22" s="47" t="n">
        <v>156941</v>
      </c>
      <c r="D22" s="47" t="n">
        <v>145305</v>
      </c>
      <c r="E22" s="47" t="n">
        <v>245663</v>
      </c>
      <c r="F22" s="8">
        <f>C22+D22+E22</f>
        <v/>
      </c>
      <c r="G22" s="45">
        <f>(C23+D23+E23)+((S22/24)*62.00)</f>
        <v/>
      </c>
      <c r="H22" s="43">
        <f>G22+((K22/12)*40.00)</f>
        <v/>
      </c>
      <c r="I22" s="43" t="n">
        <v>985401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156940</v>
      </c>
      <c r="D23" s="47" t="n">
        <v>145313</v>
      </c>
      <c r="E23" s="47" t="n">
        <v>245662</v>
      </c>
      <c r="F23" s="44">
        <f>C23+D23+E23</f>
        <v/>
      </c>
      <c r="G23" s="45">
        <f>(C24+D24+E24)+((S23/24)*62.00)</f>
        <v/>
      </c>
      <c r="H23" s="43">
        <f>G23+((K23/12)*40.00)</f>
        <v/>
      </c>
      <c r="I23" s="43" t="n">
        <v>985495</v>
      </c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156930</v>
      </c>
      <c r="D24" s="47" t="n">
        <v>145302</v>
      </c>
      <c r="E24" s="47" t="n">
        <v>245625</v>
      </c>
      <c r="F24" s="44">
        <f>C24+D24+E24</f>
        <v/>
      </c>
      <c r="G24" s="45">
        <f>(C25+D25+E25)+((S24/24)*62.00)</f>
        <v/>
      </c>
      <c r="H24" s="43">
        <f>G24+((K24/12)*40.00)</f>
        <v/>
      </c>
      <c r="I24" s="43" t="n">
        <v>985484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156955</v>
      </c>
      <c r="D25" s="47" t="n">
        <v>145341</v>
      </c>
      <c r="E25" s="47" t="n">
        <v>245620</v>
      </c>
      <c r="F25" s="44">
        <f>C25+D25+E25</f>
        <v/>
      </c>
      <c r="G25" s="45">
        <f>(C26+D26+E26)+((S25/24)*62.00)</f>
        <v/>
      </c>
      <c r="H25" s="43">
        <f>G25+((K25/12)*40.00)</f>
        <v/>
      </c>
      <c r="I25" s="43" t="n">
        <v>985430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156965</v>
      </c>
      <c r="D26" s="47" t="n">
        <v>145384</v>
      </c>
      <c r="E26" s="47" t="n">
        <v>245685</v>
      </c>
      <c r="F26" s="44">
        <f>C26+D26+E26</f>
        <v/>
      </c>
      <c r="G26" s="45">
        <f>(C27+D27+E27)+((S26/24)*62.00)</f>
        <v/>
      </c>
      <c r="H26" s="43">
        <f>G26+((K26/12)*40.00)</f>
        <v/>
      </c>
      <c r="I26" s="43" t="n">
        <v>985463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156932</v>
      </c>
      <c r="D27" s="47" t="n">
        <v>145394</v>
      </c>
      <c r="E27" s="47" t="n">
        <v>245656</v>
      </c>
      <c r="F27" s="44">
        <f>C27+D27+E27</f>
        <v/>
      </c>
      <c r="G27" s="45">
        <f>(C28+D28+E28)+((S27/24)*62.00)</f>
        <v/>
      </c>
      <c r="H27" s="43">
        <f>G27+((K27/12)*40.00)</f>
        <v/>
      </c>
      <c r="I27" s="43" t="n">
        <v>985462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156923</v>
      </c>
      <c r="D28" s="47" t="n">
        <v>145374</v>
      </c>
      <c r="E28" s="47" t="n">
        <v>245652</v>
      </c>
      <c r="F28" s="44">
        <f>C28+D28+E28</f>
        <v/>
      </c>
      <c r="G28" s="45">
        <f>(C29+D29+E29)+((S28/24)*62.00)</f>
        <v/>
      </c>
      <c r="H28" s="43">
        <f>G28+((K28/12)*40.00)</f>
        <v/>
      </c>
      <c r="I28" s="43" t="n">
        <v>985474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156975</v>
      </c>
      <c r="D29" s="47" t="n">
        <v>145399</v>
      </c>
      <c r="E29" s="47" t="n">
        <v>245636</v>
      </c>
      <c r="F29" s="44">
        <f>C29+D29+E29</f>
        <v/>
      </c>
      <c r="G29" s="45">
        <f>(C30+D30+E30)+((S29/24)*62.00)</f>
        <v/>
      </c>
      <c r="H29" s="43">
        <f>G29+((K29/12)*40.00)</f>
        <v/>
      </c>
      <c r="I29" s="43" t="n">
        <v>985452</v>
      </c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156976</v>
      </c>
      <c r="D30" s="47" t="n">
        <v>145379</v>
      </c>
      <c r="E30" s="47" t="n">
        <v>245652</v>
      </c>
      <c r="F30" s="44">
        <f>C30+D30+E30</f>
        <v/>
      </c>
      <c r="G30" s="45">
        <f>(C31+D31+E31)+((S30/24)*62.00)</f>
        <v/>
      </c>
      <c r="H30" s="43">
        <f>G30+((K30/12)*40.00)</f>
        <v/>
      </c>
      <c r="I30" s="43" t="n">
        <v>985414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156902</v>
      </c>
      <c r="D31" s="47" t="n">
        <v>145300</v>
      </c>
      <c r="E31" s="47" t="n">
        <v>245625</v>
      </c>
      <c r="F31" s="44">
        <f>C31+D31+E31</f>
        <v/>
      </c>
      <c r="G31" s="45">
        <f>(C32+D32+E32)+((S31/24)*62.00)</f>
        <v/>
      </c>
      <c r="H31" s="43">
        <f>G31+((K31/12)*40.00)</f>
        <v/>
      </c>
      <c r="I31" s="43" t="n">
        <v>985485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156995</v>
      </c>
      <c r="D32" s="47" t="n">
        <v>145398</v>
      </c>
      <c r="E32" s="47" t="n">
        <v>245644</v>
      </c>
      <c r="F32" s="44">
        <f>C32+D32+E32</f>
        <v/>
      </c>
      <c r="G32" s="45">
        <f>(C33+D33+E33)+((S32/24)*62.00)</f>
        <v/>
      </c>
      <c r="H32" s="43">
        <f>G32+((K32/12)*40.00)</f>
        <v/>
      </c>
      <c r="I32" s="43" t="n">
        <v>985412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156974</v>
      </c>
      <c r="D33" s="47" t="n">
        <v>145386</v>
      </c>
      <c r="E33" s="47" t="n">
        <v>245620</v>
      </c>
      <c r="F33" s="44">
        <f>C33+D33+E33</f>
        <v/>
      </c>
      <c r="G33" s="45">
        <f>(C34+D34+E34)+((S33/24)*62.00)</f>
        <v/>
      </c>
      <c r="H33" s="43">
        <f>G33+((K33/12)*40.00)</f>
        <v/>
      </c>
      <c r="I33" s="43" t="n">
        <v>985436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156965</v>
      </c>
      <c r="D34" s="47" t="n">
        <v>145359</v>
      </c>
      <c r="E34" s="47" t="n">
        <v>245631</v>
      </c>
      <c r="F34" s="44">
        <f>C34+D34+E34</f>
        <v/>
      </c>
      <c r="G34" s="45">
        <f>(C35+D35+E35)+((S34/24)*62.00)</f>
        <v/>
      </c>
      <c r="H34" s="43">
        <f>G34+((K34/12)*40.00)</f>
        <v/>
      </c>
      <c r="I34" s="43" t="n">
        <v>985452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156923</v>
      </c>
      <c r="D35" s="47" t="n">
        <v>145386</v>
      </c>
      <c r="E35" s="47" t="n">
        <v>245674</v>
      </c>
      <c r="F35" s="44">
        <f>C35+D35+E35</f>
        <v/>
      </c>
      <c r="G35" s="45">
        <f>(C36+D36+E36)+((S35/24)*62.00)</f>
        <v/>
      </c>
      <c r="H35" s="43">
        <f>G35+((K35/12)*40.00)</f>
        <v/>
      </c>
      <c r="I35" s="43" t="n">
        <v>985442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156995</v>
      </c>
      <c r="D36" s="43" t="n">
        <v>145352</v>
      </c>
      <c r="E36" s="45" t="n">
        <v>245632</v>
      </c>
      <c r="F36" s="44">
        <f>C36+D36+E36</f>
        <v/>
      </c>
      <c r="G36" s="45">
        <f>(C37+D37+E37)+((S36/24)*62.00)</f>
        <v/>
      </c>
      <c r="H36" s="43">
        <f>G36+((K36/12)*40.00)</f>
        <v/>
      </c>
      <c r="I36" s="43" t="n">
        <v>985401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156987</v>
      </c>
      <c r="D37" s="43" t="n">
        <v>145356</v>
      </c>
      <c r="E37" s="45" t="n">
        <v>245698</v>
      </c>
      <c r="F37" s="44">
        <f>C37+D37+E37</f>
        <v/>
      </c>
      <c r="G37" s="45">
        <f>(C38+D38+E38)+((S37/24)*62.00)</f>
        <v/>
      </c>
      <c r="H37" s="43">
        <f>G37+((K37/12)*40.00)</f>
        <v/>
      </c>
      <c r="I37" s="43" t="n">
        <v>985421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156932</v>
      </c>
      <c r="D38" s="43" t="n">
        <v>145320</v>
      </c>
      <c r="E38" s="45" t="n">
        <v>245600</v>
      </c>
      <c r="F38" s="8">
        <f>C38+D38+E38</f>
        <v/>
      </c>
      <c r="G38" s="45">
        <f>(C39+D39+E39)+((S38/24)*62.00)</f>
        <v/>
      </c>
      <c r="H38" s="43">
        <f>G38+((K38/12)*40.00)</f>
        <v/>
      </c>
      <c r="I38" s="43" t="n">
        <v>985478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156987</v>
      </c>
      <c r="D39" s="43" t="n">
        <v>145302</v>
      </c>
      <c r="E39" s="45" t="n">
        <v>245698</v>
      </c>
      <c r="F39" s="44">
        <f>C39+D39+E39</f>
        <v/>
      </c>
      <c r="G39" s="45">
        <f>(C40+D40+E40)+((S39/24)*62.00)</f>
        <v/>
      </c>
      <c r="H39" s="43">
        <f>G39+((K39/12)*40.00)</f>
        <v/>
      </c>
      <c r="I39" s="43" t="n">
        <v>985471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156945</v>
      </c>
      <c r="D40" s="43" t="n">
        <v>145326</v>
      </c>
      <c r="E40" s="45" t="n">
        <v>245647</v>
      </c>
      <c r="F40" s="44">
        <f>C40+D40+E40</f>
        <v/>
      </c>
      <c r="G40" s="45">
        <f>(C41+D41+E41)+((S40/24)*62.00)</f>
        <v/>
      </c>
      <c r="H40" s="43">
        <f>G40+((K40/12)*40.00)</f>
        <v/>
      </c>
      <c r="I40" s="43" t="n">
        <v>985423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156982</v>
      </c>
      <c r="D41" s="43" t="n">
        <v>145328</v>
      </c>
      <c r="E41" s="45" t="n">
        <v>245684</v>
      </c>
      <c r="F41" s="44">
        <f>C41+D41+E41</f>
        <v/>
      </c>
      <c r="G41" s="45">
        <f>(C42+D42+E42)+((S41/24)*62.00)</f>
        <v/>
      </c>
      <c r="H41" s="43">
        <f>G41+((K41/12)*40.00)</f>
        <v/>
      </c>
      <c r="I41" s="43" t="n">
        <v>985412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O6/30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S6/30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524987</v>
      </c>
      <c r="D42" s="43" t="n">
        <v>102459</v>
      </c>
      <c r="E42" s="43" t="n">
        <v>112354</v>
      </c>
      <c r="F42" s="39" t="n">
        <v>120387</v>
      </c>
      <c r="G42" s="40" t="n">
        <v>123369</v>
      </c>
      <c r="H42" s="52" t="n">
        <v>541258</v>
      </c>
      <c r="I42" s="43" t="n">
        <v>549620</v>
      </c>
      <c r="J42" s="9" t="n"/>
      <c r="K42" s="9" t="n"/>
      <c r="L42" s="9" t="n"/>
      <c r="M42" s="35">
        <f>SUM(M12:M41)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AVERAGE(AA12:AA41)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12">
      <c r="N4112" s="63" t="n"/>
      <c r="R4112" s="63" t="n"/>
    </row>
    <row r="4113">
      <c r="N4113" s="63" t="n"/>
      <c r="R4113" s="63" t="n"/>
    </row>
    <row r="4114">
      <c r="N4114" s="63" t="n"/>
      <c r="R4114" s="63" t="n"/>
    </row>
    <row r="4115">
      <c r="N4115" s="63" t="n"/>
      <c r="R4115" s="63" t="n"/>
    </row>
    <row r="4116">
      <c r="N4116" s="63" t="n"/>
      <c r="R4116" s="63" t="n"/>
    </row>
    <row r="4117">
      <c r="N4117" s="63" t="n"/>
      <c r="R4117" s="63" t="n"/>
    </row>
    <row r="4118">
      <c r="N4118" s="63" t="n"/>
      <c r="R4118" s="63" t="n"/>
    </row>
    <row r="4119">
      <c r="N4119" s="63" t="n"/>
      <c r="R4119" s="63" t="n"/>
    </row>
    <row r="4120">
      <c r="N4120" s="63" t="n"/>
      <c r="R4120" s="63" t="n"/>
    </row>
    <row r="4121">
      <c r="N4121" s="63" t="n"/>
      <c r="R4121" s="63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55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n"/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N6" s="11" t="inlineStr">
        <is>
          <t>Plan Pico N</t>
        </is>
      </c>
      <c r="O6" s="25" t="n"/>
      <c r="P6" s="26" t="inlineStr">
        <is>
          <t>Plan Pico D</t>
        </is>
      </c>
      <c r="Q6" s="10" t="n"/>
      <c r="R6" s="13" t="inlineStr">
        <is>
          <t>PLAN MES</t>
        </is>
      </c>
      <c r="S6" s="10" t="n"/>
      <c r="T6" s="38" t="inlineStr">
        <is>
          <t>Perdidas:</t>
        </is>
      </c>
      <c r="U6" s="38" t="n"/>
      <c r="V6" s="37" t="n"/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/>
      <c r="C32" s="47" t="n"/>
      <c r="D32" s="47" t="n"/>
      <c r="E32" s="47" t="n"/>
      <c r="F32" s="44" t="n"/>
      <c r="G32" s="45" t="n"/>
      <c r="H32" s="43" t="n"/>
      <c r="I32" s="43" t="n"/>
      <c r="J32" s="46" t="n"/>
      <c r="K32" s="46" t="n"/>
      <c r="L32" s="46" t="n"/>
      <c r="M32" s="46" t="n"/>
      <c r="N32" s="47" t="n"/>
      <c r="O32" s="42" t="n"/>
      <c r="P32" s="47" t="n"/>
      <c r="Q32" s="47" t="n"/>
      <c r="R32" s="52" t="n"/>
      <c r="S32" s="46" t="n"/>
      <c r="T32" s="43" t="n"/>
      <c r="U32" s="43" t="n"/>
      <c r="V32" s="46" t="n"/>
      <c r="W32" s="43" t="n"/>
      <c r="X32" s="43" t="n"/>
      <c r="Y32" s="43" t="n"/>
      <c r="Z32" s="43" t="n"/>
      <c r="AA32" s="49" t="n"/>
      <c r="AB32" s="1" t="n"/>
    </row>
    <row r="33" ht="18" customHeight="1" s="51">
      <c r="B33" s="42" t="n"/>
      <c r="C33" s="47" t="n"/>
      <c r="D33" s="47" t="n"/>
      <c r="E33" s="47" t="n"/>
      <c r="F33" s="44" t="n"/>
      <c r="G33" s="45" t="n"/>
      <c r="H33" s="43" t="n"/>
      <c r="I33" s="43" t="n"/>
      <c r="J33" s="46" t="n"/>
      <c r="K33" s="46" t="n"/>
      <c r="L33" s="46" t="n"/>
      <c r="M33" s="46" t="n"/>
      <c r="N33" s="47" t="n"/>
      <c r="O33" s="42" t="n"/>
      <c r="P33" s="47" t="n"/>
      <c r="Q33" s="47" t="n"/>
      <c r="R33" s="52" t="n"/>
      <c r="S33" s="46" t="n"/>
      <c r="T33" s="43" t="n"/>
      <c r="U33" s="43" t="n"/>
      <c r="V33" s="46" t="n"/>
      <c r="W33" s="43" t="n"/>
      <c r="X33" s="43" t="n"/>
      <c r="Y33" s="43" t="n"/>
      <c r="Z33" s="43" t="n"/>
      <c r="AA33" s="49" t="n"/>
      <c r="AB33" s="1" t="n"/>
    </row>
    <row r="34" ht="18" customHeight="1" s="51">
      <c r="B34" s="42" t="n"/>
      <c r="C34" s="47" t="n"/>
      <c r="D34" s="47" t="n"/>
      <c r="E34" s="47" t="n"/>
      <c r="F34" s="44" t="n"/>
      <c r="G34" s="45" t="n"/>
      <c r="H34" s="43" t="n"/>
      <c r="I34" s="43" t="n"/>
      <c r="J34" s="46" t="n"/>
      <c r="K34" s="46" t="n"/>
      <c r="L34" s="46" t="n"/>
      <c r="M34" s="46" t="n"/>
      <c r="N34" s="47" t="n"/>
      <c r="O34" s="42" t="n"/>
      <c r="P34" s="47" t="n"/>
      <c r="Q34" s="47" t="n"/>
      <c r="R34" s="52" t="n"/>
      <c r="S34" s="46" t="n"/>
      <c r="T34" s="43" t="n"/>
      <c r="U34" s="43" t="n"/>
      <c r="V34" s="46" t="n"/>
      <c r="W34" s="43" t="n"/>
      <c r="X34" s="43" t="n"/>
      <c r="Y34" s="43" t="n"/>
      <c r="Z34" s="43" t="n"/>
      <c r="AA34" s="49" t="n"/>
      <c r="AB34" s="1" t="n"/>
    </row>
    <row r="35" ht="18" customHeight="1" s="51">
      <c r="B35" s="42" t="n"/>
      <c r="C35" s="47" t="n"/>
      <c r="D35" s="47" t="n"/>
      <c r="E35" s="47" t="n"/>
      <c r="F35" s="44" t="n"/>
      <c r="G35" s="45" t="n"/>
      <c r="H35" s="43" t="n"/>
      <c r="I35" s="43" t="n"/>
      <c r="J35" s="46" t="n"/>
      <c r="K35" s="46" t="n"/>
      <c r="L35" s="46" t="n"/>
      <c r="M35" s="46" t="n"/>
      <c r="N35" s="47" t="n"/>
      <c r="O35" s="42" t="n"/>
      <c r="P35" s="47" t="n"/>
      <c r="Q35" s="47" t="n"/>
      <c r="R35" s="52" t="n"/>
      <c r="S35" s="46" t="n"/>
      <c r="T35" s="43" t="n"/>
      <c r="U35" s="43" t="n"/>
      <c r="V35" s="46" t="n"/>
      <c r="W35" s="43" t="n"/>
      <c r="X35" s="43" t="n"/>
      <c r="Y35" s="43" t="n"/>
      <c r="Z35" s="43" t="n"/>
      <c r="AA35" s="49" t="n"/>
      <c r="AB35" s="1" t="n"/>
    </row>
    <row r="36" ht="18" customHeight="1" s="51">
      <c r="B36" s="42" t="n"/>
      <c r="C36" s="43" t="n"/>
      <c r="D36" s="43" t="n"/>
      <c r="E36" s="45" t="n"/>
      <c r="F36" s="44" t="n"/>
      <c r="G36" s="45" t="n"/>
      <c r="H36" s="43" t="n"/>
      <c r="I36" s="43" t="n"/>
      <c r="J36" s="46" t="n"/>
      <c r="K36" s="46" t="n"/>
      <c r="L36" s="46" t="n"/>
      <c r="M36" s="46" t="n"/>
      <c r="N36" s="47" t="n"/>
      <c r="O36" s="42" t="n"/>
      <c r="P36" s="47" t="n"/>
      <c r="Q36" s="47" t="n"/>
      <c r="R36" s="52" t="n"/>
      <c r="S36" s="46" t="n"/>
      <c r="T36" s="43" t="n"/>
      <c r="U36" s="43" t="n"/>
      <c r="V36" s="46" t="n"/>
      <c r="W36" s="43" t="n"/>
      <c r="X36" s="43" t="n"/>
      <c r="Y36" s="43" t="n"/>
      <c r="Z36" s="43" t="n"/>
      <c r="AA36" s="49" t="n"/>
      <c r="AB36" s="1" t="n"/>
    </row>
    <row r="37" ht="18" customHeight="1" s="51">
      <c r="B37" s="42" t="n"/>
      <c r="C37" s="43" t="n"/>
      <c r="D37" s="43" t="n"/>
      <c r="E37" s="45" t="n"/>
      <c r="F37" s="44" t="n"/>
      <c r="G37" s="45" t="n"/>
      <c r="H37" s="43" t="n"/>
      <c r="I37" s="43" t="n"/>
      <c r="J37" s="46" t="n"/>
      <c r="K37" s="46" t="n"/>
      <c r="L37" s="46" t="n"/>
      <c r="M37" s="46" t="n"/>
      <c r="N37" s="47" t="n"/>
      <c r="O37" s="42" t="n"/>
      <c r="P37" s="47" t="n"/>
      <c r="Q37" s="47" t="n"/>
      <c r="R37" s="52" t="n"/>
      <c r="S37" s="46" t="n"/>
      <c r="T37" s="43" t="n"/>
      <c r="U37" s="43" t="n"/>
      <c r="V37" s="46" t="n"/>
      <c r="W37" s="43" t="n"/>
      <c r="X37" s="43" t="n"/>
      <c r="Y37" s="43" t="n"/>
      <c r="Z37" s="43" t="n"/>
      <c r="AA37" s="49" t="n"/>
      <c r="AB37" s="1" t="n"/>
    </row>
    <row r="38" ht="18" customHeight="1" s="51">
      <c r="B38" s="42" t="n"/>
      <c r="C38" s="43" t="n"/>
      <c r="D38" s="43" t="n"/>
      <c r="E38" s="45" t="n"/>
      <c r="F38" s="8" t="n"/>
      <c r="G38" s="45" t="n"/>
      <c r="H38" s="43" t="n"/>
      <c r="I38" s="43" t="n"/>
      <c r="J38" s="46" t="n"/>
      <c r="K38" s="46" t="n"/>
      <c r="L38" s="46" t="n"/>
      <c r="M38" s="46" t="n"/>
      <c r="N38" s="47" t="n"/>
      <c r="O38" s="42" t="n"/>
      <c r="P38" s="47" t="n"/>
      <c r="Q38" s="47" t="n"/>
      <c r="R38" s="52" t="n"/>
      <c r="S38" s="46" t="n"/>
      <c r="T38" s="43" t="n"/>
      <c r="U38" s="43" t="n"/>
      <c r="V38" s="46" t="n"/>
      <c r="W38" s="43" t="n"/>
      <c r="X38" s="43" t="n"/>
      <c r="Y38" s="43" t="n"/>
      <c r="Z38" s="43" t="n"/>
      <c r="AA38" s="49" t="n"/>
      <c r="AB38" s="1" t="n"/>
    </row>
    <row r="39" ht="18" customHeight="1" s="51">
      <c r="B39" s="42" t="n"/>
      <c r="C39" s="43" t="n"/>
      <c r="D39" s="43" t="n"/>
      <c r="E39" s="45" t="n"/>
      <c r="F39" s="44" t="n"/>
      <c r="G39" s="45" t="n"/>
      <c r="H39" s="43" t="n"/>
      <c r="I39" s="43" t="n"/>
      <c r="J39" s="46" t="n"/>
      <c r="K39" s="46" t="n"/>
      <c r="L39" s="46" t="n"/>
      <c r="M39" s="46" t="n"/>
      <c r="N39" s="47" t="n"/>
      <c r="O39" s="42" t="n"/>
      <c r="P39" s="47" t="n"/>
      <c r="Q39" s="47" t="n"/>
      <c r="R39" s="52" t="n"/>
      <c r="S39" s="46" t="n"/>
      <c r="T39" s="43" t="n"/>
      <c r="U39" s="43" t="n"/>
      <c r="V39" s="46" t="n"/>
      <c r="W39" s="43" t="n"/>
      <c r="X39" s="43" t="n"/>
      <c r="Y39" s="43" t="n"/>
      <c r="Z39" s="43" t="n"/>
      <c r="AA39" s="49" t="n"/>
      <c r="AB39" s="1" t="n"/>
    </row>
    <row r="40" ht="18" customHeight="1" s="51">
      <c r="B40" s="42" t="n"/>
      <c r="C40" s="43" t="n"/>
      <c r="D40" s="43" t="n"/>
      <c r="E40" s="45" t="n"/>
      <c r="F40" s="44" t="n"/>
      <c r="G40" s="45" t="n"/>
      <c r="H40" s="43" t="n"/>
      <c r="I40" s="43" t="n"/>
      <c r="J40" s="46" t="n"/>
      <c r="K40" s="46" t="n"/>
      <c r="L40" s="46" t="n"/>
      <c r="M40" s="46" t="n"/>
      <c r="N40" s="47" t="n"/>
      <c r="O40" s="42" t="n"/>
      <c r="P40" s="47" t="n"/>
      <c r="Q40" s="47" t="n"/>
      <c r="R40" s="52" t="n"/>
      <c r="S40" s="46" t="n"/>
      <c r="T40" s="43" t="n"/>
      <c r="U40" s="43" t="n"/>
      <c r="V40" s="46" t="n"/>
      <c r="W40" s="43" t="n"/>
      <c r="X40" s="43" t="n"/>
      <c r="Y40" s="43" t="n"/>
      <c r="Z40" s="43" t="n"/>
      <c r="AA40" s="49" t="n"/>
      <c r="AB40" s="1" t="n"/>
    </row>
    <row r="41" ht="18.75" customHeight="1" s="51" thickBot="1">
      <c r="B41" s="42" t="n"/>
      <c r="C41" s="43" t="n"/>
      <c r="D41" s="43" t="n"/>
      <c r="E41" s="45" t="n"/>
      <c r="F41" s="44" t="n"/>
      <c r="G41" s="45" t="n"/>
      <c r="H41" s="43" t="n"/>
      <c r="I41" s="43" t="n"/>
      <c r="J41" s="46" t="n"/>
      <c r="K41" s="46" t="n"/>
      <c r="L41" s="46" t="n"/>
      <c r="M41" s="46" t="n"/>
      <c r="N41" s="34" t="n"/>
      <c r="O41" s="42" t="n"/>
      <c r="P41" s="47" t="n"/>
      <c r="Q41" s="47" t="n"/>
      <c r="R41" s="36" t="n"/>
      <c r="S41" s="46" t="n"/>
      <c r="T41" s="43" t="n"/>
      <c r="U41" s="43" t="n"/>
      <c r="V41" s="46" t="n"/>
      <c r="W41" s="43" t="n"/>
      <c r="X41" s="43" t="n"/>
      <c r="Y41" s="43" t="n"/>
      <c r="Z41" s="43" t="n"/>
      <c r="AA41" s="49" t="n"/>
      <c r="AB41" s="1" t="n"/>
    </row>
    <row r="42" ht="54.75" customHeight="1" s="51" thickBot="1">
      <c r="B42" s="29" t="inlineStr">
        <is>
          <t>cierre mes anterior</t>
        </is>
      </c>
      <c r="C42" s="43" t="n"/>
      <c r="D42" s="43" t="n"/>
      <c r="E42" s="43" t="n"/>
      <c r="F42" s="39" t="n"/>
      <c r="G42" s="40" t="n"/>
      <c r="H42" s="52" t="n"/>
      <c r="I42" s="43" t="n"/>
      <c r="J42" s="9" t="n"/>
      <c r="K42" s="9" t="n"/>
      <c r="L42" s="9" t="n"/>
      <c r="M42" s="35" t="n"/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 t="n"/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2025-06-18T21:48:00Z</dcterms:modified>
  <cp:lastModifiedBy>ana</cp:lastModifiedBy>
  <cp:lastPrinted>2025-02-10T02:39:49Z</cp:lastPrinted>
</cp:coreProperties>
</file>