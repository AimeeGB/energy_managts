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Nueva E" sheetId="1" state="visible" r:id="rId1"/>
    <sheet name="Omnipotente" sheetId="2" state="visible" r:id="rId2"/>
    <sheet name="teoria_del_big_bang" sheetId="3" state="visible" r:id="rId3"/>
  </sheets>
  <definedNames>
    <definedName name="_xlnm.Print_Area" localSheetId="0">'Nueva E'!$A$1:$AB$55</definedName>
    <definedName name="_xlnm.Print_Area" localSheetId="1">'Omnipotente'!$A$1:$AB$55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mayo-2024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Nueva Estacion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328</v>
      </c>
      <c r="T6" s="38" t="inlineStr">
        <is>
          <t>Perdidas:</t>
        </is>
      </c>
      <c r="U6" s="38" t="n">
        <v>6260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>
        <v>31</v>
      </c>
      <c r="C11" s="42" t="n">
        <v>974733</v>
      </c>
      <c r="D11" s="42" t="n">
        <v>974733</v>
      </c>
      <c r="E11" s="42" t="n">
        <v>974733</v>
      </c>
      <c r="F11" s="44">
        <f>C11+D11+E11</f>
        <v/>
      </c>
      <c r="G11" s="45">
        <f>(C12+D12+E12)+((S11/24)*25.00)</f>
        <v/>
      </c>
      <c r="H11" s="43">
        <f>G11+((K11/12)*30.00)</f>
        <v/>
      </c>
      <c r="I11" s="43" t="n">
        <v>974733</v>
      </c>
      <c r="J11" s="46">
        <f>C11-C12</f>
        <v/>
      </c>
      <c r="K11" s="46">
        <f>D11-D12</f>
        <v/>
      </c>
      <c r="L11" s="46">
        <f>E11-E12</f>
        <v/>
      </c>
      <c r="M11" s="46">
        <f>I11-I12</f>
        <v/>
      </c>
      <c r="N11" s="47">
        <f>N12</f>
        <v/>
      </c>
      <c r="O11" s="48">
        <f>L11</f>
        <v/>
      </c>
      <c r="P11" s="47">
        <f>N11-O11</f>
        <v/>
      </c>
      <c r="Q11" s="47">
        <f>H11-G11</f>
        <v/>
      </c>
      <c r="R11" s="52">
        <f>R12</f>
        <v/>
      </c>
      <c r="S11" s="46">
        <f>J11+K11+L11</f>
        <v/>
      </c>
      <c r="T11" s="43">
        <f>R11-S11</f>
        <v/>
      </c>
      <c r="U11" s="43">
        <f>U12+N11</f>
        <v/>
      </c>
      <c r="V11" s="43">
        <f>V12+O11</f>
        <v/>
      </c>
      <c r="W11" s="43">
        <f>U11-V11</f>
        <v/>
      </c>
      <c r="X11" s="43">
        <f>X12+R11</f>
        <v/>
      </c>
      <c r="Y11" s="43">
        <f>Y12+S11</f>
        <v/>
      </c>
      <c r="Z11" s="43">
        <f>X11-Y11</f>
        <v/>
      </c>
      <c r="AA11" s="49">
        <f>COS(ATAN(M11/S11))</f>
        <v/>
      </c>
      <c r="AB11" s="50" t="n"/>
    </row>
    <row r="12" ht="18" customHeight="1" s="51">
      <c r="B12" s="42" t="n">
        <v>30</v>
      </c>
      <c r="C12" s="47" t="n">
        <v>974733</v>
      </c>
      <c r="D12" s="47" t="n">
        <v>974733</v>
      </c>
      <c r="E12" s="47" t="n">
        <v>974733</v>
      </c>
      <c r="F12" s="44">
        <f>C12+D12+E12</f>
        <v/>
      </c>
      <c r="G12" s="45">
        <f>(C13+D13+E13)+((S12/24)*25.00)</f>
        <v/>
      </c>
      <c r="H12" s="43">
        <f>G12+((K12/12)*30.00)</f>
        <v/>
      </c>
      <c r="I12" s="43" t="n">
        <v>974733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974733</v>
      </c>
      <c r="D13" s="47" t="n">
        <v>974733</v>
      </c>
      <c r="E13" s="47" t="n">
        <v>974733</v>
      </c>
      <c r="F13" s="44">
        <f>C13+D13+E13</f>
        <v/>
      </c>
      <c r="G13" s="45">
        <f>(C14+D14+E14)+((S13/24)*25.00)</f>
        <v/>
      </c>
      <c r="H13" s="43">
        <f>G13+((K13/12)*30.00)</f>
        <v/>
      </c>
      <c r="I13" s="43" t="n">
        <v>974733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974733</v>
      </c>
      <c r="D14" s="47" t="n">
        <v>974733</v>
      </c>
      <c r="E14" s="47" t="n">
        <v>974733</v>
      </c>
      <c r="F14" s="44">
        <f>C14+D14+E14</f>
        <v/>
      </c>
      <c r="G14" s="45">
        <f>(C15+D15+E15)+((S14/24)*25.00)</f>
        <v/>
      </c>
      <c r="H14" s="43">
        <f>G14+((K14/12)*30.00)</f>
        <v/>
      </c>
      <c r="I14" s="43" t="n">
        <v>974733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974733</v>
      </c>
      <c r="D15" s="47" t="n">
        <v>974733</v>
      </c>
      <c r="E15" s="47" t="n">
        <v>974733</v>
      </c>
      <c r="F15" s="44">
        <f>C15+D15+E15</f>
        <v/>
      </c>
      <c r="G15" s="45">
        <f>(C16+D16+E16)+((S15/24)*25.00)</f>
        <v/>
      </c>
      <c r="H15" s="43">
        <f>G15+((K15/12)*30.00)</f>
        <v/>
      </c>
      <c r="I15" s="43" t="n">
        <v>974733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974733</v>
      </c>
      <c r="D16" s="47" t="n">
        <v>974733</v>
      </c>
      <c r="E16" s="47" t="n">
        <v>974733</v>
      </c>
      <c r="F16" s="44">
        <f>C16+D16+E16</f>
        <v/>
      </c>
      <c r="G16" s="45">
        <f>(C17+D17+E17)+((S16/24)*25.00)</f>
        <v/>
      </c>
      <c r="H16" s="43">
        <f>G16+((K16/12)*30.00)</f>
        <v/>
      </c>
      <c r="I16" s="43" t="n">
        <v>974733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974733</v>
      </c>
      <c r="D17" s="47" t="n">
        <v>974733</v>
      </c>
      <c r="E17" s="47" t="n">
        <v>974733</v>
      </c>
      <c r="F17" s="44">
        <f>C17+D17+E17</f>
        <v/>
      </c>
      <c r="G17" s="45">
        <f>(C18+D18+E18)+((S17/24)*25.00)</f>
        <v/>
      </c>
      <c r="H17" s="43">
        <f>G17+((K17/12)*30.00)</f>
        <v/>
      </c>
      <c r="I17" s="43" t="n">
        <v>974733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974733</v>
      </c>
      <c r="D18" s="47" t="n">
        <v>974733</v>
      </c>
      <c r="E18" s="47" t="n">
        <v>974733</v>
      </c>
      <c r="F18" s="44">
        <f>C18+D18+E18</f>
        <v/>
      </c>
      <c r="G18" s="45">
        <f>(C19+D19+E19)+((S18/24)*25.00)</f>
        <v/>
      </c>
      <c r="H18" s="43">
        <f>G18+((K18/12)*30.00)</f>
        <v/>
      </c>
      <c r="I18" s="43" t="n">
        <v>974733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974733</v>
      </c>
      <c r="D19" s="47" t="n">
        <v>974733</v>
      </c>
      <c r="E19" s="47" t="n">
        <v>974733</v>
      </c>
      <c r="F19" s="44">
        <f>C19+D19+E19</f>
        <v/>
      </c>
      <c r="G19" s="45">
        <f>(C20+D20+E20)+((S19/24)*25.00)</f>
        <v/>
      </c>
      <c r="H19" s="43">
        <f>G19+((K19/12)*30.00)</f>
        <v/>
      </c>
      <c r="I19" s="43" t="n">
        <v>974733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974733</v>
      </c>
      <c r="D20" s="47" t="n">
        <v>974733</v>
      </c>
      <c r="E20" s="47" t="n">
        <v>974733</v>
      </c>
      <c r="F20" s="44">
        <f>C20+D20+E20</f>
        <v/>
      </c>
      <c r="G20" s="45">
        <f>(C21+D21+E21)+((S20/24)*25.00)</f>
        <v/>
      </c>
      <c r="H20" s="43">
        <f>G20+((K20/12)*30.00)</f>
        <v/>
      </c>
      <c r="I20" s="43" t="n">
        <v>974733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274789</v>
      </c>
      <c r="D21" s="47" t="n">
        <v>974733</v>
      </c>
      <c r="E21" s="47" t="n">
        <v>974733</v>
      </c>
      <c r="F21" s="44">
        <f>C21+D21+E21</f>
        <v/>
      </c>
      <c r="G21" s="45">
        <f>(C22+D22+E22)+((S21/24)*25.00)</f>
        <v/>
      </c>
      <c r="H21" s="43">
        <f>G21+((K21/12)*30.00)</f>
        <v/>
      </c>
      <c r="I21" s="43" t="n">
        <v>974733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974733</v>
      </c>
      <c r="D22" s="47" t="n">
        <v>974733</v>
      </c>
      <c r="E22" s="47" t="n">
        <v>974733</v>
      </c>
      <c r="F22" s="8">
        <f>C22+D22+E22</f>
        <v/>
      </c>
      <c r="G22" s="45">
        <f>(C23+D23+E23)+((S22/24)*25.00)</f>
        <v/>
      </c>
      <c r="H22" s="43">
        <f>G22+((K22/12)*30.00)</f>
        <v/>
      </c>
      <c r="I22" s="43" t="n">
        <v>974733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974733</v>
      </c>
      <c r="D23" s="47" t="n">
        <v>974733</v>
      </c>
      <c r="E23" s="47" t="n">
        <v>974733</v>
      </c>
      <c r="F23" s="44">
        <f>C23+D23+E23</f>
        <v/>
      </c>
      <c r="G23" s="45">
        <f>(C24+D24+E24)+((S23/24)*25.00)</f>
        <v/>
      </c>
      <c r="H23" s="43">
        <f>G23+((K23/12)*30.00)</f>
        <v/>
      </c>
      <c r="I23" s="43" t="n">
        <v>974733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974733</v>
      </c>
      <c r="D24" s="47" t="n">
        <v>974733</v>
      </c>
      <c r="E24" s="47" t="n">
        <v>974733</v>
      </c>
      <c r="F24" s="44">
        <f>C24+D24+E24</f>
        <v/>
      </c>
      <c r="G24" s="45">
        <f>(C25+D25+E25)+((S24/24)*25.00)</f>
        <v/>
      </c>
      <c r="H24" s="43">
        <f>G24+((K24/12)*30.00)</f>
        <v/>
      </c>
      <c r="I24" s="43" t="n">
        <v>974733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974733</v>
      </c>
      <c r="D25" s="47" t="n">
        <v>974733</v>
      </c>
      <c r="E25" s="47" t="n">
        <v>974733</v>
      </c>
      <c r="F25" s="44">
        <f>C25+D25+E25</f>
        <v/>
      </c>
      <c r="G25" s="45">
        <f>(C26+D26+E26)+((S25/24)*25.00)</f>
        <v/>
      </c>
      <c r="H25" s="43">
        <f>G25+((K25/12)*30.00)</f>
        <v/>
      </c>
      <c r="I25" s="43" t="n">
        <v>974733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974733</v>
      </c>
      <c r="D26" s="47" t="n">
        <v>974733</v>
      </c>
      <c r="E26" s="47" t="n">
        <v>974733</v>
      </c>
      <c r="F26" s="44">
        <f>C26+D26+E26</f>
        <v/>
      </c>
      <c r="G26" s="45">
        <f>(C27+D27+E27)+((S26/24)*25.00)</f>
        <v/>
      </c>
      <c r="H26" s="43">
        <f>G26+((K26/12)*30.00)</f>
        <v/>
      </c>
      <c r="I26" s="43" t="n">
        <v>974733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974733</v>
      </c>
      <c r="D27" s="47" t="n">
        <v>974733</v>
      </c>
      <c r="E27" s="47" t="n">
        <v>974733</v>
      </c>
      <c r="F27" s="44">
        <f>C27+D27+E27</f>
        <v/>
      </c>
      <c r="G27" s="45">
        <f>(C28+D28+E28)+((S27/24)*25.00)</f>
        <v/>
      </c>
      <c r="H27" s="43">
        <f>G27+((K27/12)*30.00)</f>
        <v/>
      </c>
      <c r="I27" s="43" t="n">
        <v>974733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974733</v>
      </c>
      <c r="D28" s="47" t="n">
        <v>974733</v>
      </c>
      <c r="E28" s="47" t="n">
        <v>974733</v>
      </c>
      <c r="F28" s="44">
        <f>C28+D28+E28</f>
        <v/>
      </c>
      <c r="G28" s="45">
        <f>(C29+D29+E29)+((S28/24)*25.00)</f>
        <v/>
      </c>
      <c r="H28" s="43">
        <f>G28+((K28/12)*30.00)</f>
        <v/>
      </c>
      <c r="I28" s="43" t="n">
        <v>974733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974733</v>
      </c>
      <c r="D29" s="47" t="n">
        <v>974733</v>
      </c>
      <c r="E29" s="47" t="n">
        <v>974733</v>
      </c>
      <c r="F29" s="44">
        <f>C29+D29+E29</f>
        <v/>
      </c>
      <c r="G29" s="45">
        <f>(C30+D30+E30)+((S29/24)*25.00)</f>
        <v/>
      </c>
      <c r="H29" s="43">
        <f>G29+((K29/12)*30.00)</f>
        <v/>
      </c>
      <c r="I29" s="43" t="n">
        <v>974733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974733</v>
      </c>
      <c r="D30" s="47" t="n">
        <v>974733</v>
      </c>
      <c r="E30" s="47" t="n">
        <v>974733</v>
      </c>
      <c r="F30" s="44">
        <f>C30+D30+E30</f>
        <v/>
      </c>
      <c r="G30" s="45">
        <f>(C31+D31+E31)+((S30/24)*25.00)</f>
        <v/>
      </c>
      <c r="H30" s="43">
        <f>G30+((K30/12)*30.00)</f>
        <v/>
      </c>
      <c r="I30" s="43" t="n">
        <v>974733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974733</v>
      </c>
      <c r="D31" s="47" t="n">
        <v>974733</v>
      </c>
      <c r="E31" s="47" t="n">
        <v>974733</v>
      </c>
      <c r="F31" s="44">
        <f>C31+D31+E31</f>
        <v/>
      </c>
      <c r="G31" s="45">
        <f>(C32+D32+E32)+((S31/24)*25.00)</f>
        <v/>
      </c>
      <c r="H31" s="43">
        <f>G31+((K31/12)*30.00)</f>
        <v/>
      </c>
      <c r="I31" s="43" t="n">
        <v>974733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974733</v>
      </c>
      <c r="D32" s="47" t="n">
        <v>974733</v>
      </c>
      <c r="E32" s="47" t="n">
        <v>974733</v>
      </c>
      <c r="F32" s="44">
        <f>C32+D32+E32</f>
        <v/>
      </c>
      <c r="G32" s="45">
        <f>(C33+D33+E33)+((S32/24)*25.00)</f>
        <v/>
      </c>
      <c r="H32" s="43">
        <f>G32+((K32/12)*30.00)</f>
        <v/>
      </c>
      <c r="I32" s="43" t="n">
        <v>974733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974733</v>
      </c>
      <c r="D33" s="47" t="n">
        <v>974733</v>
      </c>
      <c r="E33" s="47" t="n">
        <v>974733</v>
      </c>
      <c r="F33" s="44">
        <f>C33+D33+E33</f>
        <v/>
      </c>
      <c r="G33" s="45">
        <f>(C34+D34+E34)+((S33/24)*25.00)</f>
        <v/>
      </c>
      <c r="H33" s="43">
        <f>G33+((K33/12)*30.00)</f>
        <v/>
      </c>
      <c r="I33" s="43" t="n">
        <v>974733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974733</v>
      </c>
      <c r="D34" s="47" t="n">
        <v>974733</v>
      </c>
      <c r="E34" s="47" t="n">
        <v>974733</v>
      </c>
      <c r="F34" s="44">
        <f>C34+D34+E34</f>
        <v/>
      </c>
      <c r="G34" s="45">
        <f>(C35+D35+E35)+((S34/24)*25.00)</f>
        <v/>
      </c>
      <c r="H34" s="43">
        <f>G34+((K34/12)*30.00)</f>
        <v/>
      </c>
      <c r="I34" s="43" t="n">
        <v>974733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974733</v>
      </c>
      <c r="D35" s="47" t="n">
        <v>974733</v>
      </c>
      <c r="E35" s="47" t="n">
        <v>974733</v>
      </c>
      <c r="F35" s="44">
        <f>C35+D35+E35</f>
        <v/>
      </c>
      <c r="G35" s="45">
        <f>(C36+D36+E36)+((S35/24)*25.00)</f>
        <v/>
      </c>
      <c r="H35" s="43">
        <f>G35+((K35/12)*30.00)</f>
        <v/>
      </c>
      <c r="I35" s="43" t="n">
        <v>974733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974733</v>
      </c>
      <c r="D36" s="43" t="n">
        <v>974733</v>
      </c>
      <c r="E36" s="45" t="n">
        <v>974733</v>
      </c>
      <c r="F36" s="44">
        <f>C36+D36+E36</f>
        <v/>
      </c>
      <c r="G36" s="45">
        <f>(C37+D37+E37)+((S36/24)*25.00)</f>
        <v/>
      </c>
      <c r="H36" s="43">
        <f>G36+((K36/12)*30.00)</f>
        <v/>
      </c>
      <c r="I36" s="43" t="n">
        <v>974733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974733</v>
      </c>
      <c r="D37" s="43" t="n">
        <v>974733</v>
      </c>
      <c r="E37" s="45" t="n">
        <v>974733</v>
      </c>
      <c r="F37" s="44">
        <f>C37+D37+E37</f>
        <v/>
      </c>
      <c r="G37" s="45">
        <f>(C38+D38+E38)+((S37/24)*25.00)</f>
        <v/>
      </c>
      <c r="H37" s="43">
        <f>G37+((K37/12)*30.00)</f>
        <v/>
      </c>
      <c r="I37" s="43" t="n">
        <v>974733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974733</v>
      </c>
      <c r="D38" s="43" t="n">
        <v>974733</v>
      </c>
      <c r="E38" s="45" t="n">
        <v>974733</v>
      </c>
      <c r="F38" s="8">
        <f>C38+D38+E38</f>
        <v/>
      </c>
      <c r="G38" s="45">
        <f>(C39+D39+E39)+((S38/24)*25.00)</f>
        <v/>
      </c>
      <c r="H38" s="43">
        <f>G38+((K38/12)*30.00)</f>
        <v/>
      </c>
      <c r="I38" s="43" t="n">
        <v>974733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974733</v>
      </c>
      <c r="D39" s="43" t="n">
        <v>974733</v>
      </c>
      <c r="E39" s="45" t="n">
        <v>974733</v>
      </c>
      <c r="F39" s="44">
        <f>C39+D39+E39</f>
        <v/>
      </c>
      <c r="G39" s="45">
        <f>(C40+D40+E40)+((S39/24)*25.00)</f>
        <v/>
      </c>
      <c r="H39" s="43">
        <f>G39+((K39/12)*30.00)</f>
        <v/>
      </c>
      <c r="I39" s="43" t="n">
        <v>974733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974733</v>
      </c>
      <c r="D40" s="43" t="n">
        <v>974733</v>
      </c>
      <c r="E40" s="45" t="n">
        <v>974733</v>
      </c>
      <c r="F40" s="44">
        <f>C40+D40+E40</f>
        <v/>
      </c>
      <c r="G40" s="45">
        <f>(C41+D41+E41)+((S40/24)*25.00)</f>
        <v/>
      </c>
      <c r="H40" s="43">
        <f>G40+((K40/12)*30.00)</f>
        <v/>
      </c>
      <c r="I40" s="43" t="n">
        <v>974733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147328</v>
      </c>
      <c r="D41" s="43" t="n">
        <v>1429600</v>
      </c>
      <c r="E41" s="45" t="n">
        <v>291407</v>
      </c>
      <c r="F41" s="44">
        <f>C41+D41+E41</f>
        <v/>
      </c>
      <c r="G41" s="45">
        <f>(C42+D42+E42)+((S41/24)*25.00)</f>
        <v/>
      </c>
      <c r="H41" s="43">
        <f>G41+((K41/12)*30.00)</f>
        <v/>
      </c>
      <c r="I41" s="43" t="n">
        <v>974733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O6/31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S6/31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147295</v>
      </c>
      <c r="D42" s="43" t="n">
        <v>1429561</v>
      </c>
      <c r="E42" s="43" t="n">
        <v>291391</v>
      </c>
      <c r="F42" s="39" t="n">
        <v>1868247</v>
      </c>
      <c r="G42" s="40" t="n">
        <v>1868195</v>
      </c>
      <c r="H42" s="52" t="n">
        <v>1868199</v>
      </c>
      <c r="I42" s="43" t="n">
        <v>974676</v>
      </c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1">
      <c r="N4111" s="63" t="n"/>
      <c r="R4111" s="63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mayo-2024</t>
        </is>
      </c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Omnipotente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13000</v>
      </c>
      <c r="T6" s="38" t="inlineStr">
        <is>
          <t>Perdidas:</t>
        </is>
      </c>
      <c r="U6" s="38" t="n">
        <v>361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>
        <v>31</v>
      </c>
      <c r="C11" s="42" t="n">
        <v>288761</v>
      </c>
      <c r="D11" s="42" t="n">
        <v>288761</v>
      </c>
      <c r="E11" s="42" t="n">
        <v>288761</v>
      </c>
      <c r="F11" s="44">
        <f>C11+D11+E11</f>
        <v/>
      </c>
      <c r="G11" s="45">
        <f>(C12+D12+E12)+((S11/24)*2.00)</f>
        <v/>
      </c>
      <c r="H11" s="43">
        <f>G11+((K11/12)*93.00)</f>
        <v/>
      </c>
      <c r="I11" s="43" t="n">
        <v>288761</v>
      </c>
      <c r="J11" s="46">
        <f>C11-C12</f>
        <v/>
      </c>
      <c r="K11" s="46">
        <f>D11-D12</f>
        <v/>
      </c>
      <c r="L11" s="46">
        <f>E11-E12</f>
        <v/>
      </c>
      <c r="M11" s="46">
        <f>I11-I12</f>
        <v/>
      </c>
      <c r="N11" s="47">
        <f>N12</f>
        <v/>
      </c>
      <c r="O11" s="48">
        <f>L11</f>
        <v/>
      </c>
      <c r="P11" s="47">
        <f>N11-O11</f>
        <v/>
      </c>
      <c r="Q11" s="47">
        <f>H11-G11</f>
        <v/>
      </c>
      <c r="R11" s="52">
        <f>R12</f>
        <v/>
      </c>
      <c r="S11" s="46">
        <f>J11+K11+L11</f>
        <v/>
      </c>
      <c r="T11" s="43">
        <f>R11-S11</f>
        <v/>
      </c>
      <c r="U11" s="43">
        <f>U12+N11</f>
        <v/>
      </c>
      <c r="V11" s="43">
        <f>V12+O11</f>
        <v/>
      </c>
      <c r="W11" s="43">
        <f>U11-V11</f>
        <v/>
      </c>
      <c r="X11" s="43">
        <f>X12+R11</f>
        <v/>
      </c>
      <c r="Y11" s="43">
        <f>Y12+S11</f>
        <v/>
      </c>
      <c r="Z11" s="43">
        <f>X11-Y11</f>
        <v/>
      </c>
      <c r="AA11" s="49">
        <f>COS(ATAN(M11/S11))</f>
        <v/>
      </c>
      <c r="AB11" s="50" t="n"/>
    </row>
    <row r="12" ht="18" customHeight="1" s="51">
      <c r="B12" s="42" t="n">
        <v>30</v>
      </c>
      <c r="C12" s="47" t="n">
        <v>288761</v>
      </c>
      <c r="D12" s="47" t="n">
        <v>288761</v>
      </c>
      <c r="E12" s="47" t="n">
        <v>288761</v>
      </c>
      <c r="F12" s="44">
        <f>C12+D12+E12</f>
        <v/>
      </c>
      <c r="G12" s="45">
        <f>(C13+D13+E13)+((S12/24)*2.00)</f>
        <v/>
      </c>
      <c r="H12" s="43">
        <f>G12+((K12/12)*93.00)</f>
        <v/>
      </c>
      <c r="I12" s="43" t="n">
        <v>288761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288761</v>
      </c>
      <c r="D13" s="47" t="n">
        <v>288761</v>
      </c>
      <c r="E13" s="47" t="n">
        <v>288761</v>
      </c>
      <c r="F13" s="44">
        <f>C13+D13+E13</f>
        <v/>
      </c>
      <c r="G13" s="45">
        <f>(C14+D14+E14)+((S13/24)*2.00)</f>
        <v/>
      </c>
      <c r="H13" s="43">
        <f>G13+((K13/12)*93.00)</f>
        <v/>
      </c>
      <c r="I13" s="43" t="n">
        <v>288761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288761</v>
      </c>
      <c r="D14" s="47" t="n">
        <v>288761</v>
      </c>
      <c r="E14" s="47" t="n">
        <v>288761</v>
      </c>
      <c r="F14" s="44">
        <f>C14+D14+E14</f>
        <v/>
      </c>
      <c r="G14" s="45">
        <f>(C15+D15+E15)+((S14/24)*2.00)</f>
        <v/>
      </c>
      <c r="H14" s="43">
        <f>G14+((K14/12)*93.00)</f>
        <v/>
      </c>
      <c r="I14" s="43" t="n">
        <v>288761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288761</v>
      </c>
      <c r="D15" s="47" t="n">
        <v>288761</v>
      </c>
      <c r="E15" s="47" t="n">
        <v>288761</v>
      </c>
      <c r="F15" s="44">
        <f>C15+D15+E15</f>
        <v/>
      </c>
      <c r="G15" s="45">
        <f>(C16+D16+E16)+((S15/24)*2.00)</f>
        <v/>
      </c>
      <c r="H15" s="43">
        <f>G15+((K15/12)*93.00)</f>
        <v/>
      </c>
      <c r="I15" s="43" t="n">
        <v>288761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288761</v>
      </c>
      <c r="D16" s="47" t="n">
        <v>288761</v>
      </c>
      <c r="E16" s="47" t="n">
        <v>288761</v>
      </c>
      <c r="F16" s="44">
        <f>C16+D16+E16</f>
        <v/>
      </c>
      <c r="G16" s="45">
        <f>(C17+D17+E17)+((S16/24)*2.00)</f>
        <v/>
      </c>
      <c r="H16" s="43">
        <f>G16+((K16/12)*93.00)</f>
        <v/>
      </c>
      <c r="I16" s="43" t="n">
        <v>288761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288761</v>
      </c>
      <c r="D17" s="47" t="n">
        <v>288761</v>
      </c>
      <c r="E17" s="47" t="n">
        <v>288761</v>
      </c>
      <c r="F17" s="44">
        <f>C17+D17+E17</f>
        <v/>
      </c>
      <c r="G17" s="45">
        <f>(C18+D18+E18)+((S17/24)*2.00)</f>
        <v/>
      </c>
      <c r="H17" s="43">
        <f>G17+((K17/12)*93.00)</f>
        <v/>
      </c>
      <c r="I17" s="43" t="n">
        <v>288761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288761</v>
      </c>
      <c r="D18" s="47" t="n">
        <v>288761</v>
      </c>
      <c r="E18" s="47" t="n">
        <v>288761</v>
      </c>
      <c r="F18" s="44">
        <f>C18+D18+E18</f>
        <v/>
      </c>
      <c r="G18" s="45">
        <f>(C19+D19+E19)+((S18/24)*2.00)</f>
        <v/>
      </c>
      <c r="H18" s="43">
        <f>G18+((K18/12)*93.00)</f>
        <v/>
      </c>
      <c r="I18" s="43" t="n">
        <v>288761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288761</v>
      </c>
      <c r="D19" s="47" t="n">
        <v>288761</v>
      </c>
      <c r="E19" s="47" t="n">
        <v>288761</v>
      </c>
      <c r="F19" s="44">
        <f>C19+D19+E19</f>
        <v/>
      </c>
      <c r="G19" s="45">
        <f>(C20+D20+E20)+((S19/24)*2.00)</f>
        <v/>
      </c>
      <c r="H19" s="43">
        <f>G19+((K19/12)*93.00)</f>
        <v/>
      </c>
      <c r="I19" s="43" t="n">
        <v>288761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288761</v>
      </c>
      <c r="D20" s="47" t="n">
        <v>288761</v>
      </c>
      <c r="E20" s="47" t="n">
        <v>288761</v>
      </c>
      <c r="F20" s="44">
        <f>C20+D20+E20</f>
        <v/>
      </c>
      <c r="G20" s="45">
        <f>(C21+D21+E21)+((S20/24)*2.00)</f>
        <v/>
      </c>
      <c r="H20" s="43">
        <f>G20+((K20/12)*93.00)</f>
        <v/>
      </c>
      <c r="I20" s="43" t="n">
        <v>288761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288761</v>
      </c>
      <c r="D21" s="47" t="n">
        <v>288761</v>
      </c>
      <c r="E21" s="47" t="n">
        <v>288761</v>
      </c>
      <c r="F21" s="44">
        <f>C21+D21+E21</f>
        <v/>
      </c>
      <c r="G21" s="45">
        <f>(C22+D22+E22)+((S21/24)*2.00)</f>
        <v/>
      </c>
      <c r="H21" s="43">
        <f>G21+((K21/12)*93.00)</f>
        <v/>
      </c>
      <c r="I21" s="43" t="n">
        <v>288761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288761</v>
      </c>
      <c r="D22" s="47" t="n">
        <v>288761</v>
      </c>
      <c r="E22" s="47" t="n">
        <v>288761</v>
      </c>
      <c r="F22" s="8">
        <f>C22+D22+E22</f>
        <v/>
      </c>
      <c r="G22" s="45">
        <f>(C23+D23+E23)+((S22/24)*2.00)</f>
        <v/>
      </c>
      <c r="H22" s="43">
        <f>G22+((K22/12)*93.00)</f>
        <v/>
      </c>
      <c r="I22" s="43" t="n">
        <v>288761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288761</v>
      </c>
      <c r="D23" s="47" t="n">
        <v>288761</v>
      </c>
      <c r="E23" s="47" t="n">
        <v>288761</v>
      </c>
      <c r="F23" s="44">
        <f>C23+D23+E23</f>
        <v/>
      </c>
      <c r="G23" s="45">
        <f>(C24+D24+E24)+((S23/24)*2.00)</f>
        <v/>
      </c>
      <c r="H23" s="43">
        <f>G23+((K23/12)*93.00)</f>
        <v/>
      </c>
      <c r="I23" s="43" t="n">
        <v>288761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288761</v>
      </c>
      <c r="D24" s="47" t="n">
        <v>288761</v>
      </c>
      <c r="E24" s="47" t="n">
        <v>288761</v>
      </c>
      <c r="F24" s="44">
        <f>C24+D24+E24</f>
        <v/>
      </c>
      <c r="G24" s="45">
        <f>(C25+D25+E25)+((S24/24)*2.00)</f>
        <v/>
      </c>
      <c r="H24" s="43">
        <f>G24+((K24/12)*93.00)</f>
        <v/>
      </c>
      <c r="I24" s="43" t="n">
        <v>288761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288761</v>
      </c>
      <c r="D25" s="47" t="n">
        <v>288761</v>
      </c>
      <c r="E25" s="47" t="n">
        <v>288761</v>
      </c>
      <c r="F25" s="44">
        <f>C25+D25+E25</f>
        <v/>
      </c>
      <c r="G25" s="45">
        <f>(C26+D26+E26)+((S25/24)*2.00)</f>
        <v/>
      </c>
      <c r="H25" s="43">
        <f>G25+((K25/12)*93.00)</f>
        <v/>
      </c>
      <c r="I25" s="43" t="n">
        <v>288761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288761</v>
      </c>
      <c r="D26" s="47" t="n">
        <v>288761</v>
      </c>
      <c r="E26" s="47" t="n">
        <v>288761</v>
      </c>
      <c r="F26" s="44">
        <f>C26+D26+E26</f>
        <v/>
      </c>
      <c r="G26" s="45">
        <f>(C27+D27+E27)+((S26/24)*2.00)</f>
        <v/>
      </c>
      <c r="H26" s="43">
        <f>G26+((K26/12)*93.00)</f>
        <v/>
      </c>
      <c r="I26" s="43" t="n">
        <v>378761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288761</v>
      </c>
      <c r="D27" s="47" t="n">
        <v>288761</v>
      </c>
      <c r="E27" s="47" t="n">
        <v>288761</v>
      </c>
      <c r="F27" s="44">
        <f>C27+D27+E27</f>
        <v/>
      </c>
      <c r="G27" s="45">
        <f>(C28+D28+E28)+((S27/24)*2.00)</f>
        <v/>
      </c>
      <c r="H27" s="43">
        <f>G27+((K27/12)*93.00)</f>
        <v/>
      </c>
      <c r="I27" s="43" t="n">
        <v>288761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288761</v>
      </c>
      <c r="D28" s="47" t="n">
        <v>288761</v>
      </c>
      <c r="E28" s="47" t="n">
        <v>288761</v>
      </c>
      <c r="F28" s="44">
        <f>C28+D28+E28</f>
        <v/>
      </c>
      <c r="G28" s="45">
        <f>(C29+D29+E29)+((S28/24)*2.00)</f>
        <v/>
      </c>
      <c r="H28" s="43">
        <f>G28+((K28/12)*93.00)</f>
        <v/>
      </c>
      <c r="I28" s="43" t="n">
        <v>288761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288761</v>
      </c>
      <c r="D29" s="47" t="n">
        <v>288761</v>
      </c>
      <c r="E29" s="47" t="n">
        <v>288761</v>
      </c>
      <c r="F29" s="44">
        <f>C29+D29+E29</f>
        <v/>
      </c>
      <c r="G29" s="45">
        <f>(C30+D30+E30)+((S29/24)*2.00)</f>
        <v/>
      </c>
      <c r="H29" s="43">
        <f>G29+((K29/12)*93.00)</f>
        <v/>
      </c>
      <c r="I29" s="43" t="n">
        <v>288761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288761</v>
      </c>
      <c r="D30" s="47" t="n">
        <v>288761</v>
      </c>
      <c r="E30" s="47" t="n">
        <v>288761</v>
      </c>
      <c r="F30" s="44">
        <f>C30+D30+E30</f>
        <v/>
      </c>
      <c r="G30" s="45">
        <f>(C31+D31+E31)+((S30/24)*2.00)</f>
        <v/>
      </c>
      <c r="H30" s="43">
        <f>G30+((K30/12)*93.00)</f>
        <v/>
      </c>
      <c r="I30" s="43" t="n">
        <v>288761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288761</v>
      </c>
      <c r="D31" s="47" t="n">
        <v>288761</v>
      </c>
      <c r="E31" s="47" t="n">
        <v>288761</v>
      </c>
      <c r="F31" s="44">
        <f>C31+D31+E31</f>
        <v/>
      </c>
      <c r="G31" s="45">
        <f>(C32+D32+E32)+((S31/24)*2.00)</f>
        <v/>
      </c>
      <c r="H31" s="43">
        <f>G31+((K31/12)*93.00)</f>
        <v/>
      </c>
      <c r="I31" s="43" t="n">
        <v>288761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288761</v>
      </c>
      <c r="D32" s="47" t="n">
        <v>288761</v>
      </c>
      <c r="E32" s="47" t="n">
        <v>288761</v>
      </c>
      <c r="F32" s="44">
        <f>C32+D32+E32</f>
        <v/>
      </c>
      <c r="G32" s="45">
        <f>(C33+D33+E33)+((S32/24)*2.00)</f>
        <v/>
      </c>
      <c r="H32" s="43">
        <f>G32+((K32/12)*93.00)</f>
        <v/>
      </c>
      <c r="I32" s="43" t="n">
        <v>288761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288761</v>
      </c>
      <c r="D33" s="47" t="n">
        <v>288761</v>
      </c>
      <c r="E33" s="47" t="n">
        <v>288761</v>
      </c>
      <c r="F33" s="44">
        <f>C33+D33+E33</f>
        <v/>
      </c>
      <c r="G33" s="45">
        <f>(C34+D34+E34)+((S33/24)*2.00)</f>
        <v/>
      </c>
      <c r="H33" s="43">
        <f>G33+((K33/12)*93.00)</f>
        <v/>
      </c>
      <c r="I33" s="43" t="n">
        <v>288761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288761</v>
      </c>
      <c r="D34" s="47" t="n">
        <v>698761</v>
      </c>
      <c r="E34" s="47" t="n">
        <v>588761</v>
      </c>
      <c r="F34" s="44">
        <f>C34+D34+E34</f>
        <v/>
      </c>
      <c r="G34" s="45">
        <f>(C35+D35+E35)+((S34/24)*2.00)</f>
        <v/>
      </c>
      <c r="H34" s="43">
        <f>G34+((K34/12)*93.00)</f>
        <v/>
      </c>
      <c r="I34" s="43" t="n">
        <v>288761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288761</v>
      </c>
      <c r="D35" s="47" t="n">
        <v>288761</v>
      </c>
      <c r="E35" s="47" t="n">
        <v>288761</v>
      </c>
      <c r="F35" s="44">
        <f>C35+D35+E35</f>
        <v/>
      </c>
      <c r="G35" s="45">
        <f>(C36+D36+E36)+((S35/24)*2.00)</f>
        <v/>
      </c>
      <c r="H35" s="43">
        <f>G35+((K35/12)*93.00)</f>
        <v/>
      </c>
      <c r="I35" s="43" t="n">
        <v>288761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288761</v>
      </c>
      <c r="D36" s="43" t="n">
        <v>288761</v>
      </c>
      <c r="E36" s="45" t="n">
        <v>288761</v>
      </c>
      <c r="F36" s="44">
        <f>C36+D36+E36</f>
        <v/>
      </c>
      <c r="G36" s="45">
        <f>(C37+D37+E37)+((S36/24)*2.00)</f>
        <v/>
      </c>
      <c r="H36" s="43">
        <f>G36+((K36/12)*93.00)</f>
        <v/>
      </c>
      <c r="I36" s="43" t="n">
        <v>288761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288761</v>
      </c>
      <c r="D37" s="43" t="n">
        <v>288761</v>
      </c>
      <c r="E37" s="45" t="n">
        <v>288761</v>
      </c>
      <c r="F37" s="44">
        <f>C37+D37+E37</f>
        <v/>
      </c>
      <c r="G37" s="45">
        <f>(C38+D38+E38)+((S37/24)*2.00)</f>
        <v/>
      </c>
      <c r="H37" s="43">
        <f>G37+((K37/12)*93.00)</f>
        <v/>
      </c>
      <c r="I37" s="43" t="n">
        <v>288761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288761</v>
      </c>
      <c r="D38" s="43" t="n">
        <v>288761</v>
      </c>
      <c r="E38" s="45" t="n">
        <v>288761</v>
      </c>
      <c r="F38" s="8">
        <f>C38+D38+E38</f>
        <v/>
      </c>
      <c r="G38" s="45">
        <f>(C39+D39+E39)+((S38/24)*2.00)</f>
        <v/>
      </c>
      <c r="H38" s="43">
        <f>G38+((K38/12)*93.00)</f>
        <v/>
      </c>
      <c r="I38" s="43" t="n">
        <v>288761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288761</v>
      </c>
      <c r="D39" s="43" t="n">
        <v>288761</v>
      </c>
      <c r="E39" s="45" t="n">
        <v>288761</v>
      </c>
      <c r="F39" s="44">
        <f>C39+D39+E39</f>
        <v/>
      </c>
      <c r="G39" s="45">
        <f>(C40+D40+E40)+((S39/24)*2.00)</f>
        <v/>
      </c>
      <c r="H39" s="43">
        <f>G39+((K39/12)*93.00)</f>
        <v/>
      </c>
      <c r="I39" s="43" t="n">
        <v>288761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245020</v>
      </c>
      <c r="D40" s="43" t="n">
        <v>492610</v>
      </c>
      <c r="E40" s="45" t="n">
        <v>900280</v>
      </c>
      <c r="F40" s="44">
        <f>C40+D40+E40</f>
        <v/>
      </c>
      <c r="G40" s="45">
        <f>(C41+D41+E41)+((S40/24)*2.00)</f>
        <v/>
      </c>
      <c r="H40" s="43">
        <f>G40+((K40/12)*93.00)</f>
        <v/>
      </c>
      <c r="I40" s="43" t="n">
        <v>288761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244879</v>
      </c>
      <c r="D41" s="43" t="n">
        <v>492477</v>
      </c>
      <c r="E41" s="45" t="n">
        <v>162526</v>
      </c>
      <c r="F41" s="44">
        <f>C41+D41+E41</f>
        <v/>
      </c>
      <c r="G41" s="45">
        <f>(C42+D42+E42)+((S41/24)*2.00)</f>
        <v/>
      </c>
      <c r="H41" s="43">
        <f>G41+((K41/12)*93.00)</f>
        <v/>
      </c>
      <c r="I41" s="43" t="n">
        <v>288598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O6/31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S6/31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244741</v>
      </c>
      <c r="D42" s="43" t="n">
        <v>492366</v>
      </c>
      <c r="E42" s="43" t="n">
        <v>162470</v>
      </c>
      <c r="F42" s="39" t="n">
        <v>899577</v>
      </c>
      <c r="G42" s="40" t="n">
        <v>899354</v>
      </c>
      <c r="H42" s="52" t="n">
        <v>899388</v>
      </c>
      <c r="I42" s="43" t="n">
        <v>288498</v>
      </c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1">
      <c r="N4111" s="63" t="n"/>
      <c r="R4111" s="63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workbookViewId="0">
      <selection activeCell="A1" sqref="A1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mayo-2024</t>
        </is>
      </c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Teoria del Big Bang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32000</v>
      </c>
      <c r="T6" s="38" t="inlineStr">
        <is>
          <t>Perdidas:</t>
        </is>
      </c>
      <c r="U6" s="38" t="n">
        <v>1050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>
        <v>31</v>
      </c>
      <c r="C11" s="42" t="n">
        <v>784704</v>
      </c>
      <c r="D11" s="42" t="n">
        <v>784704</v>
      </c>
      <c r="E11" s="42" t="n">
        <v>784704</v>
      </c>
      <c r="F11" s="44">
        <f>C11+D11+E11</f>
        <v/>
      </c>
      <c r="G11" s="45">
        <f>(C12+D12+E12)+((S11/24)*62.00)</f>
        <v/>
      </c>
      <c r="H11" s="43">
        <f>G11+((K11/12)*40.00)</f>
        <v/>
      </c>
      <c r="I11" s="43" t="n">
        <v>784704</v>
      </c>
      <c r="J11" s="46">
        <f>C11-C12</f>
        <v/>
      </c>
      <c r="K11" s="46">
        <f>D11-D12</f>
        <v/>
      </c>
      <c r="L11" s="46">
        <f>E11-E12</f>
        <v/>
      </c>
      <c r="M11" s="46">
        <f>I11-I12</f>
        <v/>
      </c>
      <c r="N11" s="47">
        <f>N12</f>
        <v/>
      </c>
      <c r="O11" s="48">
        <f>L11</f>
        <v/>
      </c>
      <c r="P11" s="47">
        <f>N11-O11</f>
        <v/>
      </c>
      <c r="Q11" s="47">
        <f>H11-G11</f>
        <v/>
      </c>
      <c r="R11" s="52">
        <f>R12</f>
        <v/>
      </c>
      <c r="S11" s="46">
        <f>J11+K11+L11</f>
        <v/>
      </c>
      <c r="T11" s="43">
        <f>R11-S11</f>
        <v/>
      </c>
      <c r="U11" s="43">
        <f>U12+N11</f>
        <v/>
      </c>
      <c r="V11" s="43">
        <f>V12+O11</f>
        <v/>
      </c>
      <c r="W11" s="43">
        <f>U11-V11</f>
        <v/>
      </c>
      <c r="X11" s="43">
        <f>X12+R11</f>
        <v/>
      </c>
      <c r="Y11" s="43">
        <f>Y12+S11</f>
        <v/>
      </c>
      <c r="Z11" s="43">
        <f>X11-Y11</f>
        <v/>
      </c>
      <c r="AA11" s="49">
        <f>COS(ATAN(M11/S11))</f>
        <v/>
      </c>
      <c r="AB11" s="50" t="n"/>
    </row>
    <row r="12" ht="18" customHeight="1" s="51">
      <c r="B12" s="42" t="n">
        <v>30</v>
      </c>
      <c r="C12" s="47" t="n">
        <v>784704</v>
      </c>
      <c r="D12" s="47" t="n">
        <v>784704</v>
      </c>
      <c r="E12" s="47" t="n">
        <v>784704</v>
      </c>
      <c r="F12" s="44">
        <f>C12+D12+E12</f>
        <v/>
      </c>
      <c r="G12" s="45">
        <f>(C13+D13+E13)+((S12/24)*62.00)</f>
        <v/>
      </c>
      <c r="H12" s="43">
        <f>G12+((K12/12)*40.00)</f>
        <v/>
      </c>
      <c r="I12" s="43" t="n">
        <v>784704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784704</v>
      </c>
      <c r="D13" s="47" t="n">
        <v>784704</v>
      </c>
      <c r="E13" s="47" t="n">
        <v>784704</v>
      </c>
      <c r="F13" s="44">
        <f>C13+D13+E13</f>
        <v/>
      </c>
      <c r="G13" s="45">
        <f>(C14+D14+E14)+((S13/24)*62.00)</f>
        <v/>
      </c>
      <c r="H13" s="43">
        <f>G13+((K13/12)*40.00)</f>
        <v/>
      </c>
      <c r="I13" s="43" t="n">
        <v>784704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784704</v>
      </c>
      <c r="D14" s="47" t="n">
        <v>784704</v>
      </c>
      <c r="E14" s="47" t="n">
        <v>784704</v>
      </c>
      <c r="F14" s="44">
        <f>C14+D14+E14</f>
        <v/>
      </c>
      <c r="G14" s="45">
        <f>(C15+D15+E15)+((S14/24)*62.00)</f>
        <v/>
      </c>
      <c r="H14" s="43">
        <f>G14+((K14/12)*40.00)</f>
        <v/>
      </c>
      <c r="I14" s="43" t="n">
        <v>784704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784704</v>
      </c>
      <c r="D15" s="47" t="n">
        <v>784704</v>
      </c>
      <c r="E15" s="47" t="n">
        <v>784704</v>
      </c>
      <c r="F15" s="44">
        <f>C15+D15+E15</f>
        <v/>
      </c>
      <c r="G15" s="45">
        <f>(C16+D16+E16)+((S15/24)*62.00)</f>
        <v/>
      </c>
      <c r="H15" s="43">
        <f>G15+((K15/12)*40.00)</f>
        <v/>
      </c>
      <c r="I15" s="43" t="n">
        <v>784704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784704</v>
      </c>
      <c r="D16" s="47" t="n">
        <v>784704</v>
      </c>
      <c r="E16" s="47" t="n">
        <v>784704</v>
      </c>
      <c r="F16" s="44">
        <f>C16+D16+E16</f>
        <v/>
      </c>
      <c r="G16" s="45">
        <f>(C17+D17+E17)+((S16/24)*62.00)</f>
        <v/>
      </c>
      <c r="H16" s="43">
        <f>G16+((K16/12)*40.00)</f>
        <v/>
      </c>
      <c r="I16" s="43" t="n">
        <v>784704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784704</v>
      </c>
      <c r="D17" s="47" t="n">
        <v>784704</v>
      </c>
      <c r="E17" s="47" t="n">
        <v>784704</v>
      </c>
      <c r="F17" s="44">
        <f>C17+D17+E17</f>
        <v/>
      </c>
      <c r="G17" s="45">
        <f>(C18+D18+E18)+((S17/24)*62.00)</f>
        <v/>
      </c>
      <c r="H17" s="43">
        <f>G17+((K17/12)*40.00)</f>
        <v/>
      </c>
      <c r="I17" s="43" t="n">
        <v>784704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784704</v>
      </c>
      <c r="D18" s="47" t="n">
        <v>784704</v>
      </c>
      <c r="E18" s="47" t="n">
        <v>784704</v>
      </c>
      <c r="F18" s="44">
        <f>C18+D18+E18</f>
        <v/>
      </c>
      <c r="G18" s="45">
        <f>(C19+D19+E19)+((S18/24)*62.00)</f>
        <v/>
      </c>
      <c r="H18" s="43">
        <f>G18+((K18/12)*40.00)</f>
        <v/>
      </c>
      <c r="I18" s="43" t="n">
        <v>784704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784704</v>
      </c>
      <c r="D19" s="47" t="n">
        <v>784704</v>
      </c>
      <c r="E19" s="47" t="n">
        <v>784704</v>
      </c>
      <c r="F19" s="44">
        <f>C19+D19+E19</f>
        <v/>
      </c>
      <c r="G19" s="45">
        <f>(C20+D20+E20)+((S19/24)*62.00)</f>
        <v/>
      </c>
      <c r="H19" s="43">
        <f>G19+((K19/12)*40.00)</f>
        <v/>
      </c>
      <c r="I19" s="43" t="n">
        <v>784704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784704</v>
      </c>
      <c r="D20" s="47" t="n">
        <v>784704</v>
      </c>
      <c r="E20" s="47" t="n">
        <v>784704</v>
      </c>
      <c r="F20" s="44">
        <f>C20+D20+E20</f>
        <v/>
      </c>
      <c r="G20" s="45">
        <f>(C21+D21+E21)+((S20/24)*62.00)</f>
        <v/>
      </c>
      <c r="H20" s="43">
        <f>G20+((K20/12)*40.00)</f>
        <v/>
      </c>
      <c r="I20" s="43" t="n">
        <v>784704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784704</v>
      </c>
      <c r="D21" s="47" t="n">
        <v>784704</v>
      </c>
      <c r="E21" s="47" t="n">
        <v>784704</v>
      </c>
      <c r="F21" s="44">
        <f>C21+D21+E21</f>
        <v/>
      </c>
      <c r="G21" s="45">
        <f>(C22+D22+E22)+((S21/24)*62.00)</f>
        <v/>
      </c>
      <c r="H21" s="43">
        <f>G21+((K21/12)*40.00)</f>
        <v/>
      </c>
      <c r="I21" s="43" t="n">
        <v>784704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784704</v>
      </c>
      <c r="D22" s="47" t="n">
        <v>784704</v>
      </c>
      <c r="E22" s="47" t="n">
        <v>784704</v>
      </c>
      <c r="F22" s="8">
        <f>C22+D22+E22</f>
        <v/>
      </c>
      <c r="G22" s="45">
        <f>(C23+D23+E23)+((S22/24)*62.00)</f>
        <v/>
      </c>
      <c r="H22" s="43">
        <f>G22+((K22/12)*40.00)</f>
        <v/>
      </c>
      <c r="I22" s="43" t="n">
        <v>784704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784704</v>
      </c>
      <c r="D23" s="47" t="n">
        <v>784704</v>
      </c>
      <c r="E23" s="47" t="n">
        <v>784704</v>
      </c>
      <c r="F23" s="44">
        <f>C23+D23+E23</f>
        <v/>
      </c>
      <c r="G23" s="45">
        <f>(C24+D24+E24)+((S23/24)*62.00)</f>
        <v/>
      </c>
      <c r="H23" s="43">
        <f>G23+((K23/12)*40.00)</f>
        <v/>
      </c>
      <c r="I23" s="43" t="n">
        <v>784704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784704</v>
      </c>
      <c r="D24" s="47" t="n">
        <v>784704</v>
      </c>
      <c r="E24" s="47" t="n">
        <v>784704</v>
      </c>
      <c r="F24" s="44">
        <f>C24+D24+E24</f>
        <v/>
      </c>
      <c r="G24" s="45">
        <f>(C25+D25+E25)+((S24/24)*62.00)</f>
        <v/>
      </c>
      <c r="H24" s="43">
        <f>G24+((K24/12)*40.00)</f>
        <v/>
      </c>
      <c r="I24" s="43" t="n">
        <v>784704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784704</v>
      </c>
      <c r="D25" s="47" t="n">
        <v>784704</v>
      </c>
      <c r="E25" s="47" t="n">
        <v>784704</v>
      </c>
      <c r="F25" s="44">
        <f>C25+D25+E25</f>
        <v/>
      </c>
      <c r="G25" s="45">
        <f>(C26+D26+E26)+((S25/24)*62.00)</f>
        <v/>
      </c>
      <c r="H25" s="43">
        <f>G25+((K25/12)*40.00)</f>
        <v/>
      </c>
      <c r="I25" s="43" t="n">
        <v>784704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784704</v>
      </c>
      <c r="D26" s="47" t="n">
        <v>784704</v>
      </c>
      <c r="E26" s="47" t="n">
        <v>784704</v>
      </c>
      <c r="F26" s="44">
        <f>C26+D26+E26</f>
        <v/>
      </c>
      <c r="G26" s="45">
        <f>(C27+D27+E27)+((S26/24)*62.00)</f>
        <v/>
      </c>
      <c r="H26" s="43">
        <f>G26+((K26/12)*40.00)</f>
        <v/>
      </c>
      <c r="I26" s="43" t="n">
        <v>784704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784704</v>
      </c>
      <c r="D27" s="47" t="n">
        <v>784704</v>
      </c>
      <c r="E27" s="47" t="n">
        <v>784704</v>
      </c>
      <c r="F27" s="44">
        <f>C27+D27+E27</f>
        <v/>
      </c>
      <c r="G27" s="45">
        <f>(C28+D28+E28)+((S27/24)*62.00)</f>
        <v/>
      </c>
      <c r="H27" s="43">
        <f>G27+((K27/12)*40.00)</f>
        <v/>
      </c>
      <c r="I27" s="43" t="n">
        <v>784704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784704</v>
      </c>
      <c r="D28" s="47" t="n">
        <v>784704</v>
      </c>
      <c r="E28" s="47" t="n">
        <v>784704</v>
      </c>
      <c r="F28" s="44">
        <f>C28+D28+E28</f>
        <v/>
      </c>
      <c r="G28" s="45">
        <f>(C29+D29+E29)+((S28/24)*62.00)</f>
        <v/>
      </c>
      <c r="H28" s="43">
        <f>G28+((K28/12)*40.00)</f>
        <v/>
      </c>
      <c r="I28" s="43" t="n">
        <v>784704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884704</v>
      </c>
      <c r="D29" s="47" t="n">
        <v>784704</v>
      </c>
      <c r="E29" s="47" t="n">
        <v>784704</v>
      </c>
      <c r="F29" s="44">
        <f>C29+D29+E29</f>
        <v/>
      </c>
      <c r="G29" s="45">
        <f>(C30+D30+E30)+((S29/24)*62.00)</f>
        <v/>
      </c>
      <c r="H29" s="43">
        <f>G29+((K29/12)*40.00)</f>
        <v/>
      </c>
      <c r="I29" s="43" t="n">
        <v>784704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794704</v>
      </c>
      <c r="D30" s="47" t="n">
        <v>784704</v>
      </c>
      <c r="E30" s="47" t="n">
        <v>784704</v>
      </c>
      <c r="F30" s="44">
        <f>C30+D30+E30</f>
        <v/>
      </c>
      <c r="G30" s="45">
        <f>(C31+D31+E31)+((S30/24)*62.00)</f>
        <v/>
      </c>
      <c r="H30" s="43">
        <f>G30+((K30/12)*40.00)</f>
        <v/>
      </c>
      <c r="I30" s="43" t="n">
        <v>784704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784704</v>
      </c>
      <c r="D31" s="47" t="n">
        <v>784704</v>
      </c>
      <c r="E31" s="47" t="n">
        <v>784704</v>
      </c>
      <c r="F31" s="44">
        <f>C31+D31+E31</f>
        <v/>
      </c>
      <c r="G31" s="45">
        <f>(C32+D32+E32)+((S31/24)*62.00)</f>
        <v/>
      </c>
      <c r="H31" s="43">
        <f>G31+((K31/12)*40.00)</f>
        <v/>
      </c>
      <c r="I31" s="43" t="n">
        <v>784704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784704</v>
      </c>
      <c r="D32" s="47" t="n">
        <v>784704</v>
      </c>
      <c r="E32" s="47" t="n">
        <v>784704</v>
      </c>
      <c r="F32" s="44">
        <f>C32+D32+E32</f>
        <v/>
      </c>
      <c r="G32" s="45">
        <f>(C33+D33+E33)+((S32/24)*62.00)</f>
        <v/>
      </c>
      <c r="H32" s="43">
        <f>G32+((K32/12)*40.00)</f>
        <v/>
      </c>
      <c r="I32" s="43" t="n">
        <v>784704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784704</v>
      </c>
      <c r="D33" s="47" t="n">
        <v>784704</v>
      </c>
      <c r="E33" s="47" t="n">
        <v>784704</v>
      </c>
      <c r="F33" s="44">
        <f>C33+D33+E33</f>
        <v/>
      </c>
      <c r="G33" s="45">
        <f>(C34+D34+E34)+((S33/24)*62.00)</f>
        <v/>
      </c>
      <c r="H33" s="43">
        <f>G33+((K33/12)*40.00)</f>
        <v/>
      </c>
      <c r="I33" s="43" t="n">
        <v>784704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784704</v>
      </c>
      <c r="D34" s="47" t="n">
        <v>284704</v>
      </c>
      <c r="E34" s="47" t="n">
        <v>484704</v>
      </c>
      <c r="F34" s="44">
        <f>C34+D34+E34</f>
        <v/>
      </c>
      <c r="G34" s="45">
        <f>(C35+D35+E35)+((S34/24)*62.00)</f>
        <v/>
      </c>
      <c r="H34" s="43">
        <f>G34+((K34/12)*40.00)</f>
        <v/>
      </c>
      <c r="I34" s="43" t="n">
        <v>784704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784704</v>
      </c>
      <c r="D35" s="47" t="n">
        <v>784704</v>
      </c>
      <c r="E35" s="47" t="n">
        <v>784704</v>
      </c>
      <c r="F35" s="44">
        <f>C35+D35+E35</f>
        <v/>
      </c>
      <c r="G35" s="45">
        <f>(C36+D36+E36)+((S35/24)*62.00)</f>
        <v/>
      </c>
      <c r="H35" s="43">
        <f>G35+((K35/12)*40.00)</f>
        <v/>
      </c>
      <c r="I35" s="43" t="n">
        <v>784704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784704</v>
      </c>
      <c r="D36" s="43" t="n">
        <v>784704</v>
      </c>
      <c r="E36" s="45" t="n">
        <v>784704</v>
      </c>
      <c r="F36" s="44">
        <f>C36+D36+E36</f>
        <v/>
      </c>
      <c r="G36" s="45">
        <f>(C37+D37+E37)+((S36/24)*62.00)</f>
        <v/>
      </c>
      <c r="H36" s="43">
        <f>G36+((K36/12)*40.00)</f>
        <v/>
      </c>
      <c r="I36" s="43" t="n">
        <v>784704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784704</v>
      </c>
      <c r="D37" s="43" t="n">
        <v>784704</v>
      </c>
      <c r="E37" s="45" t="n">
        <v>784704</v>
      </c>
      <c r="F37" s="44">
        <f>C37+D37+E37</f>
        <v/>
      </c>
      <c r="G37" s="45">
        <f>(C38+D38+E38)+((S37/24)*62.00)</f>
        <v/>
      </c>
      <c r="H37" s="43">
        <f>G37+((K37/12)*40.00)</f>
        <v/>
      </c>
      <c r="I37" s="43" t="n">
        <v>784704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784704</v>
      </c>
      <c r="D38" s="43" t="n">
        <v>784704</v>
      </c>
      <c r="E38" s="45" t="n">
        <v>784704</v>
      </c>
      <c r="F38" s="8">
        <f>C38+D38+E38</f>
        <v/>
      </c>
      <c r="G38" s="45">
        <f>(C39+D39+E39)+((S38/24)*62.00)</f>
        <v/>
      </c>
      <c r="H38" s="43">
        <f>G38+((K38/12)*40.00)</f>
        <v/>
      </c>
      <c r="I38" s="43" t="n">
        <v>784704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784704</v>
      </c>
      <c r="D39" s="43" t="n">
        <v>784704</v>
      </c>
      <c r="E39" s="45" t="n">
        <v>784704</v>
      </c>
      <c r="F39" s="44">
        <f>C39+D39+E39</f>
        <v/>
      </c>
      <c r="G39" s="45">
        <f>(C40+D40+E40)+((S39/24)*62.00)</f>
        <v/>
      </c>
      <c r="H39" s="43">
        <f>G39+((K39/12)*40.00)</f>
        <v/>
      </c>
      <c r="I39" s="43" t="n">
        <v>784704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200922</v>
      </c>
      <c r="D40" s="43" t="n">
        <v>480529</v>
      </c>
      <c r="E40" s="45" t="n">
        <v>102248</v>
      </c>
      <c r="F40" s="44">
        <f>C40+D40+E40</f>
        <v/>
      </c>
      <c r="G40" s="45">
        <f>(C41+D41+E41)+((S40/24)*62.00)</f>
        <v/>
      </c>
      <c r="H40" s="43">
        <f>G40+((K40/12)*40.00)</f>
        <v/>
      </c>
      <c r="I40" s="43" t="n">
        <v>85021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200698</v>
      </c>
      <c r="D41" s="43" t="n">
        <v>480261</v>
      </c>
      <c r="E41" s="45" t="n">
        <v>102165</v>
      </c>
      <c r="F41" s="44">
        <f>C41+D41+E41</f>
        <v/>
      </c>
      <c r="G41" s="45">
        <f>(C42+D42+E42)+((S41/24)*62.00)</f>
        <v/>
      </c>
      <c r="H41" s="43">
        <f>G41+((K41/12)*40.00)</f>
        <v/>
      </c>
      <c r="I41" s="43" t="n">
        <v>984966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O6/31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S6/31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147295</v>
      </c>
      <c r="D42" s="43" t="n">
        <v>492633</v>
      </c>
      <c r="E42" s="43" t="n">
        <v>162470</v>
      </c>
      <c r="F42" s="39" t="n">
        <v>180095</v>
      </c>
      <c r="G42" s="40" t="n">
        <v>256185</v>
      </c>
      <c r="H42" s="52" t="n">
        <v>106195</v>
      </c>
      <c r="I42" s="43" t="n">
        <v>868195</v>
      </c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1">
      <c r="N4111" s="63" t="n"/>
      <c r="R4111" s="63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2025-09-24T06:36:39Z</dcterms:modified>
  <cp:lastModifiedBy>ana</cp:lastModifiedBy>
  <cp:lastPrinted>2025-02-10T02:39:49Z</cp:lastPrinted>
</cp:coreProperties>
</file>