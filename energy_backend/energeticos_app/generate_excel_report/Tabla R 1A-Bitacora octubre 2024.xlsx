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778" firstSheet="0" activeTab="1" autoFilterDateGrouping="1"/>
  </bookViews>
  <sheets>
    <sheet name="teoria_del_big_bang" sheetId="1" state="visible" r:id="rId1"/>
    <sheet name="Hoja 2" sheetId="2" state="visible" r:id="rId2"/>
  </sheets>
  <definedNames>
    <definedName name="_xlnm.Print_Area" localSheetId="0">'teoria_del_big_bang'!$A$1:$AB$55</definedName>
    <definedName name="_xlnm.Print_Area" localSheetId="1">'Hoja 2'!$A$1:$AB$55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0"/>
      <scheme val="minor"/>
    </font>
    <font>
      <name val="Tahoma"/>
      <family val="2"/>
      <color theme="1"/>
      <sz val="9"/>
    </font>
    <font>
      <name val="Arial"/>
      <family val="2"/>
      <b val="1"/>
      <color theme="1"/>
      <sz val="12"/>
    </font>
    <font>
      <name val="Calibri"/>
      <family val="2"/>
      <b val="1"/>
      <color rgb="FFFF0000"/>
      <sz val="11"/>
      <scheme val="minor"/>
    </font>
    <font>
      <name val="Calibri"/>
      <family val="2"/>
      <color theme="1"/>
      <sz val="14"/>
      <scheme val="minor"/>
    </font>
    <font>
      <name val="Arial"/>
      <family val="2"/>
      <color theme="1"/>
      <sz val="14"/>
    </font>
    <font>
      <name val="Arial"/>
      <family val="2"/>
      <color rgb="FF000000"/>
      <sz val="14"/>
    </font>
    <font>
      <name val="Calibri"/>
      <family val="2"/>
      <b val="1"/>
      <color rgb="FFFF0000"/>
      <sz val="14"/>
      <scheme val="minor"/>
    </font>
    <font>
      <name val="Calibri"/>
      <family val="2"/>
      <color rgb="FF000000"/>
      <sz val="12"/>
      <scheme val="minor"/>
    </font>
    <font>
      <name val="Arial"/>
      <family val="2"/>
      <color rgb="FF000000"/>
      <sz val="12"/>
    </font>
    <font>
      <name val="Calibri"/>
      <family val="2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sz val="12"/>
      <scheme val="minor"/>
    </font>
    <font>
      <name val="Tahoma"/>
      <family val="2"/>
      <sz val="9"/>
    </font>
    <font>
      <name val="Arial"/>
      <family val="2"/>
      <sz val="14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1" fillId="0" borderId="0"/>
  </cellStyleXfs>
  <cellXfs count="64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1" fontId="9" fillId="0" borderId="2" applyAlignment="1" pivotButton="0" quotePrefix="0" xfId="0">
      <alignment horizontal="center" vertical="center" wrapText="1"/>
    </xf>
    <xf numFmtId="0" fontId="8" fillId="0" borderId="0" pivotButton="0" quotePrefix="0" xfId="0"/>
    <xf numFmtId="0" fontId="13" fillId="0" borderId="0" applyAlignment="1" pivotButton="0" quotePrefix="0" xfId="0">
      <alignment horizontal="left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4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1" fontId="17" fillId="0" borderId="1" applyAlignment="1" pivotButton="0" quotePrefix="0" xfId="0">
      <alignment horizontal="center" vertical="center" wrapText="1"/>
    </xf>
    <xf numFmtId="0" fontId="17" fillId="0" borderId="0" pivotButton="0" quotePrefix="0" xfId="0"/>
    <xf numFmtId="1" fontId="8" fillId="0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top" wrapText="1"/>
    </xf>
    <xf numFmtId="2" fontId="9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/>
    </xf>
    <xf numFmtId="0" fontId="5" fillId="0" borderId="0" pivotButton="0" quotePrefix="0" xfId="0"/>
    <xf numFmtId="17" fontId="7" fillId="0" borderId="0" pivotButton="0" quotePrefix="0" xfId="0"/>
    <xf numFmtId="1" fontId="13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right"/>
    </xf>
    <xf numFmtId="0" fontId="2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wrapText="1"/>
    </xf>
    <xf numFmtId="0" fontId="8" fillId="0" borderId="0" applyAlignment="1" pivotButton="0" quotePrefix="0" xfId="0">
      <alignment wrapText="1"/>
    </xf>
    <xf numFmtId="1" fontId="0" fillId="0" borderId="0" pivotButton="0" quotePrefix="0" xfId="0"/>
    <xf numFmtId="1" fontId="8" fillId="0" borderId="0" pivotButton="0" quotePrefix="0" xfId="0"/>
    <xf numFmtId="14" fontId="0" fillId="0" borderId="0" pivotButton="0" quotePrefix="0" xfId="0"/>
    <xf numFmtId="1" fontId="8" fillId="2" borderId="1" applyAlignment="1" pivotButton="0" quotePrefix="0" xfId="0">
      <alignment horizontal="center" vertical="center" wrapText="1"/>
    </xf>
    <xf numFmtId="0" fontId="8" fillId="2" borderId="0" pivotButton="0" quotePrefix="0" xfId="0"/>
    <xf numFmtId="1" fontId="17" fillId="2" borderId="1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" fontId="17" fillId="0" borderId="2" applyAlignment="1" pivotButton="0" quotePrefix="0" xfId="0">
      <alignment horizontal="center" vertical="center" wrapText="1"/>
    </xf>
    <xf numFmtId="1" fontId="17" fillId="0" borderId="2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1" fontId="8" fillId="0" borderId="2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 wrapText="1"/>
    </xf>
    <xf numFmtId="2" fontId="9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0" pivotButton="0" quotePrefix="0" xfId="0"/>
    <xf numFmtId="1" fontId="17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0" fillId="0" borderId="6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AB4141"/>
  <sheetViews>
    <sheetView zoomScale="60" zoomScaleNormal="60" zoomScaleSheetLayoutView="95" workbookViewId="0">
      <pane ySplit="1" topLeftCell="A2" activePane="bottomLeft" state="frozen"/>
      <selection pane="bottomLeft" activeCell="G23" sqref="G23"/>
    </sheetView>
  </sheetViews>
  <sheetFormatPr baseColWidth="10" defaultColWidth="11.42578125" defaultRowHeight="15"/>
  <cols>
    <col width="11.42578125" customWidth="1" style="51" min="1" max="2"/>
    <col width="12.28515625" bestFit="1" customWidth="1" style="51" min="3" max="3"/>
    <col width="12.140625" customWidth="1" style="51" min="4" max="4"/>
    <col width="16.28515625" customWidth="1" style="51" min="5" max="5"/>
    <col width="13" customWidth="1" style="51" min="6" max="7"/>
    <col width="12" customWidth="1" style="51" min="8" max="8"/>
    <col width="12.28515625" bestFit="1" customWidth="1" style="51" min="9" max="9"/>
    <col width="14" customWidth="1" style="51" min="11" max="11"/>
    <col width="13.42578125" bestFit="1" customWidth="1" style="51" min="16" max="16"/>
    <col width="13.140625" customWidth="1" style="51" min="17" max="17"/>
    <col width="11.42578125" customWidth="1" style="12" min="18" max="18"/>
    <col width="13.28515625" customWidth="1" style="51" min="19" max="19"/>
    <col width="14.7109375" bestFit="1" customWidth="1" style="51" min="20" max="20"/>
    <col width="11.7109375" bestFit="1" customWidth="1" style="51" min="21" max="21"/>
    <col width="13.28515625" bestFit="1" customWidth="1" style="51" min="22" max="22"/>
    <col width="12.5703125" bestFit="1" customWidth="1" style="51" min="23" max="23"/>
    <col width="11.5703125" bestFit="1" customWidth="1" style="51" min="24" max="24"/>
    <col width="14" bestFit="1" customWidth="1" style="51" min="25" max="25"/>
    <col width="13.42578125" bestFit="1" customWidth="1" style="51" min="26" max="26"/>
    <col width="15.140625" customWidth="1" style="51" min="27" max="27"/>
    <col width="16.140625" customWidth="1" style="51" min="28" max="28"/>
  </cols>
  <sheetData>
    <row r="2" ht="15.75" customHeight="1" s="51">
      <c r="G2" s="22" t="inlineStr">
        <is>
          <t xml:space="preserve">                                                                        ANEXO No. 1.</t>
        </is>
      </c>
    </row>
    <row r="3" ht="15.75" customHeight="1" s="51">
      <c r="G3" s="22" t="inlineStr">
        <is>
          <t xml:space="preserve">                                                                  TABLA 1A</t>
        </is>
      </c>
    </row>
    <row r="4" ht="15.75" customHeight="1" s="51">
      <c r="G4" s="23" t="inlineStr">
        <is>
          <t xml:space="preserve">Cumplimiento del plan de consumo de energía eléctrica total, mes: </t>
        </is>
      </c>
      <c r="N4" s="24" t="inlineStr">
        <is>
          <t>octubre-2024</t>
        </is>
      </c>
    </row>
    <row r="5">
      <c r="C5" s="58" t="inlineStr">
        <is>
          <t>SERVICIO: COCINA COMEDOR</t>
        </is>
      </c>
      <c r="T5" s="38" t="n"/>
      <c r="U5" s="38" t="inlineStr">
        <is>
          <t>total</t>
        </is>
      </c>
      <c r="V5" s="38" t="inlineStr">
        <is>
          <t>diaria</t>
        </is>
      </c>
      <c r="W5" s="33" t="n"/>
    </row>
    <row r="6" ht="15.75" customHeight="1" s="51">
      <c r="C6" t="inlineStr">
        <is>
          <t>SERVICIO: Teoria del Big Bang</t>
        </is>
      </c>
      <c r="N6" s="11" t="inlineStr">
        <is>
          <t>Plan Pico N</t>
        </is>
      </c>
      <c r="O6" s="25">
        <f>S6*16.5%</f>
        <v/>
      </c>
      <c r="P6" s="26" t="inlineStr">
        <is>
          <t>Plan Pico D</t>
        </is>
      </c>
      <c r="Q6" s="10">
        <f>(S6*8)/100</f>
        <v/>
      </c>
      <c r="R6" s="13" t="inlineStr">
        <is>
          <t>PLAN MES</t>
        </is>
      </c>
      <c r="S6" s="10" t="n">
        <v>42000</v>
      </c>
      <c r="T6" s="38" t="inlineStr">
        <is>
          <t>Perdidas:</t>
        </is>
      </c>
      <c r="U6" s="38" t="n">
        <v>120</v>
      </c>
      <c r="V6" s="37">
        <f>U6/31</f>
        <v/>
      </c>
    </row>
    <row r="7" ht="15.75" customHeight="1" s="51">
      <c r="N7" s="11" t="n"/>
      <c r="O7" s="25" t="n"/>
      <c r="P7" s="26" t="n"/>
      <c r="Q7" s="10" t="n"/>
      <c r="R7" s="13" t="n"/>
      <c r="S7" s="10" t="n"/>
      <c r="T7" s="38" t="n"/>
      <c r="U7" s="38" t="n"/>
      <c r="V7" s="37" t="n"/>
    </row>
    <row r="8" ht="46.5" customHeight="1" s="51">
      <c r="B8" s="55" t="inlineStr">
        <is>
          <t>Día</t>
        </is>
      </c>
      <c r="C8" s="56" t="inlineStr">
        <is>
          <t>Lectura del contador</t>
        </is>
      </c>
      <c r="D8" s="60" t="n"/>
      <c r="E8" s="60" t="n"/>
      <c r="F8" s="60" t="n"/>
      <c r="G8" s="60" t="n"/>
      <c r="H8" s="60" t="n"/>
      <c r="I8" s="61" t="n"/>
      <c r="J8" s="56" t="inlineStr">
        <is>
          <t>Consumo diario kWh y kvarh</t>
        </is>
      </c>
      <c r="K8" s="60" t="n"/>
      <c r="L8" s="60" t="n"/>
      <c r="M8" s="61" t="n"/>
      <c r="N8" s="56" t="inlineStr">
        <is>
          <t>Consumo diario Pico nocturno kWh</t>
        </is>
      </c>
      <c r="O8" s="60" t="n"/>
      <c r="P8" s="61" t="n"/>
      <c r="Q8" s="57" t="inlineStr">
        <is>
          <t>Consumo diario pico Diurno kWh</t>
        </is>
      </c>
      <c r="R8" s="56" t="inlineStr">
        <is>
          <t>Consumo diario total kWh</t>
        </is>
      </c>
      <c r="S8" s="60" t="n"/>
      <c r="T8" s="61" t="n"/>
      <c r="U8" s="56" t="inlineStr">
        <is>
          <t>Consumo acumulado Pico kWh</t>
        </is>
      </c>
      <c r="V8" s="60" t="n"/>
      <c r="W8" s="61" t="n"/>
      <c r="X8" s="56" t="inlineStr">
        <is>
          <t>Consumo acumulado Total kWh</t>
        </is>
      </c>
      <c r="Y8" s="60" t="n"/>
      <c r="Z8" s="60" t="n"/>
      <c r="AA8" s="61" t="n"/>
      <c r="AB8" s="57" t="inlineStr">
        <is>
          <t>Firma Responsable</t>
        </is>
      </c>
    </row>
    <row r="9" ht="30" customHeight="1" s="51">
      <c r="B9" s="62" t="n"/>
      <c r="C9" s="55" t="inlineStr">
        <is>
          <t>MAD</t>
        </is>
      </c>
      <c r="D9" s="55" t="inlineStr">
        <is>
          <t>DIA</t>
        </is>
      </c>
      <c r="E9" s="55" t="inlineStr">
        <is>
          <t>PICO</t>
        </is>
      </c>
      <c r="F9" s="55" t="inlineStr">
        <is>
          <t>TOTAL</t>
        </is>
      </c>
      <c r="G9" s="55" t="inlineStr">
        <is>
          <t>Pico Diurno 11 am</t>
        </is>
      </c>
      <c r="H9" s="55" t="inlineStr">
        <is>
          <t>Pico Diurno 1 pm</t>
        </is>
      </c>
      <c r="I9" s="55" t="inlineStr">
        <is>
          <t>REACT</t>
        </is>
      </c>
      <c r="J9" s="55" t="inlineStr">
        <is>
          <t>MAD</t>
        </is>
      </c>
      <c r="K9" s="55" t="inlineStr">
        <is>
          <t>DIA</t>
        </is>
      </c>
      <c r="L9" s="55" t="inlineStr">
        <is>
          <t>PICO</t>
        </is>
      </c>
      <c r="M9" s="55" t="inlineStr">
        <is>
          <t>REACT</t>
        </is>
      </c>
      <c r="N9" s="55" t="inlineStr">
        <is>
          <t>Plan Pico</t>
        </is>
      </c>
      <c r="O9" s="55" t="inlineStr">
        <is>
          <t>Real Pico</t>
        </is>
      </c>
      <c r="P9" s="55" t="inlineStr">
        <is>
          <t>Plan - Real</t>
        </is>
      </c>
      <c r="Q9" s="62" t="n"/>
      <c r="R9" s="14" t="inlineStr">
        <is>
          <t>Plan</t>
        </is>
      </c>
      <c r="S9" s="55" t="inlineStr">
        <is>
          <t>Real</t>
        </is>
      </c>
      <c r="T9" s="55" t="inlineStr">
        <is>
          <t>Plan - Real</t>
        </is>
      </c>
      <c r="U9" s="55" t="inlineStr">
        <is>
          <t>Plan Pico</t>
        </is>
      </c>
      <c r="V9" s="55" t="inlineStr">
        <is>
          <t>Real Pico</t>
        </is>
      </c>
      <c r="W9" s="55" t="inlineStr">
        <is>
          <t>Plan - Real</t>
        </is>
      </c>
      <c r="X9" s="55" t="inlineStr">
        <is>
          <t>Plan</t>
        </is>
      </c>
      <c r="Y9" s="55" t="inlineStr">
        <is>
          <t>Real</t>
        </is>
      </c>
      <c r="Z9" s="27" t="inlineStr">
        <is>
          <t>Plan   - Real</t>
        </is>
      </c>
      <c r="AA9" s="55" t="inlineStr">
        <is>
          <t>FP</t>
        </is>
      </c>
      <c r="AB9" s="62" t="n"/>
    </row>
    <row r="10">
      <c r="B10" s="28" t="n"/>
      <c r="C10" s="2" t="n">
        <v>1</v>
      </c>
      <c r="D10" s="2" t="n">
        <v>2</v>
      </c>
      <c r="E10" s="2" t="n">
        <v>3</v>
      </c>
      <c r="F10" s="2" t="n"/>
      <c r="G10" s="2" t="n">
        <v>4</v>
      </c>
      <c r="H10" s="2" t="n">
        <v>5</v>
      </c>
      <c r="I10" s="2" t="n">
        <v>6</v>
      </c>
      <c r="J10" s="2" t="n">
        <v>7</v>
      </c>
      <c r="K10" s="2" t="n">
        <v>8</v>
      </c>
      <c r="L10" s="2" t="n">
        <v>9</v>
      </c>
      <c r="M10" s="2" t="n">
        <v>10</v>
      </c>
      <c r="N10" s="2" t="n">
        <v>11</v>
      </c>
      <c r="O10" s="2" t="n">
        <v>12</v>
      </c>
      <c r="P10" s="2" t="n">
        <v>13</v>
      </c>
      <c r="Q10" s="2" t="n">
        <v>14</v>
      </c>
      <c r="R10" s="15" t="n">
        <v>15</v>
      </c>
      <c r="S10" s="2" t="n">
        <v>16</v>
      </c>
      <c r="T10" s="2" t="n">
        <v>17</v>
      </c>
      <c r="U10" s="2" t="n">
        <v>18</v>
      </c>
      <c r="V10" s="2" t="n">
        <v>19</v>
      </c>
      <c r="W10" s="2" t="n">
        <v>20</v>
      </c>
      <c r="X10" s="2" t="n">
        <v>21</v>
      </c>
      <c r="Y10" s="2" t="n">
        <v>22</v>
      </c>
      <c r="Z10" s="2" t="n">
        <v>23</v>
      </c>
      <c r="AA10" s="2" t="n">
        <v>24</v>
      </c>
      <c r="AB10" s="2" t="n">
        <v>25</v>
      </c>
    </row>
    <row r="11" ht="18" customHeight="1" s="51">
      <c r="B11" s="42" t="n"/>
      <c r="C11" s="42" t="n"/>
      <c r="D11" s="42" t="n"/>
      <c r="E11" s="42" t="n"/>
      <c r="F11" s="44" t="n"/>
      <c r="G11" s="45" t="n"/>
      <c r="H11" s="43" t="n"/>
      <c r="I11" s="43" t="n"/>
      <c r="J11" s="46" t="n"/>
      <c r="K11" s="46" t="n"/>
      <c r="L11" s="46" t="n"/>
      <c r="M11" s="46" t="n"/>
      <c r="N11" s="47" t="n"/>
      <c r="O11" s="48" t="n"/>
      <c r="P11" s="47" t="n"/>
      <c r="Q11" s="47" t="n"/>
      <c r="R11" s="52" t="n"/>
      <c r="S11" s="46" t="n"/>
      <c r="T11" s="43" t="n"/>
      <c r="U11" s="43" t="n"/>
      <c r="V11" s="43" t="n"/>
      <c r="W11" s="43" t="n"/>
      <c r="X11" s="43" t="n"/>
      <c r="Y11" s="43" t="n"/>
      <c r="Z11" s="43" t="n"/>
      <c r="AA11" s="49" t="n"/>
      <c r="AB11" s="50" t="n"/>
    </row>
    <row r="12" ht="18" customHeight="1" s="51">
      <c r="B12" s="42" t="n"/>
      <c r="C12" s="47" t="n"/>
      <c r="D12" s="47" t="n"/>
      <c r="E12" s="47" t="n"/>
      <c r="F12" s="44" t="n"/>
      <c r="G12" s="45" t="n"/>
      <c r="H12" s="43" t="n"/>
      <c r="I12" s="43" t="n"/>
      <c r="J12" s="46" t="n"/>
      <c r="K12" s="46" t="n"/>
      <c r="L12" s="46" t="n"/>
      <c r="M12" s="46" t="n"/>
      <c r="N12" s="47" t="n"/>
      <c r="O12" s="48" t="n"/>
      <c r="P12" s="47" t="n"/>
      <c r="Q12" s="47" t="n"/>
      <c r="R12" s="52" t="n"/>
      <c r="S12" s="46" t="n"/>
      <c r="T12" s="43" t="n"/>
      <c r="U12" s="43" t="n"/>
      <c r="V12" s="43" t="n"/>
      <c r="W12" s="43" t="n"/>
      <c r="X12" s="43" t="n"/>
      <c r="Y12" s="43" t="n"/>
      <c r="Z12" s="43" t="n"/>
      <c r="AA12" s="49" t="n"/>
      <c r="AB12" s="50" t="n"/>
    </row>
    <row r="13" ht="18" customHeight="1" s="51">
      <c r="B13" s="42" t="n"/>
      <c r="C13" s="47" t="n"/>
      <c r="D13" s="47" t="n"/>
      <c r="E13" s="47" t="n"/>
      <c r="F13" s="44" t="n"/>
      <c r="G13" s="45" t="n"/>
      <c r="H13" s="43" t="n"/>
      <c r="I13" s="43" t="n"/>
      <c r="J13" s="46" t="n"/>
      <c r="K13" s="46" t="n"/>
      <c r="L13" s="46" t="n"/>
      <c r="M13" s="46" t="n"/>
      <c r="N13" s="47" t="n"/>
      <c r="O13" s="48" t="n"/>
      <c r="P13" s="47" t="n"/>
      <c r="Q13" s="47" t="n"/>
      <c r="R13" s="52" t="n"/>
      <c r="S13" s="46" t="n"/>
      <c r="T13" s="43" t="n"/>
      <c r="U13" s="43" t="n"/>
      <c r="V13" s="43" t="n"/>
      <c r="W13" s="43" t="n"/>
      <c r="X13" s="43" t="n"/>
      <c r="Y13" s="43" t="n"/>
      <c r="Z13" s="43" t="n"/>
      <c r="AA13" s="49" t="n"/>
      <c r="AB13" s="50" t="n"/>
    </row>
    <row r="14" ht="18" customHeight="1" s="51">
      <c r="B14" s="42" t="n"/>
      <c r="C14" s="47" t="n"/>
      <c r="D14" s="47" t="n"/>
      <c r="E14" s="47" t="n"/>
      <c r="F14" s="44" t="n"/>
      <c r="G14" s="45" t="n"/>
      <c r="H14" s="43" t="n"/>
      <c r="I14" s="43" t="n"/>
      <c r="J14" s="43" t="n"/>
      <c r="K14" s="46" t="n"/>
      <c r="L14" s="46" t="n"/>
      <c r="M14" s="46" t="n"/>
      <c r="N14" s="47" t="n"/>
      <c r="O14" s="48" t="n"/>
      <c r="P14" s="47" t="n"/>
      <c r="Q14" s="47" t="n"/>
      <c r="R14" s="52" t="n"/>
      <c r="S14" s="46" t="n"/>
      <c r="T14" s="43" t="n"/>
      <c r="U14" s="43" t="n"/>
      <c r="V14" s="43" t="n"/>
      <c r="W14" s="43" t="n"/>
      <c r="X14" s="43" t="n"/>
      <c r="Y14" s="43" t="n"/>
      <c r="Z14" s="43" t="n"/>
      <c r="AA14" s="49" t="n"/>
      <c r="AB14" s="50" t="n"/>
    </row>
    <row r="15" ht="18" customHeight="1" s="51">
      <c r="B15" s="42" t="n"/>
      <c r="C15" s="47" t="n"/>
      <c r="D15" s="47" t="n"/>
      <c r="E15" s="47" t="n"/>
      <c r="F15" s="44" t="n"/>
      <c r="G15" s="45" t="n"/>
      <c r="H15" s="43" t="n"/>
      <c r="I15" s="43" t="n"/>
      <c r="J15" s="46" t="n"/>
      <c r="K15" s="46" t="n"/>
      <c r="L15" s="46" t="n"/>
      <c r="M15" s="46" t="n"/>
      <c r="N15" s="47" t="n"/>
      <c r="O15" s="48" t="n"/>
      <c r="P15" s="47" t="n"/>
      <c r="Q15" s="47" t="n"/>
      <c r="R15" s="52" t="n"/>
      <c r="S15" s="46" t="n"/>
      <c r="T15" s="43" t="n"/>
      <c r="U15" s="43" t="n"/>
      <c r="V15" s="43" t="n"/>
      <c r="W15" s="43" t="n"/>
      <c r="X15" s="43" t="n"/>
      <c r="Y15" s="43" t="n"/>
      <c r="Z15" s="43" t="n"/>
      <c r="AA15" s="49" t="n"/>
      <c r="AB15" s="50" t="n"/>
    </row>
    <row r="16" ht="18" customHeight="1" s="51">
      <c r="B16" s="42" t="n"/>
      <c r="C16" s="47" t="n"/>
      <c r="D16" s="47" t="n"/>
      <c r="E16" s="47" t="n"/>
      <c r="F16" s="44" t="n"/>
      <c r="G16" s="45" t="n"/>
      <c r="H16" s="43" t="n"/>
      <c r="I16" s="43" t="n"/>
      <c r="J16" s="46" t="n"/>
      <c r="K16" s="46" t="n"/>
      <c r="L16" s="46" t="n"/>
      <c r="M16" s="46" t="n"/>
      <c r="N16" s="47" t="n"/>
      <c r="O16" s="48" t="n"/>
      <c r="P16" s="47" t="n"/>
      <c r="Q16" s="47" t="n"/>
      <c r="R16" s="52" t="n"/>
      <c r="S16" s="46" t="n"/>
      <c r="T16" s="43" t="n"/>
      <c r="U16" s="43" t="n"/>
      <c r="V16" s="43" t="n"/>
      <c r="W16" s="43" t="n"/>
      <c r="X16" s="43" t="n"/>
      <c r="Y16" s="43" t="n"/>
      <c r="Z16" s="43" t="n"/>
      <c r="AA16" s="49" t="n"/>
      <c r="AB16" s="50" t="n"/>
    </row>
    <row r="17" ht="18" customHeight="1" s="51">
      <c r="B17" s="42" t="n"/>
      <c r="C17" s="47" t="n"/>
      <c r="D17" s="47" t="n"/>
      <c r="E17" s="47" t="n"/>
      <c r="F17" s="44" t="n"/>
      <c r="G17" s="45" t="n"/>
      <c r="H17" s="43" t="n"/>
      <c r="I17" s="43" t="n"/>
      <c r="J17" s="46" t="n"/>
      <c r="K17" s="46" t="n"/>
      <c r="L17" s="46" t="n"/>
      <c r="M17" s="46" t="n"/>
      <c r="N17" s="47" t="n"/>
      <c r="O17" s="48" t="n"/>
      <c r="P17" s="47" t="n"/>
      <c r="Q17" s="47" t="n"/>
      <c r="R17" s="52" t="n"/>
      <c r="S17" s="46" t="n"/>
      <c r="T17" s="43" t="n"/>
      <c r="U17" s="43" t="n"/>
      <c r="V17" s="43" t="n"/>
      <c r="W17" s="43" t="n"/>
      <c r="X17" s="43" t="n"/>
      <c r="Y17" s="43" t="n"/>
      <c r="Z17" s="43" t="n"/>
      <c r="AA17" s="49" t="n"/>
      <c r="AB17" s="50" t="n"/>
    </row>
    <row r="18" ht="18" customHeight="1" s="51">
      <c r="B18" s="42" t="n"/>
      <c r="C18" s="47" t="n"/>
      <c r="D18" s="47" t="n"/>
      <c r="E18" s="47" t="n"/>
      <c r="F18" s="44" t="n"/>
      <c r="G18" s="45" t="n"/>
      <c r="H18" s="43" t="n"/>
      <c r="I18" s="43" t="n"/>
      <c r="J18" s="46" t="n"/>
      <c r="K18" s="46" t="n"/>
      <c r="L18" s="46" t="n"/>
      <c r="M18" s="46" t="n"/>
      <c r="N18" s="47" t="n"/>
      <c r="O18" s="48" t="n"/>
      <c r="P18" s="47" t="n"/>
      <c r="Q18" s="47" t="n"/>
      <c r="R18" s="52" t="n"/>
      <c r="S18" s="46" t="n"/>
      <c r="T18" s="43" t="n"/>
      <c r="U18" s="43" t="n"/>
      <c r="V18" s="43" t="n"/>
      <c r="W18" s="43" t="n"/>
      <c r="X18" s="43" t="n"/>
      <c r="Y18" s="43" t="n"/>
      <c r="Z18" s="43" t="n"/>
      <c r="AA18" s="49" t="n"/>
      <c r="AB18" s="50" t="n"/>
    </row>
    <row r="19" ht="18" customHeight="1" s="51">
      <c r="B19" s="42" t="n"/>
      <c r="C19" s="47" t="n"/>
      <c r="D19" s="47" t="n"/>
      <c r="E19" s="47" t="n"/>
      <c r="F19" s="44" t="n"/>
      <c r="G19" s="45" t="n"/>
      <c r="H19" s="43" t="n"/>
      <c r="I19" s="43" t="n"/>
      <c r="J19" s="46" t="n"/>
      <c r="K19" s="46" t="n"/>
      <c r="L19" s="46" t="n"/>
      <c r="M19" s="46" t="n"/>
      <c r="N19" s="47" t="n"/>
      <c r="O19" s="42" t="n"/>
      <c r="P19" s="47" t="n"/>
      <c r="Q19" s="47" t="n"/>
      <c r="R19" s="52" t="n"/>
      <c r="S19" s="46" t="n"/>
      <c r="T19" s="43" t="n"/>
      <c r="U19" s="43" t="n"/>
      <c r="V19" s="43" t="n"/>
      <c r="W19" s="43" t="n"/>
      <c r="X19" s="43" t="n"/>
      <c r="Y19" s="43" t="n"/>
      <c r="Z19" s="43" t="n"/>
      <c r="AA19" s="49" t="n"/>
      <c r="AB19" s="1" t="n"/>
    </row>
    <row r="20" ht="18" customHeight="1" s="51">
      <c r="B20" s="42" t="n"/>
      <c r="C20" s="47" t="n"/>
      <c r="D20" s="47" t="n"/>
      <c r="E20" s="47" t="n"/>
      <c r="F20" s="44" t="n"/>
      <c r="G20" s="45" t="n"/>
      <c r="H20" s="43" t="n"/>
      <c r="I20" s="43" t="n"/>
      <c r="J20" s="46" t="n"/>
      <c r="K20" s="46" t="n"/>
      <c r="L20" s="46" t="n"/>
      <c r="M20" s="46" t="n"/>
      <c r="N20" s="47" t="n"/>
      <c r="O20" s="42" t="n"/>
      <c r="P20" s="47" t="n"/>
      <c r="Q20" s="47" t="n"/>
      <c r="R20" s="52" t="n"/>
      <c r="S20" s="46" t="n"/>
      <c r="T20" s="43" t="n"/>
      <c r="U20" s="43" t="n"/>
      <c r="V20" s="43" t="n"/>
      <c r="W20" s="43" t="n"/>
      <c r="X20" s="43" t="n"/>
      <c r="Y20" s="43" t="n"/>
      <c r="Z20" s="43" t="n"/>
      <c r="AA20" s="49" t="n"/>
      <c r="AB20" s="1" t="n"/>
    </row>
    <row r="21" ht="18" customHeight="1" s="51">
      <c r="B21" s="42" t="n"/>
      <c r="C21" s="47" t="n"/>
      <c r="D21" s="47" t="n"/>
      <c r="E21" s="47" t="n"/>
      <c r="F21" s="44" t="n"/>
      <c r="G21" s="45" t="n"/>
      <c r="H21" s="43" t="n"/>
      <c r="I21" s="43" t="n"/>
      <c r="J21" s="46" t="n"/>
      <c r="K21" s="46" t="n"/>
      <c r="L21" s="46" t="n"/>
      <c r="M21" s="46" t="n"/>
      <c r="N21" s="47" t="n"/>
      <c r="O21" s="42" t="n"/>
      <c r="P21" s="47" t="n"/>
      <c r="Q21" s="47" t="n"/>
      <c r="R21" s="52" t="n"/>
      <c r="S21" s="46" t="n"/>
      <c r="T21" s="43" t="n"/>
      <c r="U21" s="43" t="n"/>
      <c r="V21" s="43" t="n"/>
      <c r="W21" s="43" t="n"/>
      <c r="X21" s="43" t="n"/>
      <c r="Y21" s="43" t="n"/>
      <c r="Z21" s="43" t="n"/>
      <c r="AA21" s="49" t="n"/>
      <c r="AB21" s="1" t="n"/>
    </row>
    <row r="22" ht="18" customHeight="1" s="51">
      <c r="B22" s="42" t="n"/>
      <c r="C22" s="47" t="n"/>
      <c r="D22" s="47" t="n"/>
      <c r="E22" s="47" t="n"/>
      <c r="F22" s="8" t="n"/>
      <c r="G22" s="45" t="n"/>
      <c r="H22" s="43" t="n"/>
      <c r="I22" s="43" t="n"/>
      <c r="J22" s="46" t="n"/>
      <c r="K22" s="46" t="n"/>
      <c r="L22" s="46" t="n"/>
      <c r="M22" s="46" t="n"/>
      <c r="N22" s="47" t="n"/>
      <c r="O22" s="42" t="n"/>
      <c r="P22" s="47" t="n"/>
      <c r="Q22" s="47" t="n"/>
      <c r="R22" s="52" t="n"/>
      <c r="S22" s="46" t="n"/>
      <c r="T22" s="43" t="n"/>
      <c r="U22" s="43" t="n"/>
      <c r="V22" s="43" t="n"/>
      <c r="W22" s="43" t="n"/>
      <c r="X22" s="43" t="n"/>
      <c r="Y22" s="43" t="n"/>
      <c r="Z22" s="43" t="n"/>
      <c r="AA22" s="49" t="n"/>
      <c r="AB22" s="1" t="n"/>
    </row>
    <row r="23" ht="18" customHeight="1" s="51">
      <c r="B23" s="42" t="n"/>
      <c r="C23" s="47" t="n"/>
      <c r="D23" s="47" t="n"/>
      <c r="E23" s="47" t="n"/>
      <c r="F23" s="44" t="n"/>
      <c r="G23" s="45" t="n"/>
      <c r="H23" s="43" t="n"/>
      <c r="I23" s="43" t="n"/>
      <c r="J23" s="46" t="n"/>
      <c r="K23" s="46" t="n"/>
      <c r="L23" s="46" t="n"/>
      <c r="M23" s="46" t="n"/>
      <c r="N23" s="47" t="n"/>
      <c r="O23" s="42" t="n"/>
      <c r="P23" s="47" t="n"/>
      <c r="Q23" s="47" t="n"/>
      <c r="R23" s="52" t="n"/>
      <c r="S23" s="46" t="n"/>
      <c r="T23" s="43" t="n"/>
      <c r="U23" s="43" t="n"/>
      <c r="V23" s="43" t="n"/>
      <c r="W23" s="43" t="n"/>
      <c r="X23" s="43" t="n"/>
      <c r="Y23" s="43" t="n"/>
      <c r="Z23" s="43" t="n"/>
      <c r="AA23" s="49" t="n"/>
      <c r="AB23" s="1" t="n"/>
    </row>
    <row r="24" ht="18" customHeight="1" s="51">
      <c r="B24" s="42" t="n"/>
      <c r="C24" s="47" t="n"/>
      <c r="D24" s="47" t="n"/>
      <c r="E24" s="47" t="n"/>
      <c r="F24" s="44" t="n"/>
      <c r="G24" s="45" t="n"/>
      <c r="H24" s="43" t="n"/>
      <c r="I24" s="43" t="n"/>
      <c r="J24" s="46" t="n"/>
      <c r="K24" s="46" t="n"/>
      <c r="L24" s="46" t="n"/>
      <c r="M24" s="46" t="n"/>
      <c r="N24" s="47" t="n"/>
      <c r="O24" s="42" t="n"/>
      <c r="P24" s="47" t="n"/>
      <c r="Q24" s="47" t="n"/>
      <c r="R24" s="52" t="n"/>
      <c r="S24" s="46" t="n"/>
      <c r="T24" s="43" t="n"/>
      <c r="U24" s="43" t="n"/>
      <c r="V24" s="43" t="n"/>
      <c r="W24" s="43" t="n"/>
      <c r="X24" s="43" t="n"/>
      <c r="Y24" s="43" t="n"/>
      <c r="Z24" s="43" t="n"/>
      <c r="AA24" s="49" t="n"/>
      <c r="AB24" s="1" t="n"/>
    </row>
    <row r="25" ht="18" customHeight="1" s="51">
      <c r="B25" s="42" t="n"/>
      <c r="C25" s="47" t="n"/>
      <c r="D25" s="47" t="n"/>
      <c r="E25" s="47" t="n"/>
      <c r="F25" s="44" t="n"/>
      <c r="G25" s="45" t="n"/>
      <c r="H25" s="43" t="n"/>
      <c r="I25" s="43" t="n"/>
      <c r="J25" s="46" t="n"/>
      <c r="K25" s="46" t="n"/>
      <c r="L25" s="46" t="n"/>
      <c r="M25" s="43" t="n"/>
      <c r="N25" s="47" t="n"/>
      <c r="O25" s="42" t="n"/>
      <c r="P25" s="47" t="n"/>
      <c r="Q25" s="47" t="n"/>
      <c r="R25" s="52" t="n"/>
      <c r="S25" s="46" t="n"/>
      <c r="T25" s="43" t="n"/>
      <c r="U25" s="43" t="n"/>
      <c r="V25" s="46" t="n"/>
      <c r="W25" s="43" t="n"/>
      <c r="X25" s="43" t="n"/>
      <c r="Y25" s="43" t="n"/>
      <c r="Z25" s="43" t="n"/>
      <c r="AA25" s="49" t="n"/>
      <c r="AB25" s="1" t="n"/>
    </row>
    <row r="26" ht="18" customHeight="1" s="51">
      <c r="B26" s="42" t="n"/>
      <c r="C26" s="47" t="n"/>
      <c r="D26" s="47" t="n"/>
      <c r="E26" s="47" t="n"/>
      <c r="F26" s="44" t="n"/>
      <c r="G26" s="45" t="n"/>
      <c r="H26" s="43" t="n"/>
      <c r="I26" s="43" t="n"/>
      <c r="J26" s="46" t="n"/>
      <c r="K26" s="46" t="n"/>
      <c r="L26" s="46" t="n"/>
      <c r="M26" s="43" t="n"/>
      <c r="N26" s="47" t="n"/>
      <c r="O26" s="42" t="n"/>
      <c r="P26" s="47" t="n"/>
      <c r="Q26" s="47" t="n"/>
      <c r="R26" s="52" t="n"/>
      <c r="S26" s="46" t="n"/>
      <c r="T26" s="43" t="n"/>
      <c r="U26" s="43" t="n"/>
      <c r="V26" s="46" t="n"/>
      <c r="W26" s="43" t="n"/>
      <c r="X26" s="43" t="n"/>
      <c r="Y26" s="43" t="n"/>
      <c r="Z26" s="43" t="n"/>
      <c r="AA26" s="49" t="n"/>
      <c r="AB26" s="1" t="n"/>
    </row>
    <row r="27" ht="18" customHeight="1" s="51">
      <c r="B27" s="42" t="n"/>
      <c r="C27" s="47" t="n"/>
      <c r="D27" s="47" t="n"/>
      <c r="E27" s="47" t="n"/>
      <c r="F27" s="44" t="n"/>
      <c r="G27" s="45" t="n"/>
      <c r="H27" s="43" t="n"/>
      <c r="I27" s="43" t="n"/>
      <c r="J27" s="46" t="n"/>
      <c r="K27" s="46" t="n"/>
      <c r="L27" s="46" t="n"/>
      <c r="M27" s="43" t="n"/>
      <c r="N27" s="47" t="n"/>
      <c r="O27" s="42" t="n"/>
      <c r="P27" s="47" t="n"/>
      <c r="Q27" s="47" t="n"/>
      <c r="R27" s="52" t="n"/>
      <c r="S27" s="46" t="n"/>
      <c r="T27" s="43" t="n"/>
      <c r="U27" s="43" t="n"/>
      <c r="V27" s="46" t="n"/>
      <c r="W27" s="43" t="n"/>
      <c r="X27" s="43" t="n"/>
      <c r="Y27" s="43" t="n"/>
      <c r="Z27" s="43" t="n"/>
      <c r="AA27" s="49" t="n"/>
      <c r="AB27" s="1" t="n"/>
    </row>
    <row r="28" ht="18" customHeight="1" s="51">
      <c r="B28" s="42" t="n"/>
      <c r="C28" s="47" t="n"/>
      <c r="D28" s="47" t="n"/>
      <c r="E28" s="47" t="n"/>
      <c r="F28" s="44" t="n"/>
      <c r="G28" s="45" t="n"/>
      <c r="H28" s="43" t="n"/>
      <c r="I28" s="43" t="n"/>
      <c r="J28" s="46" t="n"/>
      <c r="K28" s="46" t="n"/>
      <c r="L28" s="46" t="n"/>
      <c r="M28" s="43" t="n"/>
      <c r="N28" s="47" t="n"/>
      <c r="O28" s="42" t="n"/>
      <c r="P28" s="47" t="n"/>
      <c r="Q28" s="47" t="n"/>
      <c r="R28" s="52" t="n"/>
      <c r="S28" s="46" t="n"/>
      <c r="T28" s="43" t="n"/>
      <c r="U28" s="43" t="n"/>
      <c r="V28" s="46" t="n"/>
      <c r="W28" s="43" t="n"/>
      <c r="X28" s="43" t="n"/>
      <c r="Y28" s="43" t="n"/>
      <c r="Z28" s="43" t="n"/>
      <c r="AA28" s="49" t="n"/>
      <c r="AB28" s="1" t="n"/>
    </row>
    <row r="29" ht="18" customHeight="1" s="51">
      <c r="B29" s="42" t="n"/>
      <c r="C29" s="47" t="n"/>
      <c r="D29" s="47" t="n"/>
      <c r="E29" s="47" t="n"/>
      <c r="F29" s="44" t="n"/>
      <c r="G29" s="45" t="n"/>
      <c r="H29" s="43" t="n"/>
      <c r="I29" s="43" t="n"/>
      <c r="J29" s="46" t="n"/>
      <c r="K29" s="46" t="n"/>
      <c r="L29" s="46" t="n"/>
      <c r="M29" s="46" t="n"/>
      <c r="N29" s="47" t="n"/>
      <c r="O29" s="42" t="n"/>
      <c r="P29" s="47" t="n"/>
      <c r="Q29" s="47" t="n"/>
      <c r="R29" s="52" t="n"/>
      <c r="S29" s="46" t="n"/>
      <c r="T29" s="43" t="n"/>
      <c r="U29" s="43" t="n"/>
      <c r="V29" s="46" t="n"/>
      <c r="W29" s="43" t="n"/>
      <c r="X29" s="43" t="n"/>
      <c r="Y29" s="43" t="n"/>
      <c r="Z29" s="43" t="n"/>
      <c r="AA29" s="49" t="n"/>
      <c r="AB29" s="1" t="n"/>
    </row>
    <row r="30" ht="18" customHeight="1" s="51">
      <c r="B30" s="42" t="n"/>
      <c r="C30" s="47" t="n"/>
      <c r="D30" s="47" t="n"/>
      <c r="E30" s="47" t="n"/>
      <c r="F30" s="44" t="n"/>
      <c r="G30" s="45" t="n"/>
      <c r="H30" s="43" t="n"/>
      <c r="I30" s="43" t="n"/>
      <c r="J30" s="46" t="n"/>
      <c r="K30" s="46" t="n"/>
      <c r="L30" s="46" t="n"/>
      <c r="M30" s="46" t="n"/>
      <c r="N30" s="47" t="n"/>
      <c r="O30" s="42" t="n"/>
      <c r="P30" s="47" t="n"/>
      <c r="Q30" s="47" t="n"/>
      <c r="R30" s="52" t="n"/>
      <c r="S30" s="46" t="n"/>
      <c r="T30" s="43" t="n"/>
      <c r="U30" s="43" t="n"/>
      <c r="V30" s="46" t="n"/>
      <c r="W30" s="43" t="n"/>
      <c r="X30" s="43" t="n"/>
      <c r="Y30" s="43" t="n"/>
      <c r="Z30" s="43" t="n"/>
      <c r="AA30" s="49" t="n"/>
      <c r="AB30" s="1" t="n"/>
    </row>
    <row r="31" ht="18" customHeight="1" s="51">
      <c r="B31" s="42" t="n"/>
      <c r="C31" s="47" t="n"/>
      <c r="D31" s="47" t="n"/>
      <c r="E31" s="47" t="n"/>
      <c r="F31" s="44" t="n"/>
      <c r="G31" s="45" t="n"/>
      <c r="H31" s="43" t="n"/>
      <c r="I31" s="43" t="n"/>
      <c r="J31" s="46" t="n"/>
      <c r="K31" s="46" t="n"/>
      <c r="L31" s="46" t="n"/>
      <c r="M31" s="46" t="n"/>
      <c r="N31" s="47" t="n"/>
      <c r="O31" s="42" t="n"/>
      <c r="P31" s="47" t="n"/>
      <c r="Q31" s="47" t="n"/>
      <c r="R31" s="52" t="n"/>
      <c r="S31" s="46" t="n"/>
      <c r="T31" s="43" t="n"/>
      <c r="U31" s="43" t="n"/>
      <c r="V31" s="46" t="n"/>
      <c r="W31" s="43" t="n"/>
      <c r="X31" s="43" t="n"/>
      <c r="Y31" s="43" t="n"/>
      <c r="Z31" s="43" t="n"/>
      <c r="AA31" s="49" t="n"/>
      <c r="AB31" s="1" t="n"/>
    </row>
    <row r="32" ht="18" customHeight="1" s="51">
      <c r="B32" s="42" t="n"/>
      <c r="C32" s="47" t="n"/>
      <c r="D32" s="47" t="n"/>
      <c r="E32" s="47" t="n"/>
      <c r="F32" s="44" t="n"/>
      <c r="G32" s="45" t="n"/>
      <c r="H32" s="43" t="n"/>
      <c r="I32" s="43" t="n"/>
      <c r="J32" s="46" t="n"/>
      <c r="K32" s="46" t="n"/>
      <c r="L32" s="46" t="n"/>
      <c r="M32" s="46" t="n"/>
      <c r="N32" s="47" t="n"/>
      <c r="O32" s="42" t="n"/>
      <c r="P32" s="47" t="n"/>
      <c r="Q32" s="47" t="n"/>
      <c r="R32" s="52" t="n"/>
      <c r="S32" s="46" t="n"/>
      <c r="T32" s="43" t="n"/>
      <c r="U32" s="43" t="n"/>
      <c r="V32" s="46" t="n"/>
      <c r="W32" s="43" t="n"/>
      <c r="X32" s="43" t="n"/>
      <c r="Y32" s="43" t="n"/>
      <c r="Z32" s="43" t="n"/>
      <c r="AA32" s="49" t="n"/>
      <c r="AB32" s="1" t="n"/>
    </row>
    <row r="33" ht="18" customHeight="1" s="51">
      <c r="B33" s="42" t="n"/>
      <c r="C33" s="47" t="n"/>
      <c r="D33" s="47" t="n"/>
      <c r="E33" s="47" t="n"/>
      <c r="F33" s="44" t="n"/>
      <c r="G33" s="45" t="n"/>
      <c r="H33" s="43" t="n"/>
      <c r="I33" s="43" t="n"/>
      <c r="J33" s="46" t="n"/>
      <c r="K33" s="46" t="n"/>
      <c r="L33" s="46" t="n"/>
      <c r="M33" s="46" t="n"/>
      <c r="N33" s="47" t="n"/>
      <c r="O33" s="42" t="n"/>
      <c r="P33" s="47" t="n"/>
      <c r="Q33" s="47" t="n"/>
      <c r="R33" s="52" t="n"/>
      <c r="S33" s="46" t="n"/>
      <c r="T33" s="43" t="n"/>
      <c r="U33" s="43" t="n"/>
      <c r="V33" s="46" t="n"/>
      <c r="W33" s="43" t="n"/>
      <c r="X33" s="43" t="n"/>
      <c r="Y33" s="43" t="n"/>
      <c r="Z33" s="43" t="n"/>
      <c r="AA33" s="49" t="n"/>
      <c r="AB33" s="1" t="n"/>
    </row>
    <row r="34" ht="18" customHeight="1" s="51">
      <c r="B34" s="42" t="n"/>
      <c r="C34" s="47" t="n"/>
      <c r="D34" s="47" t="n"/>
      <c r="E34" s="47" t="n"/>
      <c r="F34" s="44" t="n"/>
      <c r="G34" s="45" t="n"/>
      <c r="H34" s="43" t="n"/>
      <c r="I34" s="43" t="n"/>
      <c r="J34" s="46" t="n"/>
      <c r="K34" s="46" t="n"/>
      <c r="L34" s="46" t="n"/>
      <c r="M34" s="46" t="n"/>
      <c r="N34" s="47" t="n"/>
      <c r="O34" s="42" t="n"/>
      <c r="P34" s="47" t="n"/>
      <c r="Q34" s="47" t="n"/>
      <c r="R34" s="52" t="n"/>
      <c r="S34" s="46" t="n"/>
      <c r="T34" s="43" t="n"/>
      <c r="U34" s="43" t="n"/>
      <c r="V34" s="46" t="n"/>
      <c r="W34" s="43" t="n"/>
      <c r="X34" s="43" t="n"/>
      <c r="Y34" s="43" t="n"/>
      <c r="Z34" s="43" t="n"/>
      <c r="AA34" s="49" t="n"/>
      <c r="AB34" s="1" t="n"/>
    </row>
    <row r="35" ht="18" customHeight="1" s="51">
      <c r="B35" s="42" t="n"/>
      <c r="C35" s="47" t="n"/>
      <c r="D35" s="47" t="n"/>
      <c r="E35" s="47" t="n"/>
      <c r="F35" s="44" t="n"/>
      <c r="G35" s="45" t="n"/>
      <c r="H35" s="43" t="n"/>
      <c r="I35" s="43" t="n"/>
      <c r="J35" s="46" t="n"/>
      <c r="K35" s="46" t="n"/>
      <c r="L35" s="46" t="n"/>
      <c r="M35" s="46" t="n"/>
      <c r="N35" s="47" t="n"/>
      <c r="O35" s="42" t="n"/>
      <c r="P35" s="47" t="n"/>
      <c r="Q35" s="47" t="n"/>
      <c r="R35" s="52" t="n"/>
      <c r="S35" s="46" t="n"/>
      <c r="T35" s="43" t="n"/>
      <c r="U35" s="43" t="n"/>
      <c r="V35" s="46" t="n"/>
      <c r="W35" s="43" t="n"/>
      <c r="X35" s="43" t="n"/>
      <c r="Y35" s="43" t="n"/>
      <c r="Z35" s="43" t="n"/>
      <c r="AA35" s="49" t="n"/>
      <c r="AB35" s="1" t="n"/>
    </row>
    <row r="36" ht="18" customHeight="1" s="51">
      <c r="B36" s="42" t="n"/>
      <c r="C36" s="43" t="n"/>
      <c r="D36" s="43" t="n"/>
      <c r="E36" s="45" t="n"/>
      <c r="F36" s="44" t="n"/>
      <c r="G36" s="45" t="n"/>
      <c r="H36" s="43" t="n"/>
      <c r="I36" s="43" t="n"/>
      <c r="J36" s="46" t="n"/>
      <c r="K36" s="46" t="n"/>
      <c r="L36" s="46" t="n"/>
      <c r="M36" s="46" t="n"/>
      <c r="N36" s="47" t="n"/>
      <c r="O36" s="42" t="n"/>
      <c r="P36" s="47" t="n"/>
      <c r="Q36" s="47" t="n"/>
      <c r="R36" s="52" t="n"/>
      <c r="S36" s="46" t="n"/>
      <c r="T36" s="43" t="n"/>
      <c r="U36" s="43" t="n"/>
      <c r="V36" s="46" t="n"/>
      <c r="W36" s="43" t="n"/>
      <c r="X36" s="43" t="n"/>
      <c r="Y36" s="43" t="n"/>
      <c r="Z36" s="43" t="n"/>
      <c r="AA36" s="49" t="n"/>
      <c r="AB36" s="1" t="n"/>
    </row>
    <row r="37" ht="18" customHeight="1" s="51">
      <c r="B37" s="42" t="n"/>
      <c r="C37" s="43" t="n"/>
      <c r="D37" s="43" t="n"/>
      <c r="E37" s="45" t="n"/>
      <c r="F37" s="44" t="n"/>
      <c r="G37" s="45" t="n"/>
      <c r="H37" s="43" t="n"/>
      <c r="I37" s="43" t="n"/>
      <c r="J37" s="46" t="n"/>
      <c r="K37" s="46" t="n"/>
      <c r="L37" s="46" t="n"/>
      <c r="M37" s="46" t="n"/>
      <c r="N37" s="47" t="n"/>
      <c r="O37" s="42" t="n"/>
      <c r="P37" s="47" t="n"/>
      <c r="Q37" s="47" t="n"/>
      <c r="R37" s="52" t="n"/>
      <c r="S37" s="46" t="n"/>
      <c r="T37" s="43" t="n"/>
      <c r="U37" s="43" t="n"/>
      <c r="V37" s="46" t="n"/>
      <c r="W37" s="43" t="n"/>
      <c r="X37" s="43" t="n"/>
      <c r="Y37" s="43" t="n"/>
      <c r="Z37" s="43" t="n"/>
      <c r="AA37" s="49" t="n"/>
      <c r="AB37" s="1" t="n"/>
    </row>
    <row r="38" ht="18" customHeight="1" s="51">
      <c r="B38" s="42" t="n"/>
      <c r="C38" s="43" t="n"/>
      <c r="D38" s="43" t="n"/>
      <c r="E38" s="45" t="n"/>
      <c r="F38" s="8" t="n"/>
      <c r="G38" s="45" t="n"/>
      <c r="H38" s="43" t="n"/>
      <c r="I38" s="43" t="n"/>
      <c r="J38" s="46" t="n"/>
      <c r="K38" s="46" t="n"/>
      <c r="L38" s="46" t="n"/>
      <c r="M38" s="46" t="n"/>
      <c r="N38" s="47" t="n"/>
      <c r="O38" s="42" t="n"/>
      <c r="P38" s="47" t="n"/>
      <c r="Q38" s="47" t="n"/>
      <c r="R38" s="52" t="n"/>
      <c r="S38" s="46" t="n"/>
      <c r="T38" s="43" t="n"/>
      <c r="U38" s="43" t="n"/>
      <c r="V38" s="46" t="n"/>
      <c r="W38" s="43" t="n"/>
      <c r="X38" s="43" t="n"/>
      <c r="Y38" s="43" t="n"/>
      <c r="Z38" s="43" t="n"/>
      <c r="AA38" s="49" t="n"/>
      <c r="AB38" s="1" t="n"/>
    </row>
    <row r="39" ht="18" customHeight="1" s="51">
      <c r="B39" s="42" t="n"/>
      <c r="C39" s="43" t="n"/>
      <c r="D39" s="43" t="n"/>
      <c r="E39" s="45" t="n"/>
      <c r="F39" s="44" t="n"/>
      <c r="G39" s="45" t="n"/>
      <c r="H39" s="43" t="n"/>
      <c r="I39" s="43" t="n"/>
      <c r="J39" s="46" t="n"/>
      <c r="K39" s="46" t="n"/>
      <c r="L39" s="46" t="n"/>
      <c r="M39" s="46" t="n"/>
      <c r="N39" s="47" t="n"/>
      <c r="O39" s="42" t="n"/>
      <c r="P39" s="47" t="n"/>
      <c r="Q39" s="47" t="n"/>
      <c r="R39" s="52" t="n"/>
      <c r="S39" s="46" t="n"/>
      <c r="T39" s="43" t="n"/>
      <c r="U39" s="43" t="n"/>
      <c r="V39" s="46" t="n"/>
      <c r="W39" s="43" t="n"/>
      <c r="X39" s="43" t="n"/>
      <c r="Y39" s="43" t="n"/>
      <c r="Z39" s="43" t="n"/>
      <c r="AA39" s="49" t="n"/>
      <c r="AB39" s="1" t="n"/>
    </row>
    <row r="40" ht="18" customHeight="1" s="51">
      <c r="B40" s="42" t="n">
        <v>2</v>
      </c>
      <c r="C40" s="43" t="n">
        <v>5</v>
      </c>
      <c r="D40" s="43" t="n">
        <v>6</v>
      </c>
      <c r="E40" s="45" t="n">
        <v>7</v>
      </c>
      <c r="F40" s="44">
        <f>C40+D40+E40</f>
        <v/>
      </c>
      <c r="G40" s="45">
        <f>(C41+D41+E41)+((S40/24)*62.00)</f>
        <v/>
      </c>
      <c r="H40" s="43">
        <f>G40+((K40/12)*40.00)</f>
        <v/>
      </c>
      <c r="I40" s="43" t="n">
        <v>8</v>
      </c>
      <c r="J40" s="46">
        <f>C40-C41</f>
        <v/>
      </c>
      <c r="K40" s="46">
        <f>D40-D41</f>
        <v/>
      </c>
      <c r="L40" s="46">
        <f>E40-E41</f>
        <v/>
      </c>
      <c r="M40" s="46">
        <f>I40-I41</f>
        <v/>
      </c>
      <c r="N40" s="47">
        <f>N41</f>
        <v/>
      </c>
      <c r="O40" s="42">
        <f>L40</f>
        <v/>
      </c>
      <c r="P40" s="47">
        <f>N40-O40</f>
        <v/>
      </c>
      <c r="Q40" s="47">
        <f>H40-G40</f>
        <v/>
      </c>
      <c r="R40" s="52">
        <f>R41</f>
        <v/>
      </c>
      <c r="S40" s="46">
        <f>J40+K40+L40</f>
        <v/>
      </c>
      <c r="T40" s="43">
        <f>R40-S40</f>
        <v/>
      </c>
      <c r="U40" s="43">
        <f>U41+N40</f>
        <v/>
      </c>
      <c r="V40" s="46">
        <f>V41+O40</f>
        <v/>
      </c>
      <c r="W40" s="43">
        <f>U40-V40</f>
        <v/>
      </c>
      <c r="X40" s="43">
        <f>X41+R40</f>
        <v/>
      </c>
      <c r="Y40" s="43">
        <f>Y41+S40</f>
        <v/>
      </c>
      <c r="Z40" s="43">
        <f>X40-Y40</f>
        <v/>
      </c>
      <c r="AA40" s="49">
        <f>COS(ATAN(M40/S40))</f>
        <v/>
      </c>
      <c r="AB40" s="1" t="n"/>
    </row>
    <row r="41" ht="18.75" customHeight="1" s="51" thickBot="1">
      <c r="B41" s="42" t="n">
        <v>1</v>
      </c>
      <c r="C41" s="43" t="n">
        <v>1</v>
      </c>
      <c r="D41" s="43" t="n">
        <v>2</v>
      </c>
      <c r="E41" s="45" t="n">
        <v>3</v>
      </c>
      <c r="F41" s="44">
        <f>C41+D41+E41</f>
        <v/>
      </c>
      <c r="G41" s="45">
        <f>(C42+D42+E42)+((S41/24)*62.00)</f>
        <v/>
      </c>
      <c r="H41" s="43">
        <f>G41+((K41/12)*40.00)</f>
        <v/>
      </c>
      <c r="I41" s="43" t="n">
        <v>4</v>
      </c>
      <c r="J41" s="46">
        <f>C41-C42</f>
        <v/>
      </c>
      <c r="K41" s="46">
        <f>D41-D42</f>
        <v/>
      </c>
      <c r="L41" s="46">
        <f>E41-E42</f>
        <v/>
      </c>
      <c r="M41" s="46">
        <f>I41-I42</f>
        <v/>
      </c>
      <c r="N41" s="34">
        <f>O6/31</f>
        <v/>
      </c>
      <c r="O41" s="42">
        <f>L41</f>
        <v/>
      </c>
      <c r="P41" s="47">
        <f>N41-O41</f>
        <v/>
      </c>
      <c r="Q41" s="47">
        <f>H41-G41</f>
        <v/>
      </c>
      <c r="R41" s="36">
        <f>S6/31</f>
        <v/>
      </c>
      <c r="S41" s="46">
        <f>J41+K41+L41+V6</f>
        <v/>
      </c>
      <c r="T41" s="43">
        <f>R41-S41</f>
        <v/>
      </c>
      <c r="U41" s="43">
        <f>N41</f>
        <v/>
      </c>
      <c r="V41" s="46">
        <f>O41</f>
        <v/>
      </c>
      <c r="W41" s="43">
        <f>U41-V41</f>
        <v/>
      </c>
      <c r="X41" s="43">
        <f>R41</f>
        <v/>
      </c>
      <c r="Y41" s="43">
        <f>S41</f>
        <v/>
      </c>
      <c r="Z41" s="43">
        <f>X41-Y41</f>
        <v/>
      </c>
      <c r="AA41" s="49">
        <f>COS(ATAN(M41/S41))</f>
        <v/>
      </c>
      <c r="AB41" s="1" t="n"/>
    </row>
    <row r="42" ht="54.75" customHeight="1" s="51" thickBot="1">
      <c r="B42" s="29" t="inlineStr">
        <is>
          <t>cierre mes anterior</t>
        </is>
      </c>
      <c r="C42" s="43" t="inlineStr"/>
      <c r="D42" s="43" t="inlineStr"/>
      <c r="E42" s="43" t="inlineStr"/>
      <c r="F42" s="39">
        <f>C42+D42+E42</f>
        <v/>
      </c>
      <c r="G42" s="40" t="inlineStr"/>
      <c r="H42" s="52" t="inlineStr"/>
      <c r="I42" s="43" t="inlineStr"/>
      <c r="J42" s="9" t="n"/>
      <c r="K42" s="9" t="n"/>
      <c r="L42" s="9" t="n"/>
      <c r="M42" s="35">
        <f>SUM(M11:M41)</f>
        <v/>
      </c>
      <c r="N42" s="9" t="n"/>
      <c r="O42" s="9" t="n"/>
      <c r="P42" s="9" t="n"/>
      <c r="Q42" s="9" t="n"/>
      <c r="R42" s="17" t="n"/>
      <c r="S42" s="9" t="n"/>
      <c r="T42" s="9" t="n"/>
      <c r="U42" s="9" t="n"/>
      <c r="V42" s="9" t="n"/>
      <c r="W42" s="9" t="n"/>
      <c r="X42" s="9" t="n"/>
      <c r="Y42" s="9" t="n"/>
      <c r="Z42" s="9" t="n"/>
      <c r="AA42" s="41">
        <f>AVERAGE(AA11:AA41)</f>
        <v/>
      </c>
    </row>
    <row r="43" ht="18" customHeight="1" s="51">
      <c r="B43" s="30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7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</row>
    <row r="44" ht="18" customHeight="1" s="51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17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</row>
    <row r="45" ht="18" customHeight="1" s="51">
      <c r="B45" s="9" t="n"/>
      <c r="C45" s="9" t="n"/>
      <c r="D45" s="32" t="n"/>
      <c r="E45" s="9" t="n"/>
      <c r="F45" s="9" t="n"/>
      <c r="G45" s="9" t="n"/>
      <c r="H45" s="9" t="inlineStr">
        <is>
          <t>  </t>
        </is>
      </c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7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</row>
    <row r="46">
      <c r="C46" s="31" t="n"/>
    </row>
    <row r="52" ht="18" customHeight="1" s="51">
      <c r="Z52" s="9" t="inlineStr">
        <is>
          <t>Aprobado:</t>
        </is>
      </c>
    </row>
    <row r="53" ht="18" customHeight="1" s="51">
      <c r="Z53" s="9" t="inlineStr">
        <is>
          <t>Ms.C. Jorge Luis García Santana</t>
        </is>
      </c>
      <c r="AA53" s="9" t="n"/>
    </row>
    <row r="54" ht="18" customHeight="1" s="51">
      <c r="Z54" s="9" t="inlineStr">
        <is>
          <t>Director General</t>
        </is>
      </c>
      <c r="AA54" s="9" t="n"/>
    </row>
    <row r="55" ht="18" customHeight="1" s="51">
      <c r="Z55" s="9" t="inlineStr">
        <is>
          <t>Universidad Camaguey</t>
        </is>
      </c>
      <c r="AA55" s="9" t="n"/>
    </row>
    <row r="4140">
      <c r="N4140" s="63" t="n"/>
      <c r="R4140" s="63" t="n"/>
    </row>
    <row r="4141">
      <c r="N4141" s="63" t="n"/>
      <c r="R4141" s="63" t="n"/>
    </row>
  </sheetData>
  <mergeCells count="10">
    <mergeCell ref="X8:AA8"/>
    <mergeCell ref="C5:E5"/>
    <mergeCell ref="J8:M8"/>
    <mergeCell ref="C8:I8"/>
    <mergeCell ref="Q8:Q9"/>
    <mergeCell ref="AB8:AB9"/>
    <mergeCell ref="B8:B9"/>
    <mergeCell ref="N8:P8"/>
    <mergeCell ref="R8:T8"/>
    <mergeCell ref="U8:W8"/>
  </mergeCells>
  <printOptions horizontalCentered="1"/>
  <pageMargins left="0.25" right="0.25" top="0.75" bottom="0.75" header="0.3" footer="0.3"/>
  <pageSetup orientation="landscape" paperSize="9" scale="4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AB55"/>
  <sheetViews>
    <sheetView tabSelected="1" zoomScale="60" zoomScaleNormal="60" zoomScaleSheetLayoutView="95" workbookViewId="0">
      <pane ySplit="1" topLeftCell="A2" activePane="bottomLeft" state="frozen"/>
      <selection pane="bottomLeft" activeCell="C8" sqref="C8:I8"/>
    </sheetView>
  </sheetViews>
  <sheetFormatPr baseColWidth="10" defaultColWidth="11.42578125" defaultRowHeight="15"/>
  <cols>
    <col width="11.42578125" customWidth="1" style="51" min="1" max="2"/>
    <col width="12.28515625" bestFit="1" customWidth="1" style="51" min="3" max="3"/>
    <col width="12.140625" customWidth="1" style="51" min="4" max="4"/>
    <col width="16.28515625" customWidth="1" style="51" min="5" max="5"/>
    <col width="13" customWidth="1" style="51" min="6" max="7"/>
    <col width="12" customWidth="1" style="51" min="8" max="8"/>
    <col width="12.28515625" bestFit="1" customWidth="1" style="51" min="9" max="9"/>
    <col width="14" customWidth="1" style="51" min="11" max="11"/>
    <col width="13.42578125" bestFit="1" customWidth="1" style="51" min="16" max="16"/>
    <col width="13.140625" customWidth="1" style="51" min="17" max="17"/>
    <col width="11.42578125" customWidth="1" style="12" min="18" max="18"/>
    <col width="13.28515625" customWidth="1" style="51" min="19" max="19"/>
    <col width="14.7109375" bestFit="1" customWidth="1" style="51" min="20" max="20"/>
    <col width="11.7109375" bestFit="1" customWidth="1" style="51" min="21" max="21"/>
    <col width="13.28515625" bestFit="1" customWidth="1" style="51" min="22" max="22"/>
    <col width="12.5703125" bestFit="1" customWidth="1" style="51" min="23" max="23"/>
    <col width="11.5703125" bestFit="1" customWidth="1" style="51" min="24" max="24"/>
    <col width="14" bestFit="1" customWidth="1" style="51" min="25" max="25"/>
    <col width="13.42578125" bestFit="1" customWidth="1" style="51" min="26" max="26"/>
    <col width="15.140625" customWidth="1" style="51" min="27" max="27"/>
    <col width="16.140625" customWidth="1" style="51" min="28" max="28"/>
  </cols>
  <sheetData>
    <row r="2" ht="15.75" customHeight="1" s="51">
      <c r="G2" s="22" t="inlineStr">
        <is>
          <t xml:space="preserve">                                                                        ANEXO No. 1.</t>
        </is>
      </c>
    </row>
    <row r="3" ht="15.75" customHeight="1" s="51">
      <c r="G3" s="22" t="inlineStr">
        <is>
          <t xml:space="preserve">                                                                  TABLA 1A</t>
        </is>
      </c>
    </row>
    <row r="4" ht="15.75" customHeight="1" s="51">
      <c r="G4" s="23" t="inlineStr">
        <is>
          <t xml:space="preserve">Cumplimiento del plan de consumo de energía eléctrica total, mes: </t>
        </is>
      </c>
      <c r="N4" s="24" t="n"/>
    </row>
    <row r="5" ht="18.75" customHeight="1" s="51">
      <c r="C5" s="59" t="inlineStr">
        <is>
          <t>SERVICIO: CIENCIA ANIMAL</t>
        </is>
      </c>
      <c r="T5" s="38" t="n"/>
      <c r="U5" s="38" t="inlineStr">
        <is>
          <t>total</t>
        </is>
      </c>
      <c r="V5" s="38" t="inlineStr">
        <is>
          <t>diaria</t>
        </is>
      </c>
      <c r="W5" s="33" t="n"/>
    </row>
    <row r="6" ht="15.75" customHeight="1" s="51">
      <c r="N6" s="11" t="inlineStr">
        <is>
          <t>Plan Pico N</t>
        </is>
      </c>
      <c r="O6" s="25" t="n"/>
      <c r="P6" s="26" t="inlineStr">
        <is>
          <t>Plan Pico D</t>
        </is>
      </c>
      <c r="Q6" s="10" t="n"/>
      <c r="R6" s="13" t="inlineStr">
        <is>
          <t>PLAN MES</t>
        </is>
      </c>
      <c r="S6" s="10" t="n"/>
      <c r="T6" s="38" t="inlineStr">
        <is>
          <t>Perdidas:</t>
        </is>
      </c>
      <c r="U6" s="38" t="n"/>
      <c r="V6" s="37" t="n"/>
    </row>
    <row r="7" ht="15.75" customHeight="1" s="51">
      <c r="N7" s="11" t="n"/>
      <c r="O7" s="25" t="n"/>
      <c r="P7" s="26" t="n"/>
      <c r="Q7" s="10" t="n"/>
      <c r="R7" s="13" t="n"/>
      <c r="S7" s="10" t="n"/>
      <c r="T7" s="38" t="n"/>
      <c r="U7" s="38" t="n"/>
      <c r="V7" s="37" t="n"/>
    </row>
    <row r="8" ht="46.5" customHeight="1" s="51">
      <c r="B8" s="55" t="inlineStr">
        <is>
          <t>Día</t>
        </is>
      </c>
      <c r="C8" s="56" t="inlineStr">
        <is>
          <t>Lectura del contador</t>
        </is>
      </c>
      <c r="D8" s="60" t="n"/>
      <c r="E8" s="60" t="n"/>
      <c r="F8" s="60" t="n"/>
      <c r="G8" s="60" t="n"/>
      <c r="H8" s="60" t="n"/>
      <c r="I8" s="61" t="n"/>
      <c r="J8" s="56" t="inlineStr">
        <is>
          <t>Consumo diario kWh y kvarh</t>
        </is>
      </c>
      <c r="K8" s="60" t="n"/>
      <c r="L8" s="60" t="n"/>
      <c r="M8" s="61" t="n"/>
      <c r="N8" s="56" t="inlineStr">
        <is>
          <t>Consumo diario Pico nocturno kWh</t>
        </is>
      </c>
      <c r="O8" s="60" t="n"/>
      <c r="P8" s="61" t="n"/>
      <c r="Q8" s="57" t="inlineStr">
        <is>
          <t>Consumo diario pico Diurno kWh</t>
        </is>
      </c>
      <c r="R8" s="56" t="inlineStr">
        <is>
          <t>Consumo diario total kWh</t>
        </is>
      </c>
      <c r="S8" s="60" t="n"/>
      <c r="T8" s="61" t="n"/>
      <c r="U8" s="56" t="inlineStr">
        <is>
          <t>Consumo acumulado Pico kWh</t>
        </is>
      </c>
      <c r="V8" s="60" t="n"/>
      <c r="W8" s="61" t="n"/>
      <c r="X8" s="56" t="inlineStr">
        <is>
          <t>Consumo acumulado Total kWh</t>
        </is>
      </c>
      <c r="Y8" s="60" t="n"/>
      <c r="Z8" s="60" t="n"/>
      <c r="AA8" s="61" t="n"/>
      <c r="AB8" s="57" t="inlineStr">
        <is>
          <t>Firma Responsable</t>
        </is>
      </c>
    </row>
    <row r="9" ht="30" customHeight="1" s="51">
      <c r="B9" s="62" t="n"/>
      <c r="C9" s="55" t="inlineStr">
        <is>
          <t>MAD</t>
        </is>
      </c>
      <c r="D9" s="55" t="inlineStr">
        <is>
          <t>DIA</t>
        </is>
      </c>
      <c r="E9" s="55" t="inlineStr">
        <is>
          <t>PICO</t>
        </is>
      </c>
      <c r="F9" s="55" t="inlineStr">
        <is>
          <t>TOTAL</t>
        </is>
      </c>
      <c r="G9" s="55" t="inlineStr">
        <is>
          <t>Pico Diurno 11 am</t>
        </is>
      </c>
      <c r="H9" s="55" t="inlineStr">
        <is>
          <t>Pico Diurno 1 pm</t>
        </is>
      </c>
      <c r="I9" s="55" t="inlineStr">
        <is>
          <t>REACT</t>
        </is>
      </c>
      <c r="J9" s="55" t="inlineStr">
        <is>
          <t>MAD</t>
        </is>
      </c>
      <c r="K9" s="55" t="inlineStr">
        <is>
          <t>DIA</t>
        </is>
      </c>
      <c r="L9" s="55" t="inlineStr">
        <is>
          <t>PICO</t>
        </is>
      </c>
      <c r="M9" s="55" t="inlineStr">
        <is>
          <t>REACT</t>
        </is>
      </c>
      <c r="N9" s="55" t="inlineStr">
        <is>
          <t>Plan Pico</t>
        </is>
      </c>
      <c r="O9" s="55" t="inlineStr">
        <is>
          <t>Real Pico</t>
        </is>
      </c>
      <c r="P9" s="55" t="inlineStr">
        <is>
          <t>Plan - Real</t>
        </is>
      </c>
      <c r="Q9" s="62" t="n"/>
      <c r="R9" s="14" t="inlineStr">
        <is>
          <t>Plan</t>
        </is>
      </c>
      <c r="S9" s="55" t="inlineStr">
        <is>
          <t>Real</t>
        </is>
      </c>
      <c r="T9" s="55" t="inlineStr">
        <is>
          <t>Plan - Real</t>
        </is>
      </c>
      <c r="U9" s="55" t="inlineStr">
        <is>
          <t>Plan Pico</t>
        </is>
      </c>
      <c r="V9" s="55" t="inlineStr">
        <is>
          <t>Real Pico</t>
        </is>
      </c>
      <c r="W9" s="55" t="inlineStr">
        <is>
          <t>Plan - Real</t>
        </is>
      </c>
      <c r="X9" s="55" t="inlineStr">
        <is>
          <t>Plan</t>
        </is>
      </c>
      <c r="Y9" s="55" t="inlineStr">
        <is>
          <t>Real</t>
        </is>
      </c>
      <c r="Z9" s="27" t="inlineStr">
        <is>
          <t>Plan   - Real</t>
        </is>
      </c>
      <c r="AA9" s="55" t="inlineStr">
        <is>
          <t>FP</t>
        </is>
      </c>
      <c r="AB9" s="62" t="n"/>
    </row>
    <row r="10">
      <c r="B10" s="28" t="n"/>
      <c r="C10" s="2" t="n">
        <v>1</v>
      </c>
      <c r="D10" s="2" t="n">
        <v>2</v>
      </c>
      <c r="E10" s="2" t="n">
        <v>3</v>
      </c>
      <c r="F10" s="2" t="n"/>
      <c r="G10" s="2" t="n">
        <v>4</v>
      </c>
      <c r="H10" s="2" t="n">
        <v>5</v>
      </c>
      <c r="I10" s="2" t="n">
        <v>6</v>
      </c>
      <c r="J10" s="2" t="n">
        <v>7</v>
      </c>
      <c r="K10" s="2" t="n">
        <v>8</v>
      </c>
      <c r="L10" s="2" t="n">
        <v>9</v>
      </c>
      <c r="M10" s="2" t="n">
        <v>10</v>
      </c>
      <c r="N10" s="2" t="n">
        <v>11</v>
      </c>
      <c r="O10" s="2" t="n">
        <v>12</v>
      </c>
      <c r="P10" s="2" t="n">
        <v>13</v>
      </c>
      <c r="Q10" s="2" t="n">
        <v>14</v>
      </c>
      <c r="R10" s="15" t="n">
        <v>15</v>
      </c>
      <c r="S10" s="2" t="n">
        <v>16</v>
      </c>
      <c r="T10" s="2" t="n">
        <v>17</v>
      </c>
      <c r="U10" s="2" t="n">
        <v>18</v>
      </c>
      <c r="V10" s="2" t="n">
        <v>19</v>
      </c>
      <c r="W10" s="2" t="n">
        <v>20</v>
      </c>
      <c r="X10" s="2" t="n">
        <v>21</v>
      </c>
      <c r="Y10" s="2" t="n">
        <v>22</v>
      </c>
      <c r="Z10" s="2" t="n">
        <v>23</v>
      </c>
      <c r="AA10" s="2" t="n">
        <v>24</v>
      </c>
      <c r="AB10" s="2" t="n">
        <v>25</v>
      </c>
    </row>
    <row r="11" ht="18" customHeight="1" s="51">
      <c r="B11" s="42" t="n"/>
      <c r="C11" s="42" t="n"/>
      <c r="D11" s="42" t="n"/>
      <c r="E11" s="42" t="n"/>
      <c r="F11" s="44" t="n"/>
      <c r="G11" s="45" t="n"/>
      <c r="H11" s="43" t="n"/>
      <c r="I11" s="43" t="n"/>
      <c r="J11" s="46" t="n"/>
      <c r="K11" s="46" t="n"/>
      <c r="L11" s="46" t="n"/>
      <c r="M11" s="46" t="n"/>
      <c r="N11" s="47" t="n"/>
      <c r="O11" s="48" t="n"/>
      <c r="P11" s="47" t="n"/>
      <c r="Q11" s="47" t="n"/>
      <c r="R11" s="52" t="n"/>
      <c r="S11" s="46" t="n"/>
      <c r="T11" s="43" t="n"/>
      <c r="U11" s="43" t="n"/>
      <c r="V11" s="43" t="n"/>
      <c r="W11" s="43" t="n"/>
      <c r="X11" s="43" t="n"/>
      <c r="Y11" s="43" t="n"/>
      <c r="Z11" s="43" t="n"/>
      <c r="AA11" s="49" t="n"/>
      <c r="AB11" s="50" t="n"/>
    </row>
    <row r="12" ht="18" customHeight="1" s="51">
      <c r="B12" s="42" t="n"/>
      <c r="C12" s="47" t="n"/>
      <c r="D12" s="47" t="n"/>
      <c r="E12" s="47" t="n"/>
      <c r="F12" s="44" t="n"/>
      <c r="G12" s="45" t="n"/>
      <c r="H12" s="43" t="n"/>
      <c r="I12" s="43" t="n"/>
      <c r="J12" s="46" t="n"/>
      <c r="K12" s="46" t="n"/>
      <c r="L12" s="46" t="n"/>
      <c r="M12" s="46" t="n"/>
      <c r="N12" s="47" t="n"/>
      <c r="O12" s="48" t="n"/>
      <c r="P12" s="47" t="n"/>
      <c r="Q12" s="47" t="n"/>
      <c r="R12" s="52" t="n"/>
      <c r="S12" s="46" t="n"/>
      <c r="T12" s="43" t="n"/>
      <c r="U12" s="43" t="n"/>
      <c r="V12" s="43" t="n"/>
      <c r="W12" s="43" t="n"/>
      <c r="X12" s="43" t="n"/>
      <c r="Y12" s="43" t="n"/>
      <c r="Z12" s="43" t="n"/>
      <c r="AA12" s="49" t="n"/>
      <c r="AB12" s="50" t="n"/>
    </row>
    <row r="13" ht="18" customHeight="1" s="51">
      <c r="B13" s="42" t="n"/>
      <c r="C13" s="47" t="n"/>
      <c r="D13" s="47" t="n"/>
      <c r="E13" s="47" t="n"/>
      <c r="F13" s="44" t="n"/>
      <c r="G13" s="45" t="n"/>
      <c r="H13" s="43" t="n"/>
      <c r="I13" s="43" t="n"/>
      <c r="J13" s="46" t="n"/>
      <c r="K13" s="46" t="n"/>
      <c r="L13" s="46" t="n"/>
      <c r="M13" s="46" t="n"/>
      <c r="N13" s="47" t="n"/>
      <c r="O13" s="48" t="n"/>
      <c r="P13" s="47" t="n"/>
      <c r="Q13" s="47" t="n"/>
      <c r="R13" s="52" t="n"/>
      <c r="S13" s="46" t="n"/>
      <c r="T13" s="43" t="n"/>
      <c r="U13" s="43" t="n"/>
      <c r="V13" s="43" t="n"/>
      <c r="W13" s="43" t="n"/>
      <c r="X13" s="43" t="n"/>
      <c r="Y13" s="43" t="n"/>
      <c r="Z13" s="43" t="n"/>
      <c r="AA13" s="49" t="n"/>
      <c r="AB13" s="50" t="n"/>
    </row>
    <row r="14" ht="18" customHeight="1" s="51">
      <c r="B14" s="42" t="n"/>
      <c r="C14" s="47" t="n"/>
      <c r="D14" s="47" t="n"/>
      <c r="E14" s="47" t="n"/>
      <c r="F14" s="44" t="n"/>
      <c r="G14" s="45" t="n"/>
      <c r="H14" s="43" t="n"/>
      <c r="I14" s="43" t="n"/>
      <c r="J14" s="43" t="n"/>
      <c r="K14" s="46" t="n"/>
      <c r="L14" s="46" t="n"/>
      <c r="M14" s="46" t="n"/>
      <c r="N14" s="47" t="n"/>
      <c r="O14" s="48" t="n"/>
      <c r="P14" s="47" t="n"/>
      <c r="Q14" s="47" t="n"/>
      <c r="R14" s="52" t="n"/>
      <c r="S14" s="46" t="n"/>
      <c r="T14" s="43" t="n"/>
      <c r="U14" s="43" t="n"/>
      <c r="V14" s="43" t="n"/>
      <c r="W14" s="43" t="n"/>
      <c r="X14" s="43" t="n"/>
      <c r="Y14" s="43" t="n"/>
      <c r="Z14" s="43" t="n"/>
      <c r="AA14" s="49" t="n"/>
      <c r="AB14" s="50" t="n"/>
    </row>
    <row r="15" ht="18" customHeight="1" s="51">
      <c r="B15" s="42" t="n"/>
      <c r="C15" s="47" t="n"/>
      <c r="D15" s="47" t="n"/>
      <c r="E15" s="47" t="n"/>
      <c r="F15" s="44" t="n"/>
      <c r="G15" s="45" t="n"/>
      <c r="H15" s="43" t="n"/>
      <c r="I15" s="43" t="n"/>
      <c r="J15" s="46" t="n"/>
      <c r="K15" s="46" t="n"/>
      <c r="L15" s="46" t="n"/>
      <c r="M15" s="46" t="n"/>
      <c r="N15" s="47" t="n"/>
      <c r="O15" s="48" t="n"/>
      <c r="P15" s="47" t="n"/>
      <c r="Q15" s="47" t="n"/>
      <c r="R15" s="52" t="n"/>
      <c r="S15" s="46" t="n"/>
      <c r="T15" s="43" t="n"/>
      <c r="U15" s="43" t="n"/>
      <c r="V15" s="43" t="n"/>
      <c r="W15" s="43" t="n"/>
      <c r="X15" s="43" t="n"/>
      <c r="Y15" s="43" t="n"/>
      <c r="Z15" s="43" t="n"/>
      <c r="AA15" s="49" t="n"/>
      <c r="AB15" s="50" t="n"/>
    </row>
    <row r="16" ht="18" customHeight="1" s="51">
      <c r="B16" s="42" t="n"/>
      <c r="C16" s="47" t="n"/>
      <c r="D16" s="47" t="n"/>
      <c r="E16" s="47" t="n"/>
      <c r="F16" s="44" t="n"/>
      <c r="G16" s="45" t="n"/>
      <c r="H16" s="43" t="n"/>
      <c r="I16" s="43" t="n"/>
      <c r="J16" s="46" t="n"/>
      <c r="K16" s="46" t="n"/>
      <c r="L16" s="46" t="n"/>
      <c r="M16" s="46" t="n"/>
      <c r="N16" s="47" t="n"/>
      <c r="O16" s="48" t="n"/>
      <c r="P16" s="47" t="n"/>
      <c r="Q16" s="47" t="n"/>
      <c r="R16" s="52" t="n"/>
      <c r="S16" s="46" t="n"/>
      <c r="T16" s="43" t="n"/>
      <c r="U16" s="43" t="n"/>
      <c r="V16" s="43" t="n"/>
      <c r="W16" s="43" t="n"/>
      <c r="X16" s="43" t="n"/>
      <c r="Y16" s="43" t="n"/>
      <c r="Z16" s="43" t="n"/>
      <c r="AA16" s="49" t="n"/>
      <c r="AB16" s="50" t="n"/>
    </row>
    <row r="17" ht="18" customHeight="1" s="51">
      <c r="B17" s="42" t="n"/>
      <c r="C17" s="47" t="n"/>
      <c r="D17" s="47" t="n"/>
      <c r="E17" s="47" t="n"/>
      <c r="F17" s="44" t="n"/>
      <c r="G17" s="45" t="n"/>
      <c r="H17" s="43" t="n"/>
      <c r="I17" s="43" t="n"/>
      <c r="J17" s="46" t="n"/>
      <c r="K17" s="46" t="n"/>
      <c r="L17" s="46" t="n"/>
      <c r="M17" s="46" t="n"/>
      <c r="N17" s="47" t="n"/>
      <c r="O17" s="48" t="n"/>
      <c r="P17" s="47" t="n"/>
      <c r="Q17" s="47" t="n"/>
      <c r="R17" s="52" t="n"/>
      <c r="S17" s="46" t="n"/>
      <c r="T17" s="43" t="n"/>
      <c r="U17" s="43" t="n"/>
      <c r="V17" s="43" t="n"/>
      <c r="W17" s="43" t="n"/>
      <c r="X17" s="43" t="n"/>
      <c r="Y17" s="43" t="n"/>
      <c r="Z17" s="43" t="n"/>
      <c r="AA17" s="49" t="n"/>
      <c r="AB17" s="50" t="n"/>
    </row>
    <row r="18" ht="18" customHeight="1" s="51">
      <c r="B18" s="42" t="n"/>
      <c r="C18" s="47" t="n"/>
      <c r="D18" s="47" t="n"/>
      <c r="E18" s="47" t="n"/>
      <c r="F18" s="44" t="n"/>
      <c r="G18" s="45" t="n"/>
      <c r="H18" s="43" t="n"/>
      <c r="I18" s="43" t="n"/>
      <c r="J18" s="46" t="n"/>
      <c r="K18" s="46" t="n"/>
      <c r="L18" s="46" t="n"/>
      <c r="M18" s="46" t="n"/>
      <c r="N18" s="47" t="n"/>
      <c r="O18" s="48" t="n"/>
      <c r="P18" s="47" t="n"/>
      <c r="Q18" s="47" t="n"/>
      <c r="R18" s="52" t="n"/>
      <c r="S18" s="46" t="n"/>
      <c r="T18" s="43" t="n"/>
      <c r="U18" s="43" t="n"/>
      <c r="V18" s="43" t="n"/>
      <c r="W18" s="43" t="n"/>
      <c r="X18" s="43" t="n"/>
      <c r="Y18" s="43" t="n"/>
      <c r="Z18" s="43" t="n"/>
      <c r="AA18" s="49" t="n"/>
      <c r="AB18" s="50" t="n"/>
    </row>
    <row r="19" ht="18" customHeight="1" s="51">
      <c r="B19" s="42" t="n"/>
      <c r="C19" s="47" t="n"/>
      <c r="D19" s="47" t="n"/>
      <c r="E19" s="47" t="n"/>
      <c r="F19" s="44" t="n"/>
      <c r="G19" s="45" t="n"/>
      <c r="H19" s="43" t="n"/>
      <c r="I19" s="43" t="n"/>
      <c r="J19" s="46" t="n"/>
      <c r="K19" s="46" t="n"/>
      <c r="L19" s="46" t="n"/>
      <c r="M19" s="46" t="n"/>
      <c r="N19" s="47" t="n"/>
      <c r="O19" s="42" t="n"/>
      <c r="P19" s="47" t="n"/>
      <c r="Q19" s="47" t="n"/>
      <c r="R19" s="52" t="n"/>
      <c r="S19" s="46" t="n"/>
      <c r="T19" s="43" t="n"/>
      <c r="U19" s="43" t="n"/>
      <c r="V19" s="43" t="n"/>
      <c r="W19" s="43" t="n"/>
      <c r="X19" s="43" t="n"/>
      <c r="Y19" s="43" t="n"/>
      <c r="Z19" s="43" t="n"/>
      <c r="AA19" s="49" t="n"/>
      <c r="AB19" s="1" t="n"/>
    </row>
    <row r="20" ht="18" customHeight="1" s="51">
      <c r="B20" s="42" t="n"/>
      <c r="C20" s="47" t="n"/>
      <c r="D20" s="47" t="n"/>
      <c r="E20" s="47" t="n"/>
      <c r="F20" s="44" t="n"/>
      <c r="G20" s="45" t="n"/>
      <c r="H20" s="43" t="n"/>
      <c r="I20" s="43" t="n"/>
      <c r="J20" s="46" t="n"/>
      <c r="K20" s="46" t="n"/>
      <c r="L20" s="46" t="n"/>
      <c r="M20" s="46" t="n"/>
      <c r="N20" s="47" t="n"/>
      <c r="O20" s="42" t="n"/>
      <c r="P20" s="47" t="n"/>
      <c r="Q20" s="47" t="n"/>
      <c r="R20" s="52" t="n"/>
      <c r="S20" s="46" t="n"/>
      <c r="T20" s="43" t="n"/>
      <c r="U20" s="43" t="n"/>
      <c r="V20" s="43" t="n"/>
      <c r="W20" s="43" t="n"/>
      <c r="X20" s="43" t="n"/>
      <c r="Y20" s="43" t="n"/>
      <c r="Z20" s="43" t="n"/>
      <c r="AA20" s="49" t="n"/>
      <c r="AB20" s="1" t="n"/>
    </row>
    <row r="21" ht="18" customHeight="1" s="51">
      <c r="B21" s="42" t="n"/>
      <c r="C21" s="47" t="n"/>
      <c r="D21" s="47" t="n"/>
      <c r="E21" s="47" t="n"/>
      <c r="F21" s="44" t="n"/>
      <c r="G21" s="45" t="n"/>
      <c r="H21" s="43" t="n"/>
      <c r="I21" s="43" t="n"/>
      <c r="J21" s="46" t="n"/>
      <c r="K21" s="46" t="n"/>
      <c r="L21" s="46" t="n"/>
      <c r="M21" s="46" t="n"/>
      <c r="N21" s="47" t="n"/>
      <c r="O21" s="42" t="n"/>
      <c r="P21" s="47" t="n"/>
      <c r="Q21" s="47" t="n"/>
      <c r="R21" s="52" t="n"/>
      <c r="S21" s="46" t="n"/>
      <c r="T21" s="43" t="n"/>
      <c r="U21" s="43" t="n"/>
      <c r="V21" s="43" t="n"/>
      <c r="W21" s="43" t="n"/>
      <c r="X21" s="43" t="n"/>
      <c r="Y21" s="43" t="n"/>
      <c r="Z21" s="43" t="n"/>
      <c r="AA21" s="49" t="n"/>
      <c r="AB21" s="1" t="n"/>
    </row>
    <row r="22" ht="18" customHeight="1" s="51">
      <c r="B22" s="42" t="n"/>
      <c r="C22" s="47" t="n"/>
      <c r="D22" s="47" t="n"/>
      <c r="E22" s="47" t="n"/>
      <c r="F22" s="8" t="n"/>
      <c r="G22" s="45" t="n"/>
      <c r="H22" s="43" t="n"/>
      <c r="I22" s="43" t="n"/>
      <c r="J22" s="46" t="n"/>
      <c r="K22" s="46" t="n"/>
      <c r="L22" s="46" t="n"/>
      <c r="M22" s="46" t="n"/>
      <c r="N22" s="47" t="n"/>
      <c r="O22" s="42" t="n"/>
      <c r="P22" s="47" t="n"/>
      <c r="Q22" s="47" t="n"/>
      <c r="R22" s="52" t="n"/>
      <c r="S22" s="46" t="n"/>
      <c r="T22" s="43" t="n"/>
      <c r="U22" s="43" t="n"/>
      <c r="V22" s="43" t="n"/>
      <c r="W22" s="43" t="n"/>
      <c r="X22" s="43" t="n"/>
      <c r="Y22" s="43" t="n"/>
      <c r="Z22" s="43" t="n"/>
      <c r="AA22" s="49" t="n"/>
      <c r="AB22" s="1" t="n"/>
    </row>
    <row r="23" ht="18" customHeight="1" s="51">
      <c r="B23" s="42" t="n"/>
      <c r="C23" s="47" t="n"/>
      <c r="D23" s="47" t="n"/>
      <c r="E23" s="47" t="n"/>
      <c r="F23" s="44" t="n"/>
      <c r="G23" s="45" t="n"/>
      <c r="H23" s="43" t="n"/>
      <c r="I23" s="43" t="n"/>
      <c r="J23" s="46" t="n"/>
      <c r="K23" s="46" t="n"/>
      <c r="L23" s="46" t="n"/>
      <c r="M23" s="46" t="n"/>
      <c r="N23" s="47" t="n"/>
      <c r="O23" s="42" t="n"/>
      <c r="P23" s="47" t="n"/>
      <c r="Q23" s="47" t="n"/>
      <c r="R23" s="52" t="n"/>
      <c r="S23" s="46" t="n"/>
      <c r="T23" s="43" t="n"/>
      <c r="U23" s="43" t="n"/>
      <c r="V23" s="43" t="n"/>
      <c r="W23" s="43" t="n"/>
      <c r="X23" s="43" t="n"/>
      <c r="Y23" s="43" t="n"/>
      <c r="Z23" s="43" t="n"/>
      <c r="AA23" s="49" t="n"/>
      <c r="AB23" s="1" t="n"/>
    </row>
    <row r="24" ht="18" customHeight="1" s="51">
      <c r="B24" s="42" t="n"/>
      <c r="C24" s="47" t="n"/>
      <c r="D24" s="47" t="n"/>
      <c r="E24" s="47" t="n"/>
      <c r="F24" s="44" t="n"/>
      <c r="G24" s="45" t="n"/>
      <c r="H24" s="43" t="n"/>
      <c r="I24" s="43" t="n"/>
      <c r="J24" s="46" t="n"/>
      <c r="K24" s="46" t="n"/>
      <c r="L24" s="46" t="n"/>
      <c r="M24" s="46" t="n"/>
      <c r="N24" s="47" t="n"/>
      <c r="O24" s="42" t="n"/>
      <c r="P24" s="47" t="n"/>
      <c r="Q24" s="47" t="n"/>
      <c r="R24" s="52" t="n"/>
      <c r="S24" s="46" t="n"/>
      <c r="T24" s="43" t="n"/>
      <c r="U24" s="43" t="n"/>
      <c r="V24" s="43" t="n"/>
      <c r="W24" s="43" t="n"/>
      <c r="X24" s="43" t="n"/>
      <c r="Y24" s="43" t="n"/>
      <c r="Z24" s="43" t="n"/>
      <c r="AA24" s="49" t="n"/>
      <c r="AB24" s="1" t="n"/>
    </row>
    <row r="25" ht="18" customHeight="1" s="51">
      <c r="B25" s="42" t="n"/>
      <c r="C25" s="47" t="n"/>
      <c r="D25" s="47" t="n"/>
      <c r="E25" s="47" t="n"/>
      <c r="F25" s="44" t="n"/>
      <c r="G25" s="45" t="n"/>
      <c r="H25" s="43" t="n"/>
      <c r="I25" s="43" t="n"/>
      <c r="J25" s="46" t="n"/>
      <c r="K25" s="46" t="n"/>
      <c r="L25" s="46" t="n"/>
      <c r="M25" s="43" t="n"/>
      <c r="N25" s="47" t="n"/>
      <c r="O25" s="42" t="n"/>
      <c r="P25" s="47" t="n"/>
      <c r="Q25" s="47" t="n"/>
      <c r="R25" s="52" t="n"/>
      <c r="S25" s="46" t="n"/>
      <c r="T25" s="43" t="n"/>
      <c r="U25" s="43" t="n"/>
      <c r="V25" s="46" t="n"/>
      <c r="W25" s="43" t="n"/>
      <c r="X25" s="43" t="n"/>
      <c r="Y25" s="43" t="n"/>
      <c r="Z25" s="43" t="n"/>
      <c r="AA25" s="49" t="n"/>
      <c r="AB25" s="1" t="n"/>
    </row>
    <row r="26" ht="18" customHeight="1" s="51">
      <c r="B26" s="42" t="n"/>
      <c r="C26" s="47" t="n"/>
      <c r="D26" s="47" t="n"/>
      <c r="E26" s="47" t="n"/>
      <c r="F26" s="44" t="n"/>
      <c r="G26" s="45" t="n"/>
      <c r="H26" s="43" t="n"/>
      <c r="I26" s="43" t="n"/>
      <c r="J26" s="46" t="n"/>
      <c r="K26" s="46" t="n"/>
      <c r="L26" s="46" t="n"/>
      <c r="M26" s="43" t="n"/>
      <c r="N26" s="47" t="n"/>
      <c r="O26" s="42" t="n"/>
      <c r="P26" s="47" t="n"/>
      <c r="Q26" s="47" t="n"/>
      <c r="R26" s="52" t="n"/>
      <c r="S26" s="46" t="n"/>
      <c r="T26" s="43" t="n"/>
      <c r="U26" s="43" t="n"/>
      <c r="V26" s="46" t="n"/>
      <c r="W26" s="43" t="n"/>
      <c r="X26" s="43" t="n"/>
      <c r="Y26" s="43" t="n"/>
      <c r="Z26" s="43" t="n"/>
      <c r="AA26" s="49" t="n"/>
      <c r="AB26" s="1" t="n"/>
    </row>
    <row r="27" ht="18" customHeight="1" s="51">
      <c r="B27" s="42" t="n"/>
      <c r="C27" s="47" t="n"/>
      <c r="D27" s="47" t="n"/>
      <c r="E27" s="47" t="n"/>
      <c r="F27" s="44" t="n"/>
      <c r="G27" s="45" t="n"/>
      <c r="H27" s="43" t="n"/>
      <c r="I27" s="43" t="n"/>
      <c r="J27" s="46" t="n"/>
      <c r="K27" s="46" t="n"/>
      <c r="L27" s="46" t="n"/>
      <c r="M27" s="43" t="n"/>
      <c r="N27" s="47" t="n"/>
      <c r="O27" s="42" t="n"/>
      <c r="P27" s="47" t="n"/>
      <c r="Q27" s="47" t="n"/>
      <c r="R27" s="52" t="n"/>
      <c r="S27" s="46" t="n"/>
      <c r="T27" s="43" t="n"/>
      <c r="U27" s="43" t="n"/>
      <c r="V27" s="46" t="n"/>
      <c r="W27" s="43" t="n"/>
      <c r="X27" s="43" t="n"/>
      <c r="Y27" s="43" t="n"/>
      <c r="Z27" s="43" t="n"/>
      <c r="AA27" s="49" t="n"/>
      <c r="AB27" s="1" t="n"/>
    </row>
    <row r="28" ht="18" customHeight="1" s="51">
      <c r="B28" s="42" t="n"/>
      <c r="C28" s="47" t="n"/>
      <c r="D28" s="47" t="n"/>
      <c r="E28" s="47" t="n"/>
      <c r="F28" s="44" t="n"/>
      <c r="G28" s="45" t="n"/>
      <c r="H28" s="43" t="n"/>
      <c r="I28" s="43" t="n"/>
      <c r="J28" s="46" t="n"/>
      <c r="K28" s="46" t="n"/>
      <c r="L28" s="46" t="n"/>
      <c r="M28" s="43" t="n"/>
      <c r="N28" s="47" t="n"/>
      <c r="O28" s="42" t="n"/>
      <c r="P28" s="47" t="n"/>
      <c r="Q28" s="47" t="n"/>
      <c r="R28" s="52" t="n"/>
      <c r="S28" s="46" t="n"/>
      <c r="T28" s="43" t="n"/>
      <c r="U28" s="43" t="n"/>
      <c r="V28" s="46" t="n"/>
      <c r="W28" s="43" t="n"/>
      <c r="X28" s="43" t="n"/>
      <c r="Y28" s="43" t="n"/>
      <c r="Z28" s="43" t="n"/>
      <c r="AA28" s="49" t="n"/>
      <c r="AB28" s="1" t="n"/>
    </row>
    <row r="29" ht="18" customHeight="1" s="51">
      <c r="B29" s="42" t="n"/>
      <c r="C29" s="47" t="n"/>
      <c r="D29" s="47" t="n"/>
      <c r="E29" s="47" t="n"/>
      <c r="F29" s="44" t="n"/>
      <c r="G29" s="45" t="n"/>
      <c r="H29" s="43" t="n"/>
      <c r="I29" s="43" t="n"/>
      <c r="J29" s="46" t="n"/>
      <c r="K29" s="46" t="n"/>
      <c r="L29" s="46" t="n"/>
      <c r="M29" s="46" t="n"/>
      <c r="N29" s="47" t="n"/>
      <c r="O29" s="42" t="n"/>
      <c r="P29" s="47" t="n"/>
      <c r="Q29" s="47" t="n"/>
      <c r="R29" s="52" t="n"/>
      <c r="S29" s="46" t="n"/>
      <c r="T29" s="43" t="n"/>
      <c r="U29" s="43" t="n"/>
      <c r="V29" s="46" t="n"/>
      <c r="W29" s="43" t="n"/>
      <c r="X29" s="43" t="n"/>
      <c r="Y29" s="43" t="n"/>
      <c r="Z29" s="43" t="n"/>
      <c r="AA29" s="49" t="n"/>
      <c r="AB29" s="1" t="n"/>
    </row>
    <row r="30" ht="18" customHeight="1" s="51">
      <c r="B30" s="42" t="n"/>
      <c r="C30" s="47" t="n"/>
      <c r="D30" s="47" t="n"/>
      <c r="E30" s="47" t="n"/>
      <c r="F30" s="44" t="n"/>
      <c r="G30" s="45" t="n"/>
      <c r="H30" s="43" t="n"/>
      <c r="I30" s="43" t="n"/>
      <c r="J30" s="46" t="n"/>
      <c r="K30" s="46" t="n"/>
      <c r="L30" s="46" t="n"/>
      <c r="M30" s="46" t="n"/>
      <c r="N30" s="47" t="n"/>
      <c r="O30" s="42" t="n"/>
      <c r="P30" s="47" t="n"/>
      <c r="Q30" s="47" t="n"/>
      <c r="R30" s="52" t="n"/>
      <c r="S30" s="46" t="n"/>
      <c r="T30" s="43" t="n"/>
      <c r="U30" s="43" t="n"/>
      <c r="V30" s="46" t="n"/>
      <c r="W30" s="43" t="n"/>
      <c r="X30" s="43" t="n"/>
      <c r="Y30" s="43" t="n"/>
      <c r="Z30" s="43" t="n"/>
      <c r="AA30" s="49" t="n"/>
      <c r="AB30" s="1" t="n"/>
    </row>
    <row r="31" ht="18" customHeight="1" s="51">
      <c r="B31" s="42" t="n"/>
      <c r="C31" s="47" t="n"/>
      <c r="D31" s="47" t="n"/>
      <c r="E31" s="47" t="n"/>
      <c r="F31" s="44" t="n"/>
      <c r="G31" s="45" t="n"/>
      <c r="H31" s="43" t="n"/>
      <c r="I31" s="43" t="n"/>
      <c r="J31" s="46" t="n"/>
      <c r="K31" s="46" t="n"/>
      <c r="L31" s="46" t="n"/>
      <c r="M31" s="46" t="n"/>
      <c r="N31" s="47" t="n"/>
      <c r="O31" s="42" t="n"/>
      <c r="P31" s="47" t="n"/>
      <c r="Q31" s="47" t="n"/>
      <c r="R31" s="52" t="n"/>
      <c r="S31" s="46" t="n"/>
      <c r="T31" s="43" t="n"/>
      <c r="U31" s="43" t="n"/>
      <c r="V31" s="46" t="n"/>
      <c r="W31" s="43" t="n"/>
      <c r="X31" s="43" t="n"/>
      <c r="Y31" s="43" t="n"/>
      <c r="Z31" s="43" t="n"/>
      <c r="AA31" s="49" t="n"/>
      <c r="AB31" s="1" t="n"/>
    </row>
    <row r="32" ht="18" customHeight="1" s="51">
      <c r="B32" s="42" t="n"/>
      <c r="C32" s="47" t="n"/>
      <c r="D32" s="47" t="n"/>
      <c r="E32" s="47" t="n"/>
      <c r="F32" s="44" t="n"/>
      <c r="G32" s="45" t="n"/>
      <c r="H32" s="43" t="n"/>
      <c r="I32" s="43" t="n"/>
      <c r="J32" s="46" t="n"/>
      <c r="K32" s="46" t="n"/>
      <c r="L32" s="46" t="n"/>
      <c r="M32" s="46" t="n"/>
      <c r="N32" s="47" t="n"/>
      <c r="O32" s="42" t="n"/>
      <c r="P32" s="47" t="n"/>
      <c r="Q32" s="47" t="n"/>
      <c r="R32" s="52" t="n"/>
      <c r="S32" s="46" t="n"/>
      <c r="T32" s="43" t="n"/>
      <c r="U32" s="43" t="n"/>
      <c r="V32" s="46" t="n"/>
      <c r="W32" s="43" t="n"/>
      <c r="X32" s="43" t="n"/>
      <c r="Y32" s="43" t="n"/>
      <c r="Z32" s="43" t="n"/>
      <c r="AA32" s="49" t="n"/>
      <c r="AB32" s="1" t="n"/>
    </row>
    <row r="33" ht="18" customHeight="1" s="51">
      <c r="B33" s="42" t="n"/>
      <c r="C33" s="47" t="n"/>
      <c r="D33" s="47" t="n"/>
      <c r="E33" s="47" t="n"/>
      <c r="F33" s="44" t="n"/>
      <c r="G33" s="45" t="n"/>
      <c r="H33" s="43" t="n"/>
      <c r="I33" s="43" t="n"/>
      <c r="J33" s="46" t="n"/>
      <c r="K33" s="46" t="n"/>
      <c r="L33" s="46" t="n"/>
      <c r="M33" s="46" t="n"/>
      <c r="N33" s="47" t="n"/>
      <c r="O33" s="42" t="n"/>
      <c r="P33" s="47" t="n"/>
      <c r="Q33" s="47" t="n"/>
      <c r="R33" s="52" t="n"/>
      <c r="S33" s="46" t="n"/>
      <c r="T33" s="43" t="n"/>
      <c r="U33" s="43" t="n"/>
      <c r="V33" s="46" t="n"/>
      <c r="W33" s="43" t="n"/>
      <c r="X33" s="43" t="n"/>
      <c r="Y33" s="43" t="n"/>
      <c r="Z33" s="43" t="n"/>
      <c r="AA33" s="49" t="n"/>
      <c r="AB33" s="1" t="n"/>
    </row>
    <row r="34" ht="18" customHeight="1" s="51">
      <c r="B34" s="42" t="n"/>
      <c r="C34" s="47" t="n"/>
      <c r="D34" s="47" t="n"/>
      <c r="E34" s="47" t="n"/>
      <c r="F34" s="44" t="n"/>
      <c r="G34" s="45" t="n"/>
      <c r="H34" s="43" t="n"/>
      <c r="I34" s="43" t="n"/>
      <c r="J34" s="46" t="n"/>
      <c r="K34" s="46" t="n"/>
      <c r="L34" s="46" t="n"/>
      <c r="M34" s="46" t="n"/>
      <c r="N34" s="47" t="n"/>
      <c r="O34" s="42" t="n"/>
      <c r="P34" s="47" t="n"/>
      <c r="Q34" s="47" t="n"/>
      <c r="R34" s="52" t="n"/>
      <c r="S34" s="46" t="n"/>
      <c r="T34" s="43" t="n"/>
      <c r="U34" s="43" t="n"/>
      <c r="V34" s="46" t="n"/>
      <c r="W34" s="43" t="n"/>
      <c r="X34" s="43" t="n"/>
      <c r="Y34" s="43" t="n"/>
      <c r="Z34" s="43" t="n"/>
      <c r="AA34" s="49" t="n"/>
      <c r="AB34" s="1" t="n"/>
    </row>
    <row r="35" ht="18" customHeight="1" s="51">
      <c r="B35" s="42" t="n"/>
      <c r="C35" s="47" t="n"/>
      <c r="D35" s="47" t="n"/>
      <c r="E35" s="47" t="n"/>
      <c r="F35" s="44" t="n"/>
      <c r="G35" s="45" t="n"/>
      <c r="H35" s="43" t="n"/>
      <c r="I35" s="43" t="n"/>
      <c r="J35" s="46" t="n"/>
      <c r="K35" s="46" t="n"/>
      <c r="L35" s="46" t="n"/>
      <c r="M35" s="46" t="n"/>
      <c r="N35" s="47" t="n"/>
      <c r="O35" s="42" t="n"/>
      <c r="P35" s="47" t="n"/>
      <c r="Q35" s="47" t="n"/>
      <c r="R35" s="52" t="n"/>
      <c r="S35" s="46" t="n"/>
      <c r="T35" s="43" t="n"/>
      <c r="U35" s="43" t="n"/>
      <c r="V35" s="46" t="n"/>
      <c r="W35" s="43" t="n"/>
      <c r="X35" s="43" t="n"/>
      <c r="Y35" s="43" t="n"/>
      <c r="Z35" s="43" t="n"/>
      <c r="AA35" s="49" t="n"/>
      <c r="AB35" s="1" t="n"/>
    </row>
    <row r="36" ht="18" customHeight="1" s="51">
      <c r="B36" s="42" t="n"/>
      <c r="C36" s="43" t="n"/>
      <c r="D36" s="43" t="n"/>
      <c r="E36" s="45" t="n"/>
      <c r="F36" s="44" t="n"/>
      <c r="G36" s="45" t="n"/>
      <c r="H36" s="43" t="n"/>
      <c r="I36" s="43" t="n"/>
      <c r="J36" s="46" t="n"/>
      <c r="K36" s="46" t="n"/>
      <c r="L36" s="46" t="n"/>
      <c r="M36" s="46" t="n"/>
      <c r="N36" s="47" t="n"/>
      <c r="O36" s="42" t="n"/>
      <c r="P36" s="47" t="n"/>
      <c r="Q36" s="47" t="n"/>
      <c r="R36" s="52" t="n"/>
      <c r="S36" s="46" t="n"/>
      <c r="T36" s="43" t="n"/>
      <c r="U36" s="43" t="n"/>
      <c r="V36" s="46" t="n"/>
      <c r="W36" s="43" t="n"/>
      <c r="X36" s="43" t="n"/>
      <c r="Y36" s="43" t="n"/>
      <c r="Z36" s="43" t="n"/>
      <c r="AA36" s="49" t="n"/>
      <c r="AB36" s="1" t="n"/>
    </row>
    <row r="37" ht="18" customHeight="1" s="51">
      <c r="B37" s="42" t="n"/>
      <c r="C37" s="43" t="n"/>
      <c r="D37" s="43" t="n"/>
      <c r="E37" s="45" t="n"/>
      <c r="F37" s="44" t="n"/>
      <c r="G37" s="45" t="n"/>
      <c r="H37" s="43" t="n"/>
      <c r="I37" s="43" t="n"/>
      <c r="J37" s="46" t="n"/>
      <c r="K37" s="46" t="n"/>
      <c r="L37" s="46" t="n"/>
      <c r="M37" s="46" t="n"/>
      <c r="N37" s="47" t="n"/>
      <c r="O37" s="42" t="n"/>
      <c r="P37" s="47" t="n"/>
      <c r="Q37" s="47" t="n"/>
      <c r="R37" s="52" t="n"/>
      <c r="S37" s="46" t="n"/>
      <c r="T37" s="43" t="n"/>
      <c r="U37" s="43" t="n"/>
      <c r="V37" s="46" t="n"/>
      <c r="W37" s="43" t="n"/>
      <c r="X37" s="43" t="n"/>
      <c r="Y37" s="43" t="n"/>
      <c r="Z37" s="43" t="n"/>
      <c r="AA37" s="49" t="n"/>
      <c r="AB37" s="1" t="n"/>
    </row>
    <row r="38" ht="18" customHeight="1" s="51">
      <c r="B38" s="42" t="n"/>
      <c r="C38" s="43" t="n"/>
      <c r="D38" s="43" t="n"/>
      <c r="E38" s="45" t="n"/>
      <c r="F38" s="8" t="n"/>
      <c r="G38" s="45" t="n"/>
      <c r="H38" s="43" t="n"/>
      <c r="I38" s="43" t="n"/>
      <c r="J38" s="46" t="n"/>
      <c r="K38" s="46" t="n"/>
      <c r="L38" s="46" t="n"/>
      <c r="M38" s="46" t="n"/>
      <c r="N38" s="47" t="n"/>
      <c r="O38" s="42" t="n"/>
      <c r="P38" s="47" t="n"/>
      <c r="Q38" s="47" t="n"/>
      <c r="R38" s="52" t="n"/>
      <c r="S38" s="46" t="n"/>
      <c r="T38" s="43" t="n"/>
      <c r="U38" s="43" t="n"/>
      <c r="V38" s="46" t="n"/>
      <c r="W38" s="43" t="n"/>
      <c r="X38" s="43" t="n"/>
      <c r="Y38" s="43" t="n"/>
      <c r="Z38" s="43" t="n"/>
      <c r="AA38" s="49" t="n"/>
      <c r="AB38" s="1" t="n"/>
    </row>
    <row r="39" ht="18" customHeight="1" s="51">
      <c r="B39" s="42" t="n"/>
      <c r="C39" s="43" t="n"/>
      <c r="D39" s="43" t="n"/>
      <c r="E39" s="45" t="n"/>
      <c r="F39" s="44" t="n"/>
      <c r="G39" s="45" t="n"/>
      <c r="H39" s="43" t="n"/>
      <c r="I39" s="43" t="n"/>
      <c r="J39" s="46" t="n"/>
      <c r="K39" s="46" t="n"/>
      <c r="L39" s="46" t="n"/>
      <c r="M39" s="46" t="n"/>
      <c r="N39" s="47" t="n"/>
      <c r="O39" s="42" t="n"/>
      <c r="P39" s="47" t="n"/>
      <c r="Q39" s="47" t="n"/>
      <c r="R39" s="52" t="n"/>
      <c r="S39" s="46" t="n"/>
      <c r="T39" s="43" t="n"/>
      <c r="U39" s="43" t="n"/>
      <c r="V39" s="46" t="n"/>
      <c r="W39" s="43" t="n"/>
      <c r="X39" s="43" t="n"/>
      <c r="Y39" s="43" t="n"/>
      <c r="Z39" s="43" t="n"/>
      <c r="AA39" s="49" t="n"/>
      <c r="AB39" s="1" t="n"/>
    </row>
    <row r="40" ht="18" customHeight="1" s="51">
      <c r="B40" s="42" t="n"/>
      <c r="C40" s="43" t="n"/>
      <c r="D40" s="43" t="n"/>
      <c r="E40" s="45" t="n"/>
      <c r="F40" s="44" t="n"/>
      <c r="G40" s="45" t="n"/>
      <c r="H40" s="43" t="n"/>
      <c r="I40" s="43" t="n"/>
      <c r="J40" s="46" t="n"/>
      <c r="K40" s="46" t="n"/>
      <c r="L40" s="46" t="n"/>
      <c r="M40" s="46" t="n"/>
      <c r="N40" s="47" t="n"/>
      <c r="O40" s="42" t="n"/>
      <c r="P40" s="47" t="n"/>
      <c r="Q40" s="47" t="n"/>
      <c r="R40" s="52" t="n"/>
      <c r="S40" s="46" t="n"/>
      <c r="T40" s="43" t="n"/>
      <c r="U40" s="43" t="n"/>
      <c r="V40" s="46" t="n"/>
      <c r="W40" s="43" t="n"/>
      <c r="X40" s="43" t="n"/>
      <c r="Y40" s="43" t="n"/>
      <c r="Z40" s="43" t="n"/>
      <c r="AA40" s="49" t="n"/>
      <c r="AB40" s="1" t="n"/>
    </row>
    <row r="41" ht="18.75" customHeight="1" s="51" thickBot="1">
      <c r="B41" s="42" t="n"/>
      <c r="C41" s="43" t="n"/>
      <c r="D41" s="43" t="n"/>
      <c r="E41" s="45" t="n"/>
      <c r="F41" s="44" t="n"/>
      <c r="G41" s="45" t="n"/>
      <c r="H41" s="43" t="n"/>
      <c r="I41" s="43" t="n"/>
      <c r="J41" s="46" t="n"/>
      <c r="K41" s="46" t="n"/>
      <c r="L41" s="46" t="n"/>
      <c r="M41" s="46" t="n"/>
      <c r="N41" s="34" t="n"/>
      <c r="O41" s="42" t="n"/>
      <c r="P41" s="47" t="n"/>
      <c r="Q41" s="47" t="n"/>
      <c r="R41" s="36" t="n"/>
      <c r="S41" s="46" t="n"/>
      <c r="T41" s="43" t="n"/>
      <c r="U41" s="43" t="n"/>
      <c r="V41" s="46" t="n"/>
      <c r="W41" s="43" t="n"/>
      <c r="X41" s="43" t="n"/>
      <c r="Y41" s="43" t="n"/>
      <c r="Z41" s="43" t="n"/>
      <c r="AA41" s="49" t="n"/>
      <c r="AB41" s="1" t="n"/>
    </row>
    <row r="42" ht="54.75" customHeight="1" s="51" thickBot="1">
      <c r="B42" s="29" t="inlineStr">
        <is>
          <t>cierre mes anterior</t>
        </is>
      </c>
      <c r="C42" s="43" t="n"/>
      <c r="D42" s="43" t="n"/>
      <c r="E42" s="43" t="n"/>
      <c r="F42" s="39" t="n"/>
      <c r="G42" s="40" t="n"/>
      <c r="H42" s="52" t="n"/>
      <c r="I42" s="43" t="n"/>
      <c r="J42" s="9" t="n"/>
      <c r="K42" s="9" t="n"/>
      <c r="L42" s="9" t="n"/>
      <c r="M42" s="35" t="n"/>
      <c r="N42" s="9" t="n"/>
      <c r="O42" s="9" t="n"/>
      <c r="P42" s="9" t="n"/>
      <c r="Q42" s="9" t="n"/>
      <c r="R42" s="17" t="n"/>
      <c r="S42" s="9" t="n"/>
      <c r="T42" s="9" t="n"/>
      <c r="U42" s="9" t="n"/>
      <c r="V42" s="9" t="n"/>
      <c r="W42" s="9" t="n"/>
      <c r="X42" s="9" t="n"/>
      <c r="Y42" s="9" t="n"/>
      <c r="Z42" s="9" t="n"/>
      <c r="AA42" s="41" t="n"/>
    </row>
    <row r="43" ht="18" customHeight="1" s="51">
      <c r="B43" s="30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7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</row>
    <row r="44" ht="18" customHeight="1" s="51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17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</row>
    <row r="45" ht="18" customHeight="1" s="51">
      <c r="B45" s="9" t="n"/>
      <c r="C45" s="9" t="n"/>
      <c r="D45" s="32" t="n"/>
      <c r="E45" s="9" t="n"/>
      <c r="F45" s="9" t="n"/>
      <c r="G45" s="9" t="n"/>
      <c r="H45" s="9" t="inlineStr">
        <is>
          <t>  </t>
        </is>
      </c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7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</row>
    <row r="46">
      <c r="C46" s="31" t="n"/>
    </row>
    <row r="52" ht="18" customHeight="1" s="51">
      <c r="Z52" s="9" t="inlineStr">
        <is>
          <t>Aprobado:</t>
        </is>
      </c>
    </row>
    <row r="53" ht="18" customHeight="1" s="51">
      <c r="Z53" s="9" t="inlineStr">
        <is>
          <t>Ms.C. Jorge Luis García Santana</t>
        </is>
      </c>
      <c r="AA53" s="9" t="n"/>
    </row>
    <row r="54" ht="18" customHeight="1" s="51">
      <c r="Z54" s="9" t="inlineStr">
        <is>
          <t>Director General</t>
        </is>
      </c>
      <c r="AA54" s="9" t="n"/>
    </row>
    <row r="55" ht="18" customHeight="1" s="51">
      <c r="Z55" s="9" t="inlineStr">
        <is>
          <t>Universidad Camaguey</t>
        </is>
      </c>
      <c r="AA55" s="9" t="n"/>
    </row>
  </sheetData>
  <mergeCells count="10">
    <mergeCell ref="X8:AA8"/>
    <mergeCell ref="C5:E5"/>
    <mergeCell ref="J8:M8"/>
    <mergeCell ref="C8:I8"/>
    <mergeCell ref="Q8:Q9"/>
    <mergeCell ref="AB8:AB9"/>
    <mergeCell ref="B8:B9"/>
    <mergeCell ref="N8:P8"/>
    <mergeCell ref="R8:T8"/>
    <mergeCell ref="U8:W8"/>
  </mergeCells>
  <printOptions horizontalCentered="1"/>
  <pageMargins left="0.25" right="0.25" top="0.75" bottom="0.75" header="0.3" footer="0.3"/>
  <pageSetup orientation="landscape" paperSize="9" scale="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Mayra Vives Cruz</dc:creator>
  <dcterms:created xsi:type="dcterms:W3CDTF">2019-08-08T19:02:32Z</dcterms:created>
  <dcterms:modified xsi:type="dcterms:W3CDTF">2025-06-15T03:09:45Z</dcterms:modified>
  <cp:lastModifiedBy>ana</cp:lastModifiedBy>
  <cp:lastPrinted>2025-02-10T02:39:49Z</cp:lastPrinted>
</cp:coreProperties>
</file>