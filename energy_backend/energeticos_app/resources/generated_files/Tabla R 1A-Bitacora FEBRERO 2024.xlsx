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JORGE LUIS\Para Jorge de Pedrito\ELECTRICIDAD CONSUMIDA UNIVERSIDAD\AÑO 2024\TOTAL RELOJES 2024\02 FEBRERO 2024\"/>
    </mc:Choice>
  </mc:AlternateContent>
  <bookViews>
    <workbookView xWindow="-120" yWindow="-120" windowWidth="20730" windowHeight="11160" tabRatio="778" activeTab="6"/>
  </bookViews>
  <sheets>
    <sheet name="Cocina C" sheetId="24" r:id="rId1"/>
    <sheet name="Ciencia A" sheetId="20" r:id="rId2"/>
    <sheet name="Preparatoria" sheetId="21" r:id="rId3"/>
    <sheet name="Sede Martí" sheetId="25" r:id="rId4"/>
    <sheet name="A.Cultural" sheetId="22" r:id="rId5"/>
    <sheet name="Laboratorios Tec." sheetId="23" r:id="rId6"/>
    <sheet name="Sede Fajardo" sheetId="26" r:id="rId7"/>
  </sheets>
  <definedNames>
    <definedName name="_xlnm.Print_Area" localSheetId="4">A.Cultural!$A$1:$AB$51</definedName>
    <definedName name="_xlnm.Print_Area" localSheetId="1">'Ciencia A'!$A$1:$AB$52</definedName>
    <definedName name="_xlnm.Print_Area" localSheetId="0">'Cocina C'!$A$1:$AB$51</definedName>
    <definedName name="_xlnm.Print_Area" localSheetId="5">'Laboratorios Tec.'!$A$1:$AB$54</definedName>
    <definedName name="_xlnm.Print_Area" localSheetId="2">Preparatoria!$A$1:$AB$54</definedName>
    <definedName name="_xlnm.Print_Area" localSheetId="6">'Sede Fajardo'!$A$1:$AB$55</definedName>
    <definedName name="_xlnm.Print_Area" localSheetId="3">'Sede Martí'!$A$1:$AB$51</definedName>
  </definedNames>
  <calcPr calcId="162913"/>
</workbook>
</file>

<file path=xl/calcChain.xml><?xml version="1.0" encoding="utf-8"?>
<calcChain xmlns="http://schemas.openxmlformats.org/spreadsheetml/2006/main">
  <c r="I14" i="23" l="1"/>
  <c r="E14" i="23"/>
  <c r="D14" i="23"/>
  <c r="C14" i="23"/>
  <c r="C14" i="25"/>
  <c r="I14" i="21"/>
  <c r="E14" i="21"/>
  <c r="D14" i="21"/>
  <c r="C14" i="21"/>
  <c r="E14" i="20"/>
  <c r="D14" i="20"/>
  <c r="E14" i="22" l="1"/>
  <c r="D14" i="22"/>
  <c r="C14" i="22"/>
  <c r="I14" i="24"/>
  <c r="E14" i="24"/>
  <c r="D14" i="24"/>
  <c r="C14" i="24"/>
  <c r="I15" i="23" l="1"/>
  <c r="E15" i="23"/>
  <c r="D15" i="23"/>
  <c r="C17" i="23"/>
  <c r="C15" i="23"/>
  <c r="I15" i="25"/>
  <c r="E15" i="25"/>
  <c r="C15" i="25"/>
  <c r="I15" i="21"/>
  <c r="E15" i="21"/>
  <c r="D15" i="21"/>
  <c r="C15" i="21"/>
  <c r="I15" i="20"/>
  <c r="E15" i="20"/>
  <c r="D15" i="20"/>
  <c r="C15" i="20"/>
  <c r="E18" i="22"/>
  <c r="D17" i="24"/>
  <c r="C18" i="24"/>
  <c r="C17" i="24"/>
  <c r="E18" i="24"/>
  <c r="E19" i="24"/>
  <c r="E17" i="24"/>
  <c r="E17" i="23"/>
  <c r="D17" i="23"/>
  <c r="I17" i="23"/>
  <c r="D18" i="22"/>
  <c r="D17" i="22" s="1"/>
  <c r="I17" i="22"/>
  <c r="E17" i="22"/>
  <c r="C17" i="22"/>
  <c r="I17" i="25"/>
  <c r="E17" i="25"/>
  <c r="C17" i="25"/>
  <c r="E18" i="20"/>
  <c r="E19" i="20"/>
  <c r="E17" i="20"/>
  <c r="C17" i="20"/>
  <c r="D17" i="20"/>
  <c r="I18" i="24"/>
  <c r="I17" i="24"/>
  <c r="D18" i="24"/>
  <c r="I19" i="24"/>
  <c r="I19" i="23" l="1"/>
  <c r="I18" i="23"/>
  <c r="E19" i="23"/>
  <c r="D18" i="23"/>
  <c r="D19" i="23"/>
  <c r="C19" i="23"/>
  <c r="I18" i="22"/>
  <c r="I19" i="22"/>
  <c r="E19" i="22"/>
  <c r="D19" i="22"/>
  <c r="C18" i="22"/>
  <c r="C19" i="22"/>
  <c r="I18" i="25"/>
  <c r="I19" i="25"/>
  <c r="E18" i="25"/>
  <c r="E19" i="25"/>
  <c r="D18" i="25"/>
  <c r="D19" i="25"/>
  <c r="C18" i="25" l="1"/>
  <c r="C19" i="25"/>
  <c r="I18" i="21"/>
  <c r="I19" i="21"/>
  <c r="E19" i="21"/>
  <c r="E18" i="21"/>
  <c r="D19" i="21"/>
  <c r="D18" i="21" s="1"/>
  <c r="C18" i="21"/>
  <c r="C19" i="21"/>
  <c r="I18" i="20"/>
  <c r="I19" i="20"/>
  <c r="D18" i="20"/>
  <c r="D19" i="20"/>
  <c r="C18" i="20"/>
  <c r="C19" i="20"/>
  <c r="D19" i="24"/>
  <c r="C19" i="24"/>
  <c r="I18" i="26"/>
  <c r="I19" i="26"/>
  <c r="E18" i="26"/>
  <c r="E19" i="26"/>
  <c r="D18" i="26"/>
  <c r="D19" i="26"/>
  <c r="C18" i="26"/>
  <c r="C19" i="26"/>
  <c r="F23" i="22" l="1"/>
  <c r="F23" i="24"/>
  <c r="I26" i="26"/>
  <c r="I25" i="26" s="1"/>
  <c r="E26" i="26"/>
  <c r="E25" i="26" s="1"/>
  <c r="D26" i="26"/>
  <c r="D25" i="26"/>
  <c r="C26" i="26"/>
  <c r="C25" i="26" s="1"/>
  <c r="I27" i="23"/>
  <c r="I26" i="23" s="1"/>
  <c r="I25" i="23" s="1"/>
  <c r="E27" i="23"/>
  <c r="E26" i="23"/>
  <c r="E25" i="23" s="1"/>
  <c r="D27" i="23"/>
  <c r="D26" i="23" s="1"/>
  <c r="D25" i="23" s="1"/>
  <c r="C27" i="23"/>
  <c r="C26" i="23" s="1"/>
  <c r="C25" i="23" s="1"/>
  <c r="I27" i="22"/>
  <c r="I26" i="22"/>
  <c r="I25" i="22" s="1"/>
  <c r="E27" i="22"/>
  <c r="E26" i="22" s="1"/>
  <c r="E25" i="22" s="1"/>
  <c r="D27" i="22"/>
  <c r="D26" i="22" s="1"/>
  <c r="D25" i="22" s="1"/>
  <c r="C27" i="22"/>
  <c r="C26" i="22" s="1"/>
  <c r="C25" i="22" s="1"/>
  <c r="D29" i="25"/>
  <c r="D28" i="25" s="1"/>
  <c r="D27" i="25" s="1"/>
  <c r="D26" i="25" s="1"/>
  <c r="D25" i="25" s="1"/>
  <c r="E27" i="25"/>
  <c r="E26" i="25"/>
  <c r="I27" i="25"/>
  <c r="I26" i="25" s="1"/>
  <c r="I25" i="25" s="1"/>
  <c r="E25" i="25"/>
  <c r="C27" i="25"/>
  <c r="C26" i="25" s="1"/>
  <c r="C25" i="25" s="1"/>
  <c r="I30" i="21"/>
  <c r="I29" i="21" s="1"/>
  <c r="I28" i="21" s="1"/>
  <c r="I27" i="21" s="1"/>
  <c r="I26" i="21" s="1"/>
  <c r="I25" i="21" s="1"/>
  <c r="E36" i="21"/>
  <c r="E35" i="21" s="1"/>
  <c r="E34" i="21" s="1"/>
  <c r="E33" i="21" s="1"/>
  <c r="E32" i="21" s="1"/>
  <c r="E31" i="21" s="1"/>
  <c r="E30" i="21" s="1"/>
  <c r="E29" i="21" s="1"/>
  <c r="E28" i="21" s="1"/>
  <c r="E27" i="21" s="1"/>
  <c r="E26" i="21" s="1"/>
  <c r="E25" i="21" s="1"/>
  <c r="D27" i="21"/>
  <c r="D26" i="21" s="1"/>
  <c r="D25" i="21" s="1"/>
  <c r="C27" i="21"/>
  <c r="C26" i="21" s="1"/>
  <c r="C25" i="21" s="1"/>
  <c r="I27" i="20"/>
  <c r="I26" i="20" s="1"/>
  <c r="I25" i="20" s="1"/>
  <c r="E27" i="20"/>
  <c r="E26" i="20"/>
  <c r="E25" i="20" s="1"/>
  <c r="D27" i="20"/>
  <c r="D26" i="20" s="1"/>
  <c r="D25" i="20" s="1"/>
  <c r="C27" i="20"/>
  <c r="C26" i="20" s="1"/>
  <c r="C25" i="20" s="1"/>
  <c r="I27" i="24"/>
  <c r="I26" i="24" s="1"/>
  <c r="I25" i="24" s="1"/>
  <c r="E27" i="24"/>
  <c r="E26" i="24" s="1"/>
  <c r="E25" i="24" s="1"/>
  <c r="D27" i="24"/>
  <c r="D26" i="24" s="1"/>
  <c r="D25" i="24" s="1"/>
  <c r="C27" i="24"/>
  <c r="C26" i="24" s="1"/>
  <c r="C25" i="24" s="1"/>
  <c r="E29" i="23" l="1"/>
  <c r="D29" i="23"/>
  <c r="C29" i="23"/>
  <c r="E29" i="22"/>
  <c r="D29" i="22"/>
  <c r="D33" i="25" l="1"/>
  <c r="D32" i="25" s="1"/>
  <c r="I34" i="21"/>
  <c r="I33" i="21" s="1"/>
  <c r="I32" i="21" s="1"/>
  <c r="I33" i="26"/>
  <c r="I32" i="26" s="1"/>
  <c r="E33" i="26"/>
  <c r="E32" i="26" s="1"/>
  <c r="D33" i="26"/>
  <c r="D32" i="26" s="1"/>
  <c r="C33" i="26"/>
  <c r="C32" i="26" s="1"/>
  <c r="I33" i="23"/>
  <c r="I32" i="23" s="1"/>
  <c r="E33" i="23"/>
  <c r="E32" i="23" s="1"/>
  <c r="D33" i="23"/>
  <c r="D32" i="23" s="1"/>
  <c r="C33" i="23"/>
  <c r="C32" i="23" s="1"/>
  <c r="I33" i="22"/>
  <c r="I32" i="22" s="1"/>
  <c r="E33" i="22"/>
  <c r="E32" i="22"/>
  <c r="D33" i="22"/>
  <c r="D32" i="22" s="1"/>
  <c r="C33" i="22"/>
  <c r="C32" i="22" s="1"/>
  <c r="I33" i="25"/>
  <c r="I32" i="25" s="1"/>
  <c r="E33" i="25"/>
  <c r="E32" i="25" s="1"/>
  <c r="C33" i="25"/>
  <c r="C32" i="25" s="1"/>
  <c r="D33" i="21"/>
  <c r="D32" i="21" s="1"/>
  <c r="C33" i="21"/>
  <c r="C32" i="21" s="1"/>
  <c r="I33" i="20"/>
  <c r="I32" i="20" s="1"/>
  <c r="E33" i="20"/>
  <c r="E32" i="20" s="1"/>
  <c r="D33" i="20"/>
  <c r="D32" i="20"/>
  <c r="C33" i="20"/>
  <c r="C32" i="20" s="1"/>
  <c r="I33" i="24"/>
  <c r="I32" i="24" s="1"/>
  <c r="E33" i="24"/>
  <c r="E32" i="24" s="1"/>
  <c r="D33" i="24"/>
  <c r="D32" i="24" s="1"/>
  <c r="C33" i="24"/>
  <c r="C32" i="24" s="1"/>
  <c r="E36" i="20" l="1"/>
  <c r="I40" i="26" l="1"/>
  <c r="I39" i="26" s="1"/>
  <c r="E40" i="26"/>
  <c r="E39" i="26"/>
  <c r="D40" i="26"/>
  <c r="D39" i="26" s="1"/>
  <c r="C40" i="26"/>
  <c r="C39" i="26" s="1"/>
  <c r="I41" i="23"/>
  <c r="I40" i="23" s="1"/>
  <c r="I39" i="23" s="1"/>
  <c r="I38" i="23" s="1"/>
  <c r="E41" i="23"/>
  <c r="E40" i="23" s="1"/>
  <c r="E39" i="23" s="1"/>
  <c r="E38" i="23" s="1"/>
  <c r="D41" i="23"/>
  <c r="D40" i="23"/>
  <c r="D39" i="23" s="1"/>
  <c r="D38" i="23" s="1"/>
  <c r="C41" i="23"/>
  <c r="C40" i="23"/>
  <c r="C39" i="23" s="1"/>
  <c r="I41" i="22"/>
  <c r="I40" i="22" s="1"/>
  <c r="I39" i="22" s="1"/>
  <c r="I38" i="22" s="1"/>
  <c r="E41" i="22"/>
  <c r="E40" i="22" s="1"/>
  <c r="E39" i="22" s="1"/>
  <c r="E38" i="22" s="1"/>
  <c r="D41" i="22"/>
  <c r="D40" i="22" s="1"/>
  <c r="D39" i="22" s="1"/>
  <c r="D38" i="22" s="1"/>
  <c r="C41" i="22"/>
  <c r="C40" i="22" s="1"/>
  <c r="C39" i="22" s="1"/>
  <c r="C38" i="22" s="1"/>
  <c r="I41" i="25"/>
  <c r="I40" i="25" s="1"/>
  <c r="I39" i="25" s="1"/>
  <c r="I38" i="25" s="1"/>
  <c r="E41" i="25"/>
  <c r="E40" i="25"/>
  <c r="D41" i="25"/>
  <c r="D40" i="25" s="1"/>
  <c r="D39" i="25" s="1"/>
  <c r="D38" i="25" s="1"/>
  <c r="C41" i="25"/>
  <c r="C40" i="25" s="1"/>
  <c r="C39" i="25" s="1"/>
  <c r="C38" i="25" s="1"/>
  <c r="I41" i="21"/>
  <c r="I40" i="21" s="1"/>
  <c r="I39" i="21" s="1"/>
  <c r="I38" i="21" s="1"/>
  <c r="E41" i="21"/>
  <c r="E40" i="21" s="1"/>
  <c r="E39" i="21" s="1"/>
  <c r="E38" i="21" s="1"/>
  <c r="D41" i="21"/>
  <c r="D40" i="21"/>
  <c r="D39" i="21" s="1"/>
  <c r="D38" i="21" s="1"/>
  <c r="C41" i="21"/>
  <c r="C40" i="21" s="1"/>
  <c r="C39" i="21" s="1"/>
  <c r="C38" i="21" s="1"/>
  <c r="I41" i="20"/>
  <c r="I40" i="20" s="1"/>
  <c r="I39" i="20" s="1"/>
  <c r="I38" i="20" s="1"/>
  <c r="E41" i="20"/>
  <c r="E40" i="20"/>
  <c r="E39" i="20" s="1"/>
  <c r="E38" i="20" s="1"/>
  <c r="D41" i="20"/>
  <c r="D40" i="20" s="1"/>
  <c r="D39" i="20" s="1"/>
  <c r="D38" i="20" s="1"/>
  <c r="C41" i="20"/>
  <c r="C40" i="20" s="1"/>
  <c r="C39" i="20" s="1"/>
  <c r="C38" i="20" s="1"/>
  <c r="I40" i="24"/>
  <c r="I39" i="24" s="1"/>
  <c r="I38" i="24" s="1"/>
  <c r="E40" i="24"/>
  <c r="E39" i="24" s="1"/>
  <c r="E38" i="24" s="1"/>
  <c r="D40" i="24"/>
  <c r="D39" i="24" s="1"/>
  <c r="D38" i="24" s="1"/>
  <c r="C40" i="24"/>
  <c r="C39" i="24" s="1"/>
  <c r="C38" i="24" s="1"/>
  <c r="C38" i="23" l="1"/>
  <c r="E39" i="25"/>
  <c r="E38" i="25" s="1"/>
  <c r="R41" i="26"/>
  <c r="R41" i="23"/>
  <c r="R41" i="22"/>
  <c r="R41" i="25"/>
  <c r="R41" i="21"/>
  <c r="R41" i="20"/>
  <c r="R41" i="24"/>
  <c r="F26" i="24" l="1"/>
  <c r="F38" i="26" l="1"/>
  <c r="M38" i="22"/>
  <c r="F35" i="22" l="1"/>
  <c r="V6" i="20" l="1"/>
  <c r="V6" i="24"/>
  <c r="F16" i="25" l="1"/>
  <c r="J19" i="21" l="1"/>
  <c r="F18" i="22"/>
  <c r="F20" i="22" l="1"/>
  <c r="F19" i="22"/>
  <c r="K31" i="23"/>
  <c r="K32" i="23"/>
  <c r="K33" i="23"/>
  <c r="K34" i="23"/>
  <c r="K35" i="23"/>
  <c r="K36" i="23"/>
  <c r="K37" i="23"/>
  <c r="K38" i="23"/>
  <c r="K39" i="23"/>
  <c r="K40" i="23"/>
  <c r="K41" i="23"/>
  <c r="F22" i="26" l="1"/>
  <c r="J14" i="26" l="1"/>
  <c r="F24" i="23" l="1"/>
  <c r="V6" i="26" l="1"/>
  <c r="V6" i="23"/>
  <c r="V6" i="25"/>
  <c r="V6" i="22"/>
  <c r="V6" i="21"/>
  <c r="F37" i="24" l="1"/>
  <c r="F39" i="24"/>
  <c r="F40" i="24"/>
  <c r="F41" i="24"/>
  <c r="F38" i="24" l="1"/>
  <c r="F17" i="22" l="1"/>
  <c r="F27" i="20" l="1"/>
  <c r="M15" i="20" l="1"/>
  <c r="F13" i="20"/>
  <c r="F35" i="24" l="1"/>
  <c r="J16" i="25" l="1"/>
  <c r="K16" i="25"/>
  <c r="L16" i="25"/>
  <c r="O16" i="25" s="1"/>
  <c r="M16" i="25"/>
  <c r="J17" i="25"/>
  <c r="K17" i="25"/>
  <c r="L17" i="25"/>
  <c r="O17" i="25" s="1"/>
  <c r="M17" i="25"/>
  <c r="J18" i="25"/>
  <c r="K18" i="25"/>
  <c r="L18" i="25"/>
  <c r="O18" i="25" s="1"/>
  <c r="M18" i="25"/>
  <c r="J19" i="25"/>
  <c r="K19" i="25"/>
  <c r="L19" i="25"/>
  <c r="O19" i="25" s="1"/>
  <c r="M19" i="25"/>
  <c r="S17" i="25" l="1"/>
  <c r="S18" i="25"/>
  <c r="AA18" i="25" s="1"/>
  <c r="S19" i="25"/>
  <c r="AA19" i="25" s="1"/>
  <c r="S16" i="25"/>
  <c r="AA16" i="25" l="1"/>
  <c r="G16" i="25"/>
  <c r="AA17" i="25"/>
  <c r="G17" i="25"/>
  <c r="F17" i="25"/>
  <c r="F13" i="25"/>
  <c r="F14" i="25"/>
  <c r="F15" i="25"/>
  <c r="F19" i="25"/>
  <c r="H17" i="25" l="1"/>
  <c r="H16" i="25"/>
  <c r="F18" i="25"/>
  <c r="Q17" i="25" l="1"/>
  <c r="G41" i="26"/>
  <c r="F40" i="22" l="1"/>
  <c r="K37" i="22" l="1"/>
  <c r="K38" i="22"/>
  <c r="K39" i="22"/>
  <c r="L24" i="22" l="1"/>
  <c r="O24" i="22" s="1"/>
  <c r="L25" i="22"/>
  <c r="O25" i="22" s="1"/>
  <c r="L26" i="22"/>
  <c r="O26" i="22" s="1"/>
  <c r="K24" i="22"/>
  <c r="K25" i="22"/>
  <c r="K26" i="22"/>
  <c r="J23" i="22"/>
  <c r="J24" i="22"/>
  <c r="J25" i="22"/>
  <c r="J26" i="22"/>
  <c r="S25" i="22" l="1"/>
  <c r="G25" i="22" s="1"/>
  <c r="H25" i="22" s="1"/>
  <c r="S24" i="22"/>
  <c r="G24" i="22" s="1"/>
  <c r="H24" i="22" s="1"/>
  <c r="R40" i="26" l="1"/>
  <c r="R39" i="26" s="1"/>
  <c r="R38" i="26" s="1"/>
  <c r="R37" i="26" s="1"/>
  <c r="R36" i="26" s="1"/>
  <c r="R35" i="26" s="1"/>
  <c r="R34" i="26" s="1"/>
  <c r="R33" i="26" s="1"/>
  <c r="R32" i="26" s="1"/>
  <c r="R31" i="26" s="1"/>
  <c r="R30" i="26" s="1"/>
  <c r="R29" i="26" s="1"/>
  <c r="R28" i="26" s="1"/>
  <c r="R27" i="26" s="1"/>
  <c r="R26" i="26" s="1"/>
  <c r="R25" i="26" s="1"/>
  <c r="R24" i="26" s="1"/>
  <c r="R23" i="26" s="1"/>
  <c r="R22" i="26" s="1"/>
  <c r="R21" i="26" s="1"/>
  <c r="R20" i="26" s="1"/>
  <c r="R19" i="26" s="1"/>
  <c r="R18" i="26" s="1"/>
  <c r="R17" i="26" s="1"/>
  <c r="R16" i="26" s="1"/>
  <c r="R15" i="26" s="1"/>
  <c r="R14" i="26" s="1"/>
  <c r="R13" i="26" s="1"/>
  <c r="Q6" i="21" l="1"/>
  <c r="R40" i="23" l="1"/>
  <c r="R39" i="23" s="1"/>
  <c r="R38" i="23" s="1"/>
  <c r="R37" i="23" s="1"/>
  <c r="R36" i="23" s="1"/>
  <c r="R35" i="23" s="1"/>
  <c r="R34" i="23" s="1"/>
  <c r="R33" i="23" s="1"/>
  <c r="R32" i="23" s="1"/>
  <c r="R31" i="23" s="1"/>
  <c r="R30" i="23" s="1"/>
  <c r="R29" i="23" s="1"/>
  <c r="R28" i="23" s="1"/>
  <c r="R27" i="23" s="1"/>
  <c r="R26" i="23" s="1"/>
  <c r="R25" i="23" s="1"/>
  <c r="R24" i="23" s="1"/>
  <c r="R23" i="23" s="1"/>
  <c r="R22" i="23" s="1"/>
  <c r="R21" i="23" s="1"/>
  <c r="R20" i="23" s="1"/>
  <c r="R19" i="23" s="1"/>
  <c r="R18" i="23" s="1"/>
  <c r="R17" i="23" s="1"/>
  <c r="R16" i="23" s="1"/>
  <c r="R15" i="23" s="1"/>
  <c r="R14" i="23" s="1"/>
  <c r="R13" i="23" s="1"/>
  <c r="R40" i="20" l="1"/>
  <c r="R39" i="20" s="1"/>
  <c r="R38" i="20" s="1"/>
  <c r="R37" i="20" s="1"/>
  <c r="R36" i="20" s="1"/>
  <c r="R35" i="20" s="1"/>
  <c r="R34" i="20" s="1"/>
  <c r="R33" i="20" s="1"/>
  <c r="R32" i="20" s="1"/>
  <c r="R31" i="20" s="1"/>
  <c r="R30" i="20" s="1"/>
  <c r="R29" i="20" s="1"/>
  <c r="R28" i="20" s="1"/>
  <c r="R27" i="20" s="1"/>
  <c r="R26" i="20" s="1"/>
  <c r="R25" i="20" s="1"/>
  <c r="R24" i="20" s="1"/>
  <c r="R23" i="20" s="1"/>
  <c r="R22" i="20" s="1"/>
  <c r="R21" i="20" s="1"/>
  <c r="R20" i="20" s="1"/>
  <c r="R19" i="20" s="1"/>
  <c r="R18" i="20" s="1"/>
  <c r="R17" i="20" s="1"/>
  <c r="R16" i="20" s="1"/>
  <c r="R15" i="20" s="1"/>
  <c r="R14" i="20" s="1"/>
  <c r="R13" i="20" s="1"/>
  <c r="N4" i="20"/>
  <c r="F24" i="21" l="1"/>
  <c r="F24" i="22" l="1"/>
  <c r="F25" i="22"/>
  <c r="F26" i="22"/>
  <c r="F27" i="22"/>
  <c r="F14" i="26" l="1"/>
  <c r="Q6" i="22" l="1"/>
  <c r="J21" i="22" l="1"/>
  <c r="F27" i="23" l="1"/>
  <c r="F33" i="25" l="1"/>
  <c r="J31" i="22" l="1"/>
  <c r="X41" i="26" l="1"/>
  <c r="F28" i="26" l="1"/>
  <c r="F13" i="21" l="1"/>
  <c r="F14" i="21"/>
  <c r="F15" i="21"/>
  <c r="F16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L35" i="24" l="1"/>
  <c r="F28" i="23" l="1"/>
  <c r="R40" i="25" l="1"/>
  <c r="R39" i="25" s="1"/>
  <c r="R38" i="25" s="1"/>
  <c r="R37" i="25" s="1"/>
  <c r="R36" i="25" s="1"/>
  <c r="R35" i="25" s="1"/>
  <c r="R34" i="25" s="1"/>
  <c r="R33" i="25" s="1"/>
  <c r="R32" i="25" s="1"/>
  <c r="R31" i="25" s="1"/>
  <c r="R30" i="25" s="1"/>
  <c r="R29" i="25" s="1"/>
  <c r="R28" i="25" s="1"/>
  <c r="R27" i="25" s="1"/>
  <c r="R26" i="25" s="1"/>
  <c r="R25" i="25" s="1"/>
  <c r="R24" i="25" s="1"/>
  <c r="R23" i="25" s="1"/>
  <c r="R22" i="25" s="1"/>
  <c r="R21" i="25" s="1"/>
  <c r="R20" i="25" s="1"/>
  <c r="R40" i="24"/>
  <c r="R39" i="24" s="1"/>
  <c r="R38" i="24" s="1"/>
  <c r="R37" i="24" s="1"/>
  <c r="R36" i="24" s="1"/>
  <c r="R35" i="24" s="1"/>
  <c r="R34" i="24" s="1"/>
  <c r="R33" i="24" s="1"/>
  <c r="R32" i="24" s="1"/>
  <c r="R31" i="24" s="1"/>
  <c r="R30" i="24" s="1"/>
  <c r="R29" i="24" s="1"/>
  <c r="R28" i="24" s="1"/>
  <c r="R27" i="24" s="1"/>
  <c r="R26" i="24" s="1"/>
  <c r="R25" i="24" s="1"/>
  <c r="R24" i="24" s="1"/>
  <c r="R23" i="24" s="1"/>
  <c r="R22" i="24" s="1"/>
  <c r="R21" i="24" s="1"/>
  <c r="R20" i="24" s="1"/>
  <c r="R19" i="24" s="1"/>
  <c r="R18" i="24" s="1"/>
  <c r="R17" i="24" s="1"/>
  <c r="R16" i="24" s="1"/>
  <c r="R15" i="24" s="1"/>
  <c r="R14" i="24" s="1"/>
  <c r="R13" i="24" s="1"/>
  <c r="R40" i="22"/>
  <c r="R39" i="22" s="1"/>
  <c r="R38" i="22" s="1"/>
  <c r="R37" i="22" s="1"/>
  <c r="R36" i="22" s="1"/>
  <c r="R35" i="22" s="1"/>
  <c r="R34" i="22" s="1"/>
  <c r="R33" i="22" s="1"/>
  <c r="R32" i="22" s="1"/>
  <c r="R31" i="22" s="1"/>
  <c r="R30" i="22" s="1"/>
  <c r="R29" i="22" s="1"/>
  <c r="R28" i="22" s="1"/>
  <c r="R27" i="22" s="1"/>
  <c r="R26" i="22" s="1"/>
  <c r="R40" i="21"/>
  <c r="R39" i="21" s="1"/>
  <c r="R38" i="21" s="1"/>
  <c r="R37" i="21" s="1"/>
  <c r="R36" i="21" s="1"/>
  <c r="R35" i="21" s="1"/>
  <c r="R34" i="21" s="1"/>
  <c r="R33" i="21" s="1"/>
  <c r="R32" i="21" s="1"/>
  <c r="R31" i="21" s="1"/>
  <c r="R30" i="21" s="1"/>
  <c r="R29" i="21" s="1"/>
  <c r="R28" i="21" s="1"/>
  <c r="R27" i="21" s="1"/>
  <c r="R26" i="21" s="1"/>
  <c r="R25" i="21" s="1"/>
  <c r="R24" i="21" s="1"/>
  <c r="R23" i="21" s="1"/>
  <c r="R22" i="21" s="1"/>
  <c r="R21" i="21" s="1"/>
  <c r="R20" i="21" s="1"/>
  <c r="R19" i="21" s="1"/>
  <c r="R18" i="21" s="1"/>
  <c r="R17" i="21" s="1"/>
  <c r="R16" i="21" s="1"/>
  <c r="R15" i="21" s="1"/>
  <c r="R14" i="21" s="1"/>
  <c r="R13" i="21" s="1"/>
  <c r="R19" i="25" l="1"/>
  <c r="R25" i="22"/>
  <c r="L22" i="22"/>
  <c r="F29" i="26"/>
  <c r="R18" i="25" l="1"/>
  <c r="T19" i="25"/>
  <c r="R24" i="22"/>
  <c r="T25" i="22"/>
  <c r="M37" i="20"/>
  <c r="M36" i="20"/>
  <c r="K37" i="20"/>
  <c r="J37" i="20"/>
  <c r="L37" i="20"/>
  <c r="R17" i="25" l="1"/>
  <c r="T18" i="25"/>
  <c r="R23" i="22"/>
  <c r="T24" i="22"/>
  <c r="F17" i="26"/>
  <c r="R16" i="25" l="1"/>
  <c r="T17" i="25"/>
  <c r="R22" i="22"/>
  <c r="R21" i="22" s="1"/>
  <c r="R20" i="22" s="1"/>
  <c r="R19" i="22" s="1"/>
  <c r="R18" i="22" s="1"/>
  <c r="R17" i="22" s="1"/>
  <c r="R16" i="22" s="1"/>
  <c r="R15" i="22" s="1"/>
  <c r="R14" i="22" s="1"/>
  <c r="R13" i="22" s="1"/>
  <c r="O6" i="26"/>
  <c r="N41" i="26" s="1"/>
  <c r="O6" i="25"/>
  <c r="N41" i="25" s="1"/>
  <c r="O6" i="24"/>
  <c r="N41" i="24" s="1"/>
  <c r="U41" i="24" s="1"/>
  <c r="O6" i="23"/>
  <c r="N41" i="23" s="1"/>
  <c r="O6" i="22"/>
  <c r="N41" i="22" s="1"/>
  <c r="O6" i="21"/>
  <c r="N41" i="21" s="1"/>
  <c r="O6" i="20"/>
  <c r="N41" i="20" s="1"/>
  <c r="T16" i="25" l="1"/>
  <c r="R15" i="25"/>
  <c r="R14" i="25" s="1"/>
  <c r="R13" i="25" s="1"/>
  <c r="F33" i="22"/>
  <c r="F22" i="20" l="1"/>
  <c r="F28" i="25" l="1"/>
  <c r="J16" i="20" l="1"/>
  <c r="J16" i="23" l="1"/>
  <c r="J17" i="23"/>
  <c r="M41" i="26" l="1"/>
  <c r="L41" i="26"/>
  <c r="O41" i="26" s="1"/>
  <c r="V41" i="26" s="1"/>
  <c r="K41" i="26"/>
  <c r="H41" i="26" s="1"/>
  <c r="J41" i="26"/>
  <c r="F41" i="26"/>
  <c r="M40" i="26"/>
  <c r="L40" i="26"/>
  <c r="O40" i="26" s="1"/>
  <c r="K40" i="26"/>
  <c r="J40" i="26"/>
  <c r="F40" i="26"/>
  <c r="M39" i="26"/>
  <c r="L39" i="26"/>
  <c r="O39" i="26" s="1"/>
  <c r="K39" i="26"/>
  <c r="J39" i="26"/>
  <c r="F39" i="26"/>
  <c r="M38" i="26"/>
  <c r="L38" i="26"/>
  <c r="O38" i="26" s="1"/>
  <c r="K38" i="26"/>
  <c r="J38" i="26"/>
  <c r="M37" i="26"/>
  <c r="L37" i="26"/>
  <c r="O37" i="26" s="1"/>
  <c r="K37" i="26"/>
  <c r="J37" i="26"/>
  <c r="F37" i="26"/>
  <c r="M36" i="26"/>
  <c r="L36" i="26"/>
  <c r="O36" i="26" s="1"/>
  <c r="K36" i="26"/>
  <c r="J36" i="26"/>
  <c r="F36" i="26"/>
  <c r="M35" i="26"/>
  <c r="L35" i="26"/>
  <c r="O35" i="26" s="1"/>
  <c r="K35" i="26"/>
  <c r="J35" i="26"/>
  <c r="F35" i="26"/>
  <c r="M34" i="26"/>
  <c r="L34" i="26"/>
  <c r="O34" i="26" s="1"/>
  <c r="K34" i="26"/>
  <c r="J34" i="26"/>
  <c r="F34" i="26"/>
  <c r="M33" i="26"/>
  <c r="L33" i="26"/>
  <c r="O33" i="26" s="1"/>
  <c r="K33" i="26"/>
  <c r="J33" i="26"/>
  <c r="F33" i="26"/>
  <c r="M32" i="26"/>
  <c r="L32" i="26"/>
  <c r="O32" i="26" s="1"/>
  <c r="K32" i="26"/>
  <c r="J32" i="26"/>
  <c r="F32" i="26"/>
  <c r="M31" i="26"/>
  <c r="L31" i="26"/>
  <c r="O31" i="26" s="1"/>
  <c r="K31" i="26"/>
  <c r="J31" i="26"/>
  <c r="F31" i="26"/>
  <c r="M30" i="26"/>
  <c r="L30" i="26"/>
  <c r="O30" i="26" s="1"/>
  <c r="K30" i="26"/>
  <c r="J30" i="26"/>
  <c r="F30" i="26"/>
  <c r="M29" i="26"/>
  <c r="L29" i="26"/>
  <c r="O29" i="26" s="1"/>
  <c r="K29" i="26"/>
  <c r="J29" i="26"/>
  <c r="M28" i="26"/>
  <c r="L28" i="26"/>
  <c r="O28" i="26" s="1"/>
  <c r="K28" i="26"/>
  <c r="J28" i="26"/>
  <c r="M27" i="26"/>
  <c r="L27" i="26"/>
  <c r="O27" i="26" s="1"/>
  <c r="K27" i="26"/>
  <c r="J27" i="26"/>
  <c r="F27" i="26"/>
  <c r="M26" i="26"/>
  <c r="L26" i="26"/>
  <c r="O26" i="26" s="1"/>
  <c r="K26" i="26"/>
  <c r="J26" i="26"/>
  <c r="F26" i="26"/>
  <c r="M25" i="26"/>
  <c r="L25" i="26"/>
  <c r="O25" i="26" s="1"/>
  <c r="K25" i="26"/>
  <c r="J25" i="26"/>
  <c r="F25" i="26"/>
  <c r="M24" i="26"/>
  <c r="L24" i="26"/>
  <c r="O24" i="26" s="1"/>
  <c r="K24" i="26"/>
  <c r="J24" i="26"/>
  <c r="F24" i="26"/>
  <c r="M23" i="26"/>
  <c r="L23" i="26"/>
  <c r="O23" i="26" s="1"/>
  <c r="K23" i="26"/>
  <c r="J23" i="26"/>
  <c r="F23" i="26"/>
  <c r="M22" i="26"/>
  <c r="L22" i="26"/>
  <c r="O22" i="26" s="1"/>
  <c r="K22" i="26"/>
  <c r="J22" i="26"/>
  <c r="M21" i="26"/>
  <c r="L21" i="26"/>
  <c r="O21" i="26" s="1"/>
  <c r="K21" i="26"/>
  <c r="J21" i="26"/>
  <c r="F21" i="26"/>
  <c r="M20" i="26"/>
  <c r="L20" i="26"/>
  <c r="O20" i="26" s="1"/>
  <c r="K20" i="26"/>
  <c r="J20" i="26"/>
  <c r="F20" i="26"/>
  <c r="M19" i="26"/>
  <c r="L19" i="26"/>
  <c r="O19" i="26" s="1"/>
  <c r="K19" i="26"/>
  <c r="J19" i="26"/>
  <c r="F19" i="26"/>
  <c r="M18" i="26"/>
  <c r="L18" i="26"/>
  <c r="O18" i="26" s="1"/>
  <c r="K18" i="26"/>
  <c r="J18" i="26"/>
  <c r="F18" i="26"/>
  <c r="M17" i="26"/>
  <c r="L17" i="26"/>
  <c r="O17" i="26" s="1"/>
  <c r="K17" i="26"/>
  <c r="J17" i="26"/>
  <c r="M16" i="26"/>
  <c r="L16" i="26"/>
  <c r="O16" i="26" s="1"/>
  <c r="K16" i="26"/>
  <c r="J16" i="26"/>
  <c r="F16" i="26"/>
  <c r="M15" i="26"/>
  <c r="L15" i="26"/>
  <c r="O15" i="26" s="1"/>
  <c r="K15" i="26"/>
  <c r="J15" i="26"/>
  <c r="F15" i="26"/>
  <c r="M14" i="26"/>
  <c r="L14" i="26"/>
  <c r="O14" i="26" s="1"/>
  <c r="K14" i="26"/>
  <c r="M13" i="26"/>
  <c r="L13" i="26"/>
  <c r="O13" i="26" s="1"/>
  <c r="K13" i="26"/>
  <c r="J13" i="26"/>
  <c r="F13" i="26"/>
  <c r="Q6" i="26"/>
  <c r="U41" i="26"/>
  <c r="X41" i="25"/>
  <c r="M41" i="25"/>
  <c r="L41" i="25"/>
  <c r="O41" i="25" s="1"/>
  <c r="V41" i="25" s="1"/>
  <c r="K41" i="25"/>
  <c r="J41" i="25"/>
  <c r="F41" i="25"/>
  <c r="M40" i="25"/>
  <c r="L40" i="25"/>
  <c r="O40" i="25" s="1"/>
  <c r="K40" i="25"/>
  <c r="J40" i="25"/>
  <c r="F40" i="25"/>
  <c r="M39" i="25"/>
  <c r="L39" i="25"/>
  <c r="O39" i="25" s="1"/>
  <c r="K39" i="25"/>
  <c r="J39" i="25"/>
  <c r="F39" i="25"/>
  <c r="M38" i="25"/>
  <c r="L38" i="25"/>
  <c r="O38" i="25" s="1"/>
  <c r="K38" i="25"/>
  <c r="J38" i="25"/>
  <c r="F38" i="25"/>
  <c r="M37" i="25"/>
  <c r="L37" i="25"/>
  <c r="O37" i="25" s="1"/>
  <c r="K37" i="25"/>
  <c r="J37" i="25"/>
  <c r="F37" i="25"/>
  <c r="M36" i="25"/>
  <c r="L36" i="25"/>
  <c r="O36" i="25" s="1"/>
  <c r="K36" i="25"/>
  <c r="J36" i="25"/>
  <c r="F36" i="25"/>
  <c r="M35" i="25"/>
  <c r="L35" i="25"/>
  <c r="O35" i="25" s="1"/>
  <c r="K35" i="25"/>
  <c r="J35" i="25"/>
  <c r="F35" i="25"/>
  <c r="M34" i="25"/>
  <c r="L34" i="25"/>
  <c r="O34" i="25" s="1"/>
  <c r="K34" i="25"/>
  <c r="J34" i="25"/>
  <c r="F34" i="25"/>
  <c r="M33" i="25"/>
  <c r="L33" i="25"/>
  <c r="O33" i="25" s="1"/>
  <c r="K33" i="25"/>
  <c r="J33" i="25"/>
  <c r="M32" i="25"/>
  <c r="L32" i="25"/>
  <c r="O32" i="25" s="1"/>
  <c r="K32" i="25"/>
  <c r="J32" i="25"/>
  <c r="F32" i="25"/>
  <c r="M31" i="25"/>
  <c r="L31" i="25"/>
  <c r="O31" i="25" s="1"/>
  <c r="K31" i="25"/>
  <c r="J31" i="25"/>
  <c r="F31" i="25"/>
  <c r="M30" i="25"/>
  <c r="L30" i="25"/>
  <c r="O30" i="25" s="1"/>
  <c r="K30" i="25"/>
  <c r="J30" i="25"/>
  <c r="F30" i="25"/>
  <c r="M29" i="25"/>
  <c r="L29" i="25"/>
  <c r="O29" i="25" s="1"/>
  <c r="K29" i="25"/>
  <c r="J29" i="25"/>
  <c r="F29" i="25"/>
  <c r="M28" i="25"/>
  <c r="L28" i="25"/>
  <c r="O28" i="25" s="1"/>
  <c r="K28" i="25"/>
  <c r="J28" i="25"/>
  <c r="M27" i="25"/>
  <c r="L27" i="25"/>
  <c r="O27" i="25" s="1"/>
  <c r="K27" i="25"/>
  <c r="J27" i="25"/>
  <c r="F27" i="25"/>
  <c r="M26" i="25"/>
  <c r="L26" i="25"/>
  <c r="O26" i="25" s="1"/>
  <c r="K26" i="25"/>
  <c r="J26" i="25"/>
  <c r="F26" i="25"/>
  <c r="M25" i="25"/>
  <c r="L25" i="25"/>
  <c r="O25" i="25" s="1"/>
  <c r="K25" i="25"/>
  <c r="J25" i="25"/>
  <c r="F25" i="25"/>
  <c r="M24" i="25"/>
  <c r="L24" i="25"/>
  <c r="O24" i="25" s="1"/>
  <c r="K24" i="25"/>
  <c r="J24" i="25"/>
  <c r="F24" i="25"/>
  <c r="M23" i="25"/>
  <c r="L23" i="25"/>
  <c r="O23" i="25" s="1"/>
  <c r="K23" i="25"/>
  <c r="J23" i="25"/>
  <c r="F23" i="25"/>
  <c r="M22" i="25"/>
  <c r="L22" i="25"/>
  <c r="O22" i="25" s="1"/>
  <c r="K22" i="25"/>
  <c r="J22" i="25"/>
  <c r="F22" i="25"/>
  <c r="M21" i="25"/>
  <c r="L21" i="25"/>
  <c r="O21" i="25" s="1"/>
  <c r="K21" i="25"/>
  <c r="J21" i="25"/>
  <c r="F21" i="25"/>
  <c r="M20" i="25"/>
  <c r="L20" i="25"/>
  <c r="O20" i="25" s="1"/>
  <c r="K20" i="25"/>
  <c r="J20" i="25"/>
  <c r="F20" i="25"/>
  <c r="M15" i="25"/>
  <c r="L15" i="25"/>
  <c r="O15" i="25" s="1"/>
  <c r="K15" i="25"/>
  <c r="J15" i="25"/>
  <c r="M14" i="25"/>
  <c r="L14" i="25"/>
  <c r="O14" i="25" s="1"/>
  <c r="K14" i="25"/>
  <c r="J14" i="25"/>
  <c r="M13" i="25"/>
  <c r="L13" i="25"/>
  <c r="O13" i="25" s="1"/>
  <c r="K13" i="25"/>
  <c r="J13" i="25"/>
  <c r="Q6" i="25"/>
  <c r="M41" i="24"/>
  <c r="L41" i="24"/>
  <c r="O41" i="24" s="1"/>
  <c r="V41" i="24" s="1"/>
  <c r="K41" i="24"/>
  <c r="J41" i="24"/>
  <c r="M40" i="24"/>
  <c r="L40" i="24"/>
  <c r="O40" i="24" s="1"/>
  <c r="K40" i="24"/>
  <c r="J40" i="24"/>
  <c r="M39" i="24"/>
  <c r="L39" i="24"/>
  <c r="O39" i="24" s="1"/>
  <c r="K39" i="24"/>
  <c r="J39" i="24"/>
  <c r="M38" i="24"/>
  <c r="L38" i="24"/>
  <c r="O38" i="24" s="1"/>
  <c r="K38" i="24"/>
  <c r="J38" i="24"/>
  <c r="M37" i="24"/>
  <c r="L37" i="24"/>
  <c r="O37" i="24" s="1"/>
  <c r="K37" i="24"/>
  <c r="J37" i="24"/>
  <c r="M36" i="24"/>
  <c r="L36" i="24"/>
  <c r="O36" i="24" s="1"/>
  <c r="K36" i="24"/>
  <c r="J36" i="24"/>
  <c r="F36" i="24"/>
  <c r="M35" i="24"/>
  <c r="O35" i="24"/>
  <c r="K35" i="24"/>
  <c r="J35" i="24"/>
  <c r="M34" i="24"/>
  <c r="L34" i="24"/>
  <c r="O34" i="24" s="1"/>
  <c r="K34" i="24"/>
  <c r="J34" i="24"/>
  <c r="F34" i="24"/>
  <c r="M33" i="24"/>
  <c r="L33" i="24"/>
  <c r="O33" i="24" s="1"/>
  <c r="K33" i="24"/>
  <c r="J33" i="24"/>
  <c r="F33" i="24"/>
  <c r="M32" i="24"/>
  <c r="L32" i="24"/>
  <c r="O32" i="24" s="1"/>
  <c r="K32" i="24"/>
  <c r="J32" i="24"/>
  <c r="F32" i="24"/>
  <c r="M31" i="24"/>
  <c r="L31" i="24"/>
  <c r="O31" i="24" s="1"/>
  <c r="K31" i="24"/>
  <c r="J31" i="24"/>
  <c r="F31" i="24"/>
  <c r="M30" i="24"/>
  <c r="L30" i="24"/>
  <c r="O30" i="24" s="1"/>
  <c r="K30" i="24"/>
  <c r="J30" i="24"/>
  <c r="F30" i="24"/>
  <c r="M29" i="24"/>
  <c r="L29" i="24"/>
  <c r="O29" i="24" s="1"/>
  <c r="K29" i="24"/>
  <c r="J29" i="24"/>
  <c r="F29" i="24"/>
  <c r="M28" i="24"/>
  <c r="L28" i="24"/>
  <c r="O28" i="24" s="1"/>
  <c r="K28" i="24"/>
  <c r="J28" i="24"/>
  <c r="F28" i="24"/>
  <c r="M27" i="24"/>
  <c r="L27" i="24"/>
  <c r="O27" i="24" s="1"/>
  <c r="K27" i="24"/>
  <c r="J27" i="24"/>
  <c r="F27" i="24"/>
  <c r="M26" i="24"/>
  <c r="L26" i="24"/>
  <c r="O26" i="24" s="1"/>
  <c r="K26" i="24"/>
  <c r="J26" i="24"/>
  <c r="M25" i="24"/>
  <c r="L25" i="24"/>
  <c r="O25" i="24" s="1"/>
  <c r="K25" i="24"/>
  <c r="J25" i="24"/>
  <c r="F25" i="24"/>
  <c r="M24" i="24"/>
  <c r="L24" i="24"/>
  <c r="O24" i="24" s="1"/>
  <c r="K24" i="24"/>
  <c r="J24" i="24"/>
  <c r="F24" i="24"/>
  <c r="M23" i="24"/>
  <c r="L23" i="24"/>
  <c r="O23" i="24" s="1"/>
  <c r="K23" i="24"/>
  <c r="J23" i="24"/>
  <c r="M22" i="24"/>
  <c r="L22" i="24"/>
  <c r="O22" i="24" s="1"/>
  <c r="K22" i="24"/>
  <c r="J22" i="24"/>
  <c r="F22" i="24"/>
  <c r="M21" i="24"/>
  <c r="L21" i="24"/>
  <c r="O21" i="24" s="1"/>
  <c r="K21" i="24"/>
  <c r="J21" i="24"/>
  <c r="F21" i="24"/>
  <c r="M20" i="24"/>
  <c r="L20" i="24"/>
  <c r="O20" i="24" s="1"/>
  <c r="K20" i="24"/>
  <c r="J20" i="24"/>
  <c r="F20" i="24"/>
  <c r="M19" i="24"/>
  <c r="L19" i="24"/>
  <c r="O19" i="24" s="1"/>
  <c r="K19" i="24"/>
  <c r="J19" i="24"/>
  <c r="F19" i="24"/>
  <c r="M18" i="24"/>
  <c r="L18" i="24"/>
  <c r="O18" i="24" s="1"/>
  <c r="K18" i="24"/>
  <c r="J18" i="24"/>
  <c r="F18" i="24"/>
  <c r="M17" i="24"/>
  <c r="L17" i="24"/>
  <c r="O17" i="24" s="1"/>
  <c r="K17" i="24"/>
  <c r="J17" i="24"/>
  <c r="F17" i="24"/>
  <c r="M16" i="24"/>
  <c r="L16" i="24"/>
  <c r="O16" i="24" s="1"/>
  <c r="K16" i="24"/>
  <c r="J16" i="24"/>
  <c r="F16" i="24"/>
  <c r="M15" i="24"/>
  <c r="L15" i="24"/>
  <c r="O15" i="24" s="1"/>
  <c r="K15" i="24"/>
  <c r="J15" i="24"/>
  <c r="F15" i="24"/>
  <c r="M14" i="24"/>
  <c r="L14" i="24"/>
  <c r="O14" i="24" s="1"/>
  <c r="K14" i="24"/>
  <c r="J14" i="24"/>
  <c r="F14" i="24"/>
  <c r="M13" i="24"/>
  <c r="L13" i="24"/>
  <c r="O13" i="24" s="1"/>
  <c r="K13" i="24"/>
  <c r="J13" i="24"/>
  <c r="F13" i="24"/>
  <c r="Q6" i="24"/>
  <c r="M41" i="23"/>
  <c r="L41" i="23"/>
  <c r="O41" i="23" s="1"/>
  <c r="V41" i="23" s="1"/>
  <c r="J41" i="23"/>
  <c r="F41" i="23"/>
  <c r="M40" i="23"/>
  <c r="L40" i="23"/>
  <c r="O40" i="23" s="1"/>
  <c r="J40" i="23"/>
  <c r="F40" i="23"/>
  <c r="M39" i="23"/>
  <c r="L39" i="23"/>
  <c r="O39" i="23" s="1"/>
  <c r="J39" i="23"/>
  <c r="F39" i="23"/>
  <c r="M38" i="23"/>
  <c r="L38" i="23"/>
  <c r="O38" i="23" s="1"/>
  <c r="J38" i="23"/>
  <c r="F38" i="23"/>
  <c r="M37" i="23"/>
  <c r="L37" i="23"/>
  <c r="O37" i="23" s="1"/>
  <c r="J37" i="23"/>
  <c r="F37" i="23"/>
  <c r="M36" i="23"/>
  <c r="L36" i="23"/>
  <c r="O36" i="23" s="1"/>
  <c r="J36" i="23"/>
  <c r="F36" i="23"/>
  <c r="M35" i="23"/>
  <c r="L35" i="23"/>
  <c r="O35" i="23" s="1"/>
  <c r="J35" i="23"/>
  <c r="F35" i="23"/>
  <c r="M34" i="23"/>
  <c r="L34" i="23"/>
  <c r="O34" i="23" s="1"/>
  <c r="J34" i="23"/>
  <c r="F34" i="23"/>
  <c r="M33" i="23"/>
  <c r="L33" i="23"/>
  <c r="O33" i="23" s="1"/>
  <c r="J33" i="23"/>
  <c r="F33" i="23"/>
  <c r="M32" i="23"/>
  <c r="L32" i="23"/>
  <c r="O32" i="23" s="1"/>
  <c r="J32" i="23"/>
  <c r="F32" i="23"/>
  <c r="M31" i="23"/>
  <c r="L31" i="23"/>
  <c r="O31" i="23" s="1"/>
  <c r="J31" i="23"/>
  <c r="F31" i="23"/>
  <c r="M30" i="23"/>
  <c r="L30" i="23"/>
  <c r="O30" i="23" s="1"/>
  <c r="K30" i="23"/>
  <c r="J30" i="23"/>
  <c r="F30" i="23"/>
  <c r="M29" i="23"/>
  <c r="L29" i="23"/>
  <c r="O29" i="23" s="1"/>
  <c r="K29" i="23"/>
  <c r="J29" i="23"/>
  <c r="F29" i="23"/>
  <c r="M28" i="23"/>
  <c r="L28" i="23"/>
  <c r="O28" i="23" s="1"/>
  <c r="K28" i="23"/>
  <c r="J28" i="23"/>
  <c r="M27" i="23"/>
  <c r="L27" i="23"/>
  <c r="O27" i="23" s="1"/>
  <c r="K27" i="23"/>
  <c r="J27" i="23"/>
  <c r="M26" i="23"/>
  <c r="L26" i="23"/>
  <c r="O26" i="23" s="1"/>
  <c r="K26" i="23"/>
  <c r="J26" i="23"/>
  <c r="F26" i="23"/>
  <c r="M25" i="23"/>
  <c r="L25" i="23"/>
  <c r="O25" i="23" s="1"/>
  <c r="K25" i="23"/>
  <c r="J25" i="23"/>
  <c r="F25" i="23"/>
  <c r="M24" i="23"/>
  <c r="L24" i="23"/>
  <c r="O24" i="23" s="1"/>
  <c r="K24" i="23"/>
  <c r="J24" i="23"/>
  <c r="M23" i="23"/>
  <c r="L23" i="23"/>
  <c r="O23" i="23" s="1"/>
  <c r="K23" i="23"/>
  <c r="J23" i="23"/>
  <c r="F23" i="23"/>
  <c r="M22" i="23"/>
  <c r="L22" i="23"/>
  <c r="O22" i="23" s="1"/>
  <c r="K22" i="23"/>
  <c r="J22" i="23"/>
  <c r="F22" i="23"/>
  <c r="M21" i="23"/>
  <c r="L21" i="23"/>
  <c r="O21" i="23" s="1"/>
  <c r="K21" i="23"/>
  <c r="J21" i="23"/>
  <c r="F21" i="23"/>
  <c r="M20" i="23"/>
  <c r="L20" i="23"/>
  <c r="O20" i="23" s="1"/>
  <c r="K20" i="23"/>
  <c r="J20" i="23"/>
  <c r="F20" i="23"/>
  <c r="M19" i="23"/>
  <c r="L19" i="23"/>
  <c r="O19" i="23" s="1"/>
  <c r="K19" i="23"/>
  <c r="J19" i="23"/>
  <c r="F19" i="23"/>
  <c r="M18" i="23"/>
  <c r="L18" i="23"/>
  <c r="O18" i="23" s="1"/>
  <c r="K18" i="23"/>
  <c r="J18" i="23"/>
  <c r="F18" i="23"/>
  <c r="M17" i="23"/>
  <c r="L17" i="23"/>
  <c r="O17" i="23" s="1"/>
  <c r="K17" i="23"/>
  <c r="F17" i="23"/>
  <c r="M16" i="23"/>
  <c r="L16" i="23"/>
  <c r="O16" i="23" s="1"/>
  <c r="K16" i="23"/>
  <c r="F16" i="23"/>
  <c r="M15" i="23"/>
  <c r="L15" i="23"/>
  <c r="O15" i="23" s="1"/>
  <c r="K15" i="23"/>
  <c r="J15" i="23"/>
  <c r="F15" i="23"/>
  <c r="M14" i="23"/>
  <c r="L14" i="23"/>
  <c r="O14" i="23" s="1"/>
  <c r="K14" i="23"/>
  <c r="J14" i="23"/>
  <c r="F14" i="23"/>
  <c r="M13" i="23"/>
  <c r="L13" i="23"/>
  <c r="O13" i="23" s="1"/>
  <c r="K13" i="23"/>
  <c r="J13" i="23"/>
  <c r="F13" i="23"/>
  <c r="Q6" i="23"/>
  <c r="M41" i="22"/>
  <c r="L41" i="22"/>
  <c r="O41" i="22" s="1"/>
  <c r="V41" i="22" s="1"/>
  <c r="K41" i="22"/>
  <c r="J41" i="22"/>
  <c r="F41" i="22"/>
  <c r="M40" i="22"/>
  <c r="L40" i="22"/>
  <c r="O40" i="22" s="1"/>
  <c r="K40" i="22"/>
  <c r="J40" i="22"/>
  <c r="M39" i="22"/>
  <c r="L39" i="22"/>
  <c r="O39" i="22" s="1"/>
  <c r="J39" i="22"/>
  <c r="F39" i="22"/>
  <c r="L38" i="22"/>
  <c r="O38" i="22" s="1"/>
  <c r="J38" i="22"/>
  <c r="F38" i="22"/>
  <c r="M37" i="22"/>
  <c r="L37" i="22"/>
  <c r="O37" i="22" s="1"/>
  <c r="J37" i="22"/>
  <c r="F37" i="22"/>
  <c r="M36" i="22"/>
  <c r="L36" i="22"/>
  <c r="O36" i="22" s="1"/>
  <c r="K36" i="22"/>
  <c r="J36" i="22"/>
  <c r="F36" i="22"/>
  <c r="M35" i="22"/>
  <c r="L35" i="22"/>
  <c r="O35" i="22" s="1"/>
  <c r="K35" i="22"/>
  <c r="J35" i="22"/>
  <c r="M34" i="22"/>
  <c r="L34" i="22"/>
  <c r="O34" i="22" s="1"/>
  <c r="K34" i="22"/>
  <c r="J34" i="22"/>
  <c r="F34" i="22"/>
  <c r="M33" i="22"/>
  <c r="L33" i="22"/>
  <c r="O33" i="22" s="1"/>
  <c r="K33" i="22"/>
  <c r="J33" i="22"/>
  <c r="M32" i="22"/>
  <c r="L32" i="22"/>
  <c r="O32" i="22" s="1"/>
  <c r="K32" i="22"/>
  <c r="J32" i="22"/>
  <c r="F32" i="22"/>
  <c r="M31" i="22"/>
  <c r="L31" i="22"/>
  <c r="O31" i="22" s="1"/>
  <c r="K31" i="22"/>
  <c r="F31" i="22"/>
  <c r="M30" i="22"/>
  <c r="L30" i="22"/>
  <c r="O30" i="22" s="1"/>
  <c r="K30" i="22"/>
  <c r="J30" i="22"/>
  <c r="F30" i="22"/>
  <c r="M29" i="22"/>
  <c r="L29" i="22"/>
  <c r="O29" i="22" s="1"/>
  <c r="K29" i="22"/>
  <c r="J29" i="22"/>
  <c r="F29" i="22"/>
  <c r="M28" i="22"/>
  <c r="L28" i="22"/>
  <c r="O28" i="22" s="1"/>
  <c r="K28" i="22"/>
  <c r="J28" i="22"/>
  <c r="F28" i="22"/>
  <c r="M27" i="22"/>
  <c r="L27" i="22"/>
  <c r="O27" i="22" s="1"/>
  <c r="K27" i="22"/>
  <c r="J27" i="22"/>
  <c r="M26" i="22"/>
  <c r="M25" i="22"/>
  <c r="M24" i="22"/>
  <c r="M23" i="22"/>
  <c r="L23" i="22"/>
  <c r="O23" i="22" s="1"/>
  <c r="K23" i="22"/>
  <c r="M22" i="22"/>
  <c r="O22" i="22"/>
  <c r="K22" i="22"/>
  <c r="J22" i="22"/>
  <c r="F22" i="22"/>
  <c r="M21" i="22"/>
  <c r="L21" i="22"/>
  <c r="O21" i="22" s="1"/>
  <c r="K21" i="22"/>
  <c r="F21" i="22"/>
  <c r="M20" i="22"/>
  <c r="L20" i="22"/>
  <c r="O20" i="22" s="1"/>
  <c r="K20" i="22"/>
  <c r="J20" i="22"/>
  <c r="M19" i="22"/>
  <c r="L19" i="22"/>
  <c r="O19" i="22" s="1"/>
  <c r="K19" i="22"/>
  <c r="J19" i="22"/>
  <c r="M18" i="22"/>
  <c r="L18" i="22"/>
  <c r="O18" i="22" s="1"/>
  <c r="K18" i="22"/>
  <c r="J18" i="22"/>
  <c r="M17" i="22"/>
  <c r="L17" i="22"/>
  <c r="O17" i="22" s="1"/>
  <c r="K17" i="22"/>
  <c r="J17" i="22"/>
  <c r="M16" i="22"/>
  <c r="L16" i="22"/>
  <c r="O16" i="22" s="1"/>
  <c r="K16" i="22"/>
  <c r="J16" i="22"/>
  <c r="F16" i="22"/>
  <c r="M15" i="22"/>
  <c r="L15" i="22"/>
  <c r="O15" i="22" s="1"/>
  <c r="K15" i="22"/>
  <c r="J15" i="22"/>
  <c r="F15" i="22"/>
  <c r="M14" i="22"/>
  <c r="L14" i="22"/>
  <c r="O14" i="22" s="1"/>
  <c r="J14" i="22"/>
  <c r="M13" i="22"/>
  <c r="L13" i="22"/>
  <c r="O13" i="22" s="1"/>
  <c r="J13" i="22"/>
  <c r="F13" i="22"/>
  <c r="M41" i="21"/>
  <c r="L41" i="21"/>
  <c r="O41" i="21" s="1"/>
  <c r="V41" i="21" s="1"/>
  <c r="K41" i="21"/>
  <c r="J41" i="21"/>
  <c r="M40" i="21"/>
  <c r="L40" i="21"/>
  <c r="O40" i="21" s="1"/>
  <c r="K40" i="21"/>
  <c r="J40" i="21"/>
  <c r="M39" i="21"/>
  <c r="L39" i="21"/>
  <c r="O39" i="21" s="1"/>
  <c r="K39" i="21"/>
  <c r="J39" i="21"/>
  <c r="M38" i="21"/>
  <c r="L38" i="21"/>
  <c r="O38" i="21" s="1"/>
  <c r="K38" i="21"/>
  <c r="J38" i="21"/>
  <c r="M37" i="21"/>
  <c r="L37" i="21"/>
  <c r="O37" i="21" s="1"/>
  <c r="K37" i="21"/>
  <c r="J37" i="21"/>
  <c r="M36" i="21"/>
  <c r="L36" i="21"/>
  <c r="O36" i="21" s="1"/>
  <c r="K36" i="21"/>
  <c r="J36" i="21"/>
  <c r="M35" i="21"/>
  <c r="L35" i="21"/>
  <c r="O35" i="21" s="1"/>
  <c r="K35" i="21"/>
  <c r="J35" i="21"/>
  <c r="M34" i="21"/>
  <c r="L34" i="21"/>
  <c r="O34" i="21" s="1"/>
  <c r="K34" i="21"/>
  <c r="J34" i="21"/>
  <c r="M33" i="21"/>
  <c r="L33" i="21"/>
  <c r="O33" i="21" s="1"/>
  <c r="K33" i="21"/>
  <c r="J33" i="21"/>
  <c r="M32" i="21"/>
  <c r="L32" i="21"/>
  <c r="O32" i="21" s="1"/>
  <c r="K32" i="21"/>
  <c r="J32" i="21"/>
  <c r="M31" i="21"/>
  <c r="L31" i="21"/>
  <c r="O31" i="21" s="1"/>
  <c r="K31" i="21"/>
  <c r="J31" i="21"/>
  <c r="M30" i="21"/>
  <c r="L30" i="21"/>
  <c r="O30" i="21" s="1"/>
  <c r="K30" i="21"/>
  <c r="J30" i="21"/>
  <c r="M29" i="21"/>
  <c r="L29" i="21"/>
  <c r="O29" i="21" s="1"/>
  <c r="K29" i="21"/>
  <c r="J29" i="21"/>
  <c r="M28" i="21"/>
  <c r="L28" i="21"/>
  <c r="O28" i="21" s="1"/>
  <c r="K28" i="21"/>
  <c r="J28" i="21"/>
  <c r="M27" i="21"/>
  <c r="L27" i="21"/>
  <c r="O27" i="21" s="1"/>
  <c r="K27" i="21"/>
  <c r="J27" i="21"/>
  <c r="M26" i="21"/>
  <c r="L26" i="21"/>
  <c r="O26" i="21" s="1"/>
  <c r="K26" i="21"/>
  <c r="J26" i="21"/>
  <c r="M25" i="21"/>
  <c r="L25" i="21"/>
  <c r="O25" i="21" s="1"/>
  <c r="K25" i="21"/>
  <c r="J25" i="21"/>
  <c r="M24" i="21"/>
  <c r="L24" i="21"/>
  <c r="O24" i="21" s="1"/>
  <c r="K24" i="21"/>
  <c r="J24" i="21"/>
  <c r="M23" i="21"/>
  <c r="L23" i="21"/>
  <c r="O23" i="21" s="1"/>
  <c r="K23" i="21"/>
  <c r="J23" i="21"/>
  <c r="M22" i="21"/>
  <c r="L22" i="21"/>
  <c r="O22" i="21" s="1"/>
  <c r="K22" i="21"/>
  <c r="J22" i="21"/>
  <c r="M21" i="21"/>
  <c r="L21" i="21"/>
  <c r="O21" i="21" s="1"/>
  <c r="K21" i="21"/>
  <c r="J21" i="21"/>
  <c r="M20" i="21"/>
  <c r="L20" i="21"/>
  <c r="O20" i="21" s="1"/>
  <c r="K20" i="21"/>
  <c r="J20" i="21"/>
  <c r="M19" i="21"/>
  <c r="L19" i="21"/>
  <c r="O19" i="21" s="1"/>
  <c r="K19" i="21"/>
  <c r="M18" i="21"/>
  <c r="L18" i="21"/>
  <c r="O18" i="21" s="1"/>
  <c r="K18" i="21"/>
  <c r="J18" i="21"/>
  <c r="M17" i="21"/>
  <c r="L17" i="21"/>
  <c r="O17" i="21" s="1"/>
  <c r="K17" i="21"/>
  <c r="J17" i="21"/>
  <c r="M16" i="21"/>
  <c r="L16" i="21"/>
  <c r="K16" i="21"/>
  <c r="J16" i="21"/>
  <c r="M15" i="21"/>
  <c r="L15" i="21"/>
  <c r="O15" i="21" s="1"/>
  <c r="K15" i="21"/>
  <c r="J15" i="21"/>
  <c r="M14" i="21"/>
  <c r="L14" i="21"/>
  <c r="O14" i="21" s="1"/>
  <c r="K14" i="21"/>
  <c r="J14" i="21"/>
  <c r="M13" i="21"/>
  <c r="L13" i="21"/>
  <c r="O13" i="21" s="1"/>
  <c r="K13" i="21"/>
  <c r="J13" i="21"/>
  <c r="M42" i="23" l="1"/>
  <c r="M42" i="24"/>
  <c r="M42" i="22"/>
  <c r="M42" i="25"/>
  <c r="M42" i="21"/>
  <c r="M42" i="26"/>
  <c r="S20" i="24"/>
  <c r="G20" i="24" s="1"/>
  <c r="S16" i="24"/>
  <c r="G16" i="24" s="1"/>
  <c r="S24" i="24"/>
  <c r="G24" i="24" s="1"/>
  <c r="S28" i="24"/>
  <c r="S13" i="24"/>
  <c r="G13" i="24" s="1"/>
  <c r="S17" i="24"/>
  <c r="G17" i="24" s="1"/>
  <c r="S21" i="24"/>
  <c r="G21" i="24" s="1"/>
  <c r="S25" i="24"/>
  <c r="G25" i="24" s="1"/>
  <c r="S29" i="24"/>
  <c r="G29" i="24" s="1"/>
  <c r="S14" i="24"/>
  <c r="G14" i="24" s="1"/>
  <c r="S18" i="24"/>
  <c r="G18" i="24" s="1"/>
  <c r="S22" i="24"/>
  <c r="G22" i="24" s="1"/>
  <c r="S26" i="24"/>
  <c r="G26" i="24" s="1"/>
  <c r="S15" i="24"/>
  <c r="G15" i="24" s="1"/>
  <c r="S19" i="24"/>
  <c r="S23" i="24"/>
  <c r="G23" i="24" s="1"/>
  <c r="S27" i="24"/>
  <c r="G27" i="24" s="1"/>
  <c r="S31" i="24"/>
  <c r="G31" i="24" s="1"/>
  <c r="S36" i="24"/>
  <c r="S37" i="24"/>
  <c r="G37" i="24" s="1"/>
  <c r="S38" i="24"/>
  <c r="G38" i="24" s="1"/>
  <c r="S39" i="24"/>
  <c r="G39" i="24" s="1"/>
  <c r="S40" i="24"/>
  <c r="G40" i="24" s="1"/>
  <c r="S41" i="24"/>
  <c r="G41" i="24" s="1"/>
  <c r="S32" i="24"/>
  <c r="S33" i="24"/>
  <c r="G33" i="24" s="1"/>
  <c r="S30" i="24"/>
  <c r="S34" i="24"/>
  <c r="G34" i="24" s="1"/>
  <c r="S35" i="24"/>
  <c r="G35" i="24" s="1"/>
  <c r="S23" i="22"/>
  <c r="G23" i="22" s="1"/>
  <c r="H23" i="22" s="1"/>
  <c r="S18" i="26"/>
  <c r="S17" i="23"/>
  <c r="G17" i="23" s="1"/>
  <c r="H17" i="23" s="1"/>
  <c r="S37" i="26"/>
  <c r="S39" i="23"/>
  <c r="G39" i="23" s="1"/>
  <c r="S19" i="26"/>
  <c r="S19" i="22"/>
  <c r="S31" i="23"/>
  <c r="G31" i="23" s="1"/>
  <c r="S33" i="25"/>
  <c r="G33" i="25" s="1"/>
  <c r="S33" i="21"/>
  <c r="G33" i="21" s="1"/>
  <c r="S34" i="22"/>
  <c r="G34" i="22" s="1"/>
  <c r="S36" i="21"/>
  <c r="S40" i="25"/>
  <c r="G40" i="25" s="1"/>
  <c r="H40" i="25" s="1"/>
  <c r="S40" i="21"/>
  <c r="G40" i="21" s="1"/>
  <c r="V40" i="26"/>
  <c r="V39" i="26" s="1"/>
  <c r="V38" i="26" s="1"/>
  <c r="V37" i="26" s="1"/>
  <c r="V36" i="26" s="1"/>
  <c r="V35" i="26" s="1"/>
  <c r="V34" i="26" s="1"/>
  <c r="V33" i="26" s="1"/>
  <c r="V32" i="26" s="1"/>
  <c r="V31" i="26" s="1"/>
  <c r="V30" i="26" s="1"/>
  <c r="V29" i="26" s="1"/>
  <c r="V28" i="26" s="1"/>
  <c r="V27" i="26" s="1"/>
  <c r="V26" i="26" s="1"/>
  <c r="V25" i="26" s="1"/>
  <c r="V24" i="26" s="1"/>
  <c r="V23" i="26" s="1"/>
  <c r="V22" i="26" s="1"/>
  <c r="V21" i="26" s="1"/>
  <c r="V20" i="26" s="1"/>
  <c r="V19" i="26" s="1"/>
  <c r="V18" i="26" s="1"/>
  <c r="V17" i="26" s="1"/>
  <c r="V16" i="26" s="1"/>
  <c r="V15" i="26" s="1"/>
  <c r="V14" i="26" s="1"/>
  <c r="V13" i="26" s="1"/>
  <c r="S27" i="26"/>
  <c r="G26" i="26" s="1"/>
  <c r="S41" i="26"/>
  <c r="G40" i="26" s="1"/>
  <c r="H40" i="26" s="1"/>
  <c r="S32" i="25"/>
  <c r="S36" i="23"/>
  <c r="G36" i="23" s="1"/>
  <c r="S34" i="23"/>
  <c r="S41" i="23"/>
  <c r="G41" i="23" s="1"/>
  <c r="H41" i="23" s="1"/>
  <c r="S35" i="22"/>
  <c r="G35" i="22" s="1"/>
  <c r="S40" i="22"/>
  <c r="G40" i="22" s="1"/>
  <c r="V40" i="22"/>
  <c r="V39" i="22" s="1"/>
  <c r="V38" i="22" s="1"/>
  <c r="V37" i="22" s="1"/>
  <c r="V36" i="22" s="1"/>
  <c r="V35" i="22" s="1"/>
  <c r="V34" i="22" s="1"/>
  <c r="V33" i="22" s="1"/>
  <c r="V32" i="22" s="1"/>
  <c r="V31" i="22" s="1"/>
  <c r="V30" i="22" s="1"/>
  <c r="V29" i="22" s="1"/>
  <c r="V28" i="22" s="1"/>
  <c r="V27" i="22" s="1"/>
  <c r="V26" i="22" s="1"/>
  <c r="V25" i="22" s="1"/>
  <c r="V24" i="22" s="1"/>
  <c r="V23" i="22" s="1"/>
  <c r="V22" i="22" s="1"/>
  <c r="V21" i="22" s="1"/>
  <c r="V20" i="22" s="1"/>
  <c r="V19" i="22" s="1"/>
  <c r="V18" i="22" s="1"/>
  <c r="V17" i="22" s="1"/>
  <c r="V16" i="22" s="1"/>
  <c r="V15" i="22" s="1"/>
  <c r="V14" i="22" s="1"/>
  <c r="V13" i="22" s="1"/>
  <c r="S36" i="22"/>
  <c r="S19" i="21"/>
  <c r="G19" i="21" s="1"/>
  <c r="H19" i="21" s="1"/>
  <c r="S27" i="21"/>
  <c r="S37" i="21"/>
  <c r="G37" i="21" s="1"/>
  <c r="S13" i="21"/>
  <c r="G13" i="21" s="1"/>
  <c r="H13" i="21" s="1"/>
  <c r="S35" i="21"/>
  <c r="G35" i="21" s="1"/>
  <c r="S14" i="23"/>
  <c r="G14" i="23" s="1"/>
  <c r="H14" i="23" s="1"/>
  <c r="S13" i="26"/>
  <c r="S13" i="25"/>
  <c r="S13" i="23"/>
  <c r="G13" i="23" s="1"/>
  <c r="H13" i="23" s="1"/>
  <c r="S14" i="26"/>
  <c r="S15" i="26"/>
  <c r="G14" i="26" s="1"/>
  <c r="S15" i="25"/>
  <c r="S16" i="23"/>
  <c r="G16" i="23" s="1"/>
  <c r="H16" i="23" s="1"/>
  <c r="S15" i="23"/>
  <c r="G15" i="23" s="1"/>
  <c r="H15" i="23" s="1"/>
  <c r="S15" i="22"/>
  <c r="G15" i="22" s="1"/>
  <c r="H15" i="22" s="1"/>
  <c r="S14" i="21"/>
  <c r="G14" i="21" s="1"/>
  <c r="H14" i="21" s="1"/>
  <c r="S16" i="26"/>
  <c r="G15" i="26" s="1"/>
  <c r="S16" i="22"/>
  <c r="G16" i="22" s="1"/>
  <c r="H16" i="22" s="1"/>
  <c r="S16" i="21"/>
  <c r="G16" i="21" s="1"/>
  <c r="H16" i="21" s="1"/>
  <c r="S17" i="26"/>
  <c r="G16" i="26" s="1"/>
  <c r="S17" i="22"/>
  <c r="G17" i="22" s="1"/>
  <c r="H17" i="22" s="1"/>
  <c r="S17" i="21"/>
  <c r="G17" i="21" s="1"/>
  <c r="H17" i="21" s="1"/>
  <c r="S20" i="22"/>
  <c r="S21" i="22"/>
  <c r="G21" i="22" s="1"/>
  <c r="S20" i="23"/>
  <c r="S20" i="26"/>
  <c r="G19" i="26" s="1"/>
  <c r="S18" i="22"/>
  <c r="G18" i="22" s="1"/>
  <c r="S18" i="21"/>
  <c r="G18" i="21" s="1"/>
  <c r="H18" i="21" s="1"/>
  <c r="S21" i="26"/>
  <c r="G20" i="26" s="1"/>
  <c r="S21" i="21"/>
  <c r="G21" i="21" s="1"/>
  <c r="S22" i="26"/>
  <c r="S22" i="25"/>
  <c r="G22" i="25" s="1"/>
  <c r="H22" i="25" s="1"/>
  <c r="S22" i="22"/>
  <c r="G22" i="22" s="1"/>
  <c r="H22" i="22" s="1"/>
  <c r="S24" i="26"/>
  <c r="G23" i="26" s="1"/>
  <c r="S23" i="25"/>
  <c r="G23" i="25" s="1"/>
  <c r="H23" i="25" s="1"/>
  <c r="S23" i="23"/>
  <c r="G23" i="23" s="1"/>
  <c r="S24" i="21"/>
  <c r="G24" i="21" s="1"/>
  <c r="H24" i="21" s="1"/>
  <c r="S23" i="21"/>
  <c r="G23" i="21" s="1"/>
  <c r="H23" i="21" s="1"/>
  <c r="S24" i="25"/>
  <c r="G24" i="25" s="1"/>
  <c r="H24" i="25" s="1"/>
  <c r="S25" i="26"/>
  <c r="G24" i="26" s="1"/>
  <c r="H24" i="26" s="1"/>
  <c r="S26" i="26"/>
  <c r="G25" i="26" s="1"/>
  <c r="H25" i="26" s="1"/>
  <c r="S27" i="25"/>
  <c r="G27" i="25" s="1"/>
  <c r="S28" i="25"/>
  <c r="S25" i="23"/>
  <c r="S26" i="23"/>
  <c r="G26" i="23" s="1"/>
  <c r="S28" i="22"/>
  <c r="G28" i="22" s="1"/>
  <c r="S28" i="21"/>
  <c r="S25" i="21"/>
  <c r="S29" i="26"/>
  <c r="S28" i="23"/>
  <c r="G28" i="23" s="1"/>
  <c r="S29" i="25"/>
  <c r="S29" i="22"/>
  <c r="G29" i="22" s="1"/>
  <c r="S29" i="21"/>
  <c r="G29" i="21" s="1"/>
  <c r="S32" i="26"/>
  <c r="S31" i="26"/>
  <c r="G30" i="26" s="1"/>
  <c r="S30" i="25"/>
  <c r="G30" i="25" s="1"/>
  <c r="S31" i="22"/>
  <c r="S32" i="21"/>
  <c r="S31" i="21"/>
  <c r="G31" i="21" s="1"/>
  <c r="H31" i="21" s="1"/>
  <c r="S30" i="21"/>
  <c r="G30" i="21" s="1"/>
  <c r="H30" i="21" s="1"/>
  <c r="S33" i="26"/>
  <c r="G32" i="26" s="1"/>
  <c r="H32" i="26" s="1"/>
  <c r="S35" i="26"/>
  <c r="G34" i="26" s="1"/>
  <c r="S38" i="26"/>
  <c r="G37" i="26" s="1"/>
  <c r="S40" i="26"/>
  <c r="G39" i="26" s="1"/>
  <c r="H39" i="26" s="1"/>
  <c r="S38" i="25"/>
  <c r="G38" i="25" s="1"/>
  <c r="H38" i="25" s="1"/>
  <c r="S34" i="25"/>
  <c r="S35" i="25"/>
  <c r="G35" i="25" s="1"/>
  <c r="H35" i="25" s="1"/>
  <c r="S39" i="25"/>
  <c r="G39" i="25" s="1"/>
  <c r="H39" i="25" s="1"/>
  <c r="S41" i="25"/>
  <c r="G41" i="25" s="1"/>
  <c r="S33" i="23"/>
  <c r="G33" i="23" s="1"/>
  <c r="S33" i="22"/>
  <c r="G33" i="22" s="1"/>
  <c r="S37" i="22"/>
  <c r="G37" i="22" s="1"/>
  <c r="S32" i="22"/>
  <c r="S39" i="22"/>
  <c r="S38" i="21"/>
  <c r="G38" i="21" s="1"/>
  <c r="V40" i="21"/>
  <c r="V39" i="21" s="1"/>
  <c r="V38" i="21" s="1"/>
  <c r="V37" i="21" s="1"/>
  <c r="V36" i="21" s="1"/>
  <c r="V35" i="21" s="1"/>
  <c r="V34" i="21" s="1"/>
  <c r="V33" i="21" s="1"/>
  <c r="V32" i="21" s="1"/>
  <c r="V31" i="21" s="1"/>
  <c r="V30" i="21" s="1"/>
  <c r="V29" i="21" s="1"/>
  <c r="V28" i="21" s="1"/>
  <c r="V27" i="21" s="1"/>
  <c r="V26" i="21" s="1"/>
  <c r="V25" i="21" s="1"/>
  <c r="V24" i="21" s="1"/>
  <c r="V23" i="21" s="1"/>
  <c r="V22" i="21" s="1"/>
  <c r="V21" i="21" s="1"/>
  <c r="V20" i="21" s="1"/>
  <c r="V19" i="21" s="1"/>
  <c r="V18" i="21" s="1"/>
  <c r="V17" i="21" s="1"/>
  <c r="N40" i="26"/>
  <c r="U40" i="26" s="1"/>
  <c r="S23" i="26"/>
  <c r="G22" i="26" s="1"/>
  <c r="S30" i="26"/>
  <c r="G29" i="26" s="1"/>
  <c r="H29" i="26" s="1"/>
  <c r="S28" i="26"/>
  <c r="S36" i="26"/>
  <c r="S39" i="26"/>
  <c r="G38" i="26" s="1"/>
  <c r="H38" i="26" s="1"/>
  <c r="W41" i="26"/>
  <c r="P41" i="26"/>
  <c r="S34" i="26"/>
  <c r="G33" i="26" s="1"/>
  <c r="H33" i="26" s="1"/>
  <c r="V40" i="25"/>
  <c r="V39" i="25" s="1"/>
  <c r="V38" i="25" s="1"/>
  <c r="V37" i="25" s="1"/>
  <c r="V36" i="25" s="1"/>
  <c r="V35" i="25" s="1"/>
  <c r="V34" i="25" s="1"/>
  <c r="V33" i="25" s="1"/>
  <c r="V32" i="25" s="1"/>
  <c r="V31" i="25" s="1"/>
  <c r="V30" i="25" s="1"/>
  <c r="V29" i="25" s="1"/>
  <c r="V28" i="25" s="1"/>
  <c r="V27" i="25" s="1"/>
  <c r="V26" i="25" s="1"/>
  <c r="V25" i="25" s="1"/>
  <c r="V24" i="25" s="1"/>
  <c r="V23" i="25" s="1"/>
  <c r="V22" i="25" s="1"/>
  <c r="V21" i="25" s="1"/>
  <c r="V20" i="25" s="1"/>
  <c r="N40" i="25"/>
  <c r="U41" i="25"/>
  <c r="P41" i="25"/>
  <c r="S14" i="25"/>
  <c r="G14" i="25" s="1"/>
  <c r="S31" i="25"/>
  <c r="G31" i="25" s="1"/>
  <c r="H31" i="25" s="1"/>
  <c r="S36" i="25"/>
  <c r="S20" i="25"/>
  <c r="S26" i="25"/>
  <c r="G26" i="25" s="1"/>
  <c r="H26" i="25" s="1"/>
  <c r="G19" i="25"/>
  <c r="S25" i="25"/>
  <c r="G25" i="25" s="1"/>
  <c r="H25" i="25" s="1"/>
  <c r="G18" i="25"/>
  <c r="X40" i="25"/>
  <c r="S21" i="25"/>
  <c r="G21" i="25" s="1"/>
  <c r="H21" i="25" s="1"/>
  <c r="S37" i="25"/>
  <c r="G37" i="25" s="1"/>
  <c r="V40" i="24"/>
  <c r="V39" i="24" s="1"/>
  <c r="V38" i="24" s="1"/>
  <c r="V37" i="24" s="1"/>
  <c r="V36" i="24" s="1"/>
  <c r="V35" i="24" s="1"/>
  <c r="V34" i="24" s="1"/>
  <c r="V33" i="24" s="1"/>
  <c r="V32" i="24" s="1"/>
  <c r="V31" i="24" s="1"/>
  <c r="V30" i="24" s="1"/>
  <c r="V29" i="24" s="1"/>
  <c r="V28" i="24" s="1"/>
  <c r="V27" i="24" s="1"/>
  <c r="V26" i="24" s="1"/>
  <c r="V25" i="24" s="1"/>
  <c r="V24" i="24" s="1"/>
  <c r="V23" i="24" s="1"/>
  <c r="V22" i="24" s="1"/>
  <c r="V21" i="24" s="1"/>
  <c r="V20" i="24" s="1"/>
  <c r="V19" i="24" s="1"/>
  <c r="V18" i="24" s="1"/>
  <c r="V17" i="24" s="1"/>
  <c r="V16" i="24" s="1"/>
  <c r="V15" i="24" s="1"/>
  <c r="V14" i="24" s="1"/>
  <c r="V13" i="24" s="1"/>
  <c r="P41" i="24"/>
  <c r="N40" i="24"/>
  <c r="X41" i="24"/>
  <c r="V40" i="23"/>
  <c r="V39" i="23" s="1"/>
  <c r="V38" i="23" s="1"/>
  <c r="V37" i="23" s="1"/>
  <c r="V36" i="23" s="1"/>
  <c r="V35" i="23" s="1"/>
  <c r="V34" i="23" s="1"/>
  <c r="V33" i="23" s="1"/>
  <c r="V32" i="23" s="1"/>
  <c r="V31" i="23" s="1"/>
  <c r="V30" i="23" s="1"/>
  <c r="V29" i="23" s="1"/>
  <c r="V28" i="23" s="1"/>
  <c r="V27" i="23" s="1"/>
  <c r="V26" i="23" s="1"/>
  <c r="V25" i="23" s="1"/>
  <c r="V24" i="23" s="1"/>
  <c r="V23" i="23" s="1"/>
  <c r="V22" i="23" s="1"/>
  <c r="V21" i="23" s="1"/>
  <c r="V20" i="23" s="1"/>
  <c r="V19" i="23" s="1"/>
  <c r="V18" i="23" s="1"/>
  <c r="V17" i="23" s="1"/>
  <c r="V16" i="23" s="1"/>
  <c r="V15" i="23" s="1"/>
  <c r="V14" i="23" s="1"/>
  <c r="V13" i="23" s="1"/>
  <c r="X41" i="23"/>
  <c r="X40" i="23" s="1"/>
  <c r="X39" i="23" s="1"/>
  <c r="U41" i="23"/>
  <c r="N40" i="23"/>
  <c r="P41" i="23"/>
  <c r="S19" i="23"/>
  <c r="S18" i="23"/>
  <c r="G18" i="23" s="1"/>
  <c r="H18" i="23" s="1"/>
  <c r="S24" i="23"/>
  <c r="G24" i="23" s="1"/>
  <c r="S32" i="23"/>
  <c r="S22" i="23"/>
  <c r="G22" i="23" s="1"/>
  <c r="S40" i="23"/>
  <c r="G40" i="23" s="1"/>
  <c r="H40" i="23" s="1"/>
  <c r="S21" i="23"/>
  <c r="G21" i="23" s="1"/>
  <c r="S29" i="23"/>
  <c r="G29" i="23" s="1"/>
  <c r="S30" i="23"/>
  <c r="G30" i="23" s="1"/>
  <c r="S37" i="23"/>
  <c r="G37" i="23" s="1"/>
  <c r="S38" i="23"/>
  <c r="G38" i="23" s="1"/>
  <c r="S27" i="23"/>
  <c r="S35" i="23"/>
  <c r="G35" i="23" s="1"/>
  <c r="S41" i="22"/>
  <c r="G41" i="22" s="1"/>
  <c r="P41" i="22"/>
  <c r="N40" i="22"/>
  <c r="U41" i="22"/>
  <c r="S27" i="22"/>
  <c r="S26" i="22"/>
  <c r="G26" i="22" s="1"/>
  <c r="S30" i="22"/>
  <c r="X41" i="22"/>
  <c r="S39" i="21"/>
  <c r="G39" i="21" s="1"/>
  <c r="S41" i="21"/>
  <c r="G41" i="21" s="1"/>
  <c r="O16" i="21"/>
  <c r="S15" i="21"/>
  <c r="G15" i="21" s="1"/>
  <c r="H15" i="21" s="1"/>
  <c r="S20" i="21"/>
  <c r="P41" i="21"/>
  <c r="U41" i="21"/>
  <c r="N40" i="21"/>
  <c r="S26" i="21"/>
  <c r="G26" i="21" s="1"/>
  <c r="X41" i="21"/>
  <c r="S22" i="21"/>
  <c r="G22" i="21" s="1"/>
  <c r="H22" i="21" s="1"/>
  <c r="S34" i="21"/>
  <c r="U41" i="20"/>
  <c r="Q6" i="20"/>
  <c r="J13" i="20"/>
  <c r="K13" i="20"/>
  <c r="L13" i="20"/>
  <c r="O13" i="20" s="1"/>
  <c r="M13" i="20"/>
  <c r="F14" i="20"/>
  <c r="J14" i="20"/>
  <c r="K14" i="20"/>
  <c r="L14" i="20"/>
  <c r="O14" i="20" s="1"/>
  <c r="M14" i="20"/>
  <c r="F15" i="20"/>
  <c r="J15" i="20"/>
  <c r="K15" i="20"/>
  <c r="L15" i="20"/>
  <c r="O15" i="20" s="1"/>
  <c r="F16" i="20"/>
  <c r="K16" i="20"/>
  <c r="L16" i="20"/>
  <c r="O16" i="20" s="1"/>
  <c r="M16" i="20"/>
  <c r="F17" i="20"/>
  <c r="J17" i="20"/>
  <c r="K17" i="20"/>
  <c r="L17" i="20"/>
  <c r="O17" i="20" s="1"/>
  <c r="M17" i="20"/>
  <c r="F18" i="20"/>
  <c r="J18" i="20"/>
  <c r="K18" i="20"/>
  <c r="L18" i="20"/>
  <c r="O18" i="20" s="1"/>
  <c r="M18" i="20"/>
  <c r="F19" i="20"/>
  <c r="J19" i="20"/>
  <c r="K19" i="20"/>
  <c r="L19" i="20"/>
  <c r="O19" i="20" s="1"/>
  <c r="M19" i="20"/>
  <c r="F20" i="20"/>
  <c r="J20" i="20"/>
  <c r="K20" i="20"/>
  <c r="L20" i="20"/>
  <c r="O20" i="20" s="1"/>
  <c r="M20" i="20"/>
  <c r="F21" i="20"/>
  <c r="J21" i="20"/>
  <c r="K21" i="20"/>
  <c r="L21" i="20"/>
  <c r="O21" i="20" s="1"/>
  <c r="M21" i="20"/>
  <c r="J22" i="20"/>
  <c r="K22" i="20"/>
  <c r="L22" i="20"/>
  <c r="O22" i="20" s="1"/>
  <c r="M22" i="20"/>
  <c r="F23" i="20"/>
  <c r="J23" i="20"/>
  <c r="K23" i="20"/>
  <c r="L23" i="20"/>
  <c r="O23" i="20" s="1"/>
  <c r="M23" i="20"/>
  <c r="F24" i="20"/>
  <c r="J24" i="20"/>
  <c r="K24" i="20"/>
  <c r="L24" i="20"/>
  <c r="O24" i="20" s="1"/>
  <c r="M24" i="20"/>
  <c r="F25" i="20"/>
  <c r="J25" i="20"/>
  <c r="K25" i="20"/>
  <c r="L25" i="20"/>
  <c r="O25" i="20" s="1"/>
  <c r="M25" i="20"/>
  <c r="F26" i="20"/>
  <c r="J26" i="20"/>
  <c r="K26" i="20"/>
  <c r="L26" i="20"/>
  <c r="O26" i="20" s="1"/>
  <c r="M26" i="20"/>
  <c r="J27" i="20"/>
  <c r="K27" i="20"/>
  <c r="L27" i="20"/>
  <c r="O27" i="20" s="1"/>
  <c r="M27" i="20"/>
  <c r="F28" i="20"/>
  <c r="J28" i="20"/>
  <c r="K28" i="20"/>
  <c r="L28" i="20"/>
  <c r="O28" i="20" s="1"/>
  <c r="M28" i="20"/>
  <c r="F29" i="20"/>
  <c r="J29" i="20"/>
  <c r="K29" i="20"/>
  <c r="L29" i="20"/>
  <c r="O29" i="20" s="1"/>
  <c r="M29" i="20"/>
  <c r="F30" i="20"/>
  <c r="J30" i="20"/>
  <c r="K30" i="20"/>
  <c r="L30" i="20"/>
  <c r="O30" i="20" s="1"/>
  <c r="M30" i="20"/>
  <c r="F31" i="20"/>
  <c r="J31" i="20"/>
  <c r="K31" i="20"/>
  <c r="L31" i="20"/>
  <c r="O31" i="20" s="1"/>
  <c r="M31" i="20"/>
  <c r="F32" i="20"/>
  <c r="J32" i="20"/>
  <c r="K32" i="20"/>
  <c r="L32" i="20"/>
  <c r="O32" i="20" s="1"/>
  <c r="M32" i="20"/>
  <c r="F33" i="20"/>
  <c r="J33" i="20"/>
  <c r="K33" i="20"/>
  <c r="L33" i="20"/>
  <c r="O33" i="20" s="1"/>
  <c r="M33" i="20"/>
  <c r="F34" i="20"/>
  <c r="J34" i="20"/>
  <c r="K34" i="20"/>
  <c r="L34" i="20"/>
  <c r="O34" i="20" s="1"/>
  <c r="M34" i="20"/>
  <c r="F35" i="20"/>
  <c r="J35" i="20"/>
  <c r="K35" i="20"/>
  <c r="L35" i="20"/>
  <c r="O35" i="20" s="1"/>
  <c r="M35" i="20"/>
  <c r="F36" i="20"/>
  <c r="J36" i="20"/>
  <c r="K36" i="20"/>
  <c r="L36" i="20"/>
  <c r="O36" i="20" s="1"/>
  <c r="F37" i="20"/>
  <c r="O37" i="20"/>
  <c r="F38" i="20"/>
  <c r="J38" i="20"/>
  <c r="K38" i="20"/>
  <c r="L38" i="20"/>
  <c r="O38" i="20" s="1"/>
  <c r="M38" i="20"/>
  <c r="F39" i="20"/>
  <c r="J39" i="20"/>
  <c r="K39" i="20"/>
  <c r="L39" i="20"/>
  <c r="O39" i="20" s="1"/>
  <c r="M39" i="20"/>
  <c r="F40" i="20"/>
  <c r="J40" i="20"/>
  <c r="K40" i="20"/>
  <c r="L40" i="20"/>
  <c r="O40" i="20" s="1"/>
  <c r="M40" i="20"/>
  <c r="F41" i="20"/>
  <c r="J41" i="20"/>
  <c r="K41" i="20"/>
  <c r="L41" i="20"/>
  <c r="O41" i="20" s="1"/>
  <c r="V41" i="20" s="1"/>
  <c r="M41" i="20"/>
  <c r="G13" i="25" l="1"/>
  <c r="M42" i="20"/>
  <c r="H16" i="26"/>
  <c r="H15" i="26"/>
  <c r="H19" i="26"/>
  <c r="H14" i="26"/>
  <c r="G27" i="23"/>
  <c r="H27" i="23" s="1"/>
  <c r="H28" i="22"/>
  <c r="H29" i="22"/>
  <c r="G27" i="22"/>
  <c r="H26" i="22"/>
  <c r="H29" i="21"/>
  <c r="G27" i="21"/>
  <c r="H39" i="23"/>
  <c r="Q39" i="23" s="1"/>
  <c r="H36" i="23"/>
  <c r="Q36" i="23" s="1"/>
  <c r="H35" i="23"/>
  <c r="G34" i="23"/>
  <c r="H35" i="21"/>
  <c r="G34" i="21"/>
  <c r="G34" i="25"/>
  <c r="H15" i="24"/>
  <c r="Q15" i="24" s="1"/>
  <c r="H16" i="24"/>
  <c r="H17" i="24"/>
  <c r="H18" i="24"/>
  <c r="Q18" i="24" s="1"/>
  <c r="H21" i="24"/>
  <c r="Q21" i="24" s="1"/>
  <c r="H22" i="24"/>
  <c r="Q22" i="24" s="1"/>
  <c r="H23" i="24"/>
  <c r="Q23" i="24" s="1"/>
  <c r="H24" i="24"/>
  <c r="Q24" i="24" s="1"/>
  <c r="H25" i="24"/>
  <c r="Q25" i="24" s="1"/>
  <c r="H26" i="24"/>
  <c r="H27" i="24"/>
  <c r="Q27" i="24" s="1"/>
  <c r="H34" i="24"/>
  <c r="H35" i="24"/>
  <c r="H14" i="24"/>
  <c r="Q14" i="24" s="1"/>
  <c r="H37" i="24"/>
  <c r="H38" i="24"/>
  <c r="H13" i="24"/>
  <c r="H39" i="24"/>
  <c r="H40" i="24"/>
  <c r="H41" i="24"/>
  <c r="H13" i="25"/>
  <c r="H14" i="25"/>
  <c r="G18" i="26"/>
  <c r="H30" i="26"/>
  <c r="G31" i="26"/>
  <c r="G32" i="23"/>
  <c r="H32" i="23" s="1"/>
  <c r="G32" i="25"/>
  <c r="H33" i="25"/>
  <c r="H35" i="22"/>
  <c r="H34" i="22"/>
  <c r="G32" i="22"/>
  <c r="H33" i="22"/>
  <c r="H33" i="21"/>
  <c r="G32" i="21"/>
  <c r="G32" i="24"/>
  <c r="H33" i="24"/>
  <c r="G28" i="26"/>
  <c r="G29" i="25"/>
  <c r="H30" i="25"/>
  <c r="G30" i="22"/>
  <c r="H30" i="22" s="1"/>
  <c r="G30" i="24"/>
  <c r="H31" i="24"/>
  <c r="G31" i="22"/>
  <c r="G17" i="26"/>
  <c r="H22" i="23"/>
  <c r="Q22" i="23" s="1"/>
  <c r="G19" i="23"/>
  <c r="G19" i="24"/>
  <c r="H20" i="24"/>
  <c r="H18" i="22"/>
  <c r="G19" i="22"/>
  <c r="G20" i="23"/>
  <c r="H21" i="23"/>
  <c r="G20" i="22"/>
  <c r="H21" i="22"/>
  <c r="G25" i="23"/>
  <c r="H25" i="23" s="1"/>
  <c r="H26" i="21"/>
  <c r="G25" i="21"/>
  <c r="H37" i="23"/>
  <c r="H38" i="23"/>
  <c r="H21" i="21"/>
  <c r="G20" i="21"/>
  <c r="G20" i="25"/>
  <c r="H26" i="26"/>
  <c r="G27" i="26"/>
  <c r="G28" i="24"/>
  <c r="H29" i="24"/>
  <c r="G28" i="21"/>
  <c r="H27" i="25"/>
  <c r="G28" i="25"/>
  <c r="H37" i="26"/>
  <c r="G35" i="26"/>
  <c r="H34" i="26"/>
  <c r="G36" i="24"/>
  <c r="H37" i="25"/>
  <c r="G36" i="25"/>
  <c r="H37" i="22"/>
  <c r="G36" i="22"/>
  <c r="H41" i="21"/>
  <c r="H38" i="21"/>
  <c r="H39" i="21"/>
  <c r="H40" i="21"/>
  <c r="H37" i="21"/>
  <c r="G36" i="21"/>
  <c r="G36" i="26"/>
  <c r="H41" i="22"/>
  <c r="H40" i="22"/>
  <c r="G39" i="22"/>
  <c r="G15" i="25"/>
  <c r="V19" i="25"/>
  <c r="H18" i="25"/>
  <c r="H19" i="25"/>
  <c r="H23" i="23"/>
  <c r="Q23" i="23" s="1"/>
  <c r="H24" i="23"/>
  <c r="Q24" i="23" s="1"/>
  <c r="H30" i="23"/>
  <c r="H33" i="23"/>
  <c r="H31" i="23"/>
  <c r="Q31" i="23" s="1"/>
  <c r="H29" i="23"/>
  <c r="H28" i="23"/>
  <c r="H26" i="23"/>
  <c r="H41" i="25"/>
  <c r="G13" i="26"/>
  <c r="G21" i="26"/>
  <c r="H20" i="26"/>
  <c r="H22" i="26"/>
  <c r="H23" i="26"/>
  <c r="T23" i="22"/>
  <c r="Q26" i="25"/>
  <c r="Q31" i="25"/>
  <c r="Q35" i="25"/>
  <c r="Q38" i="25"/>
  <c r="Q39" i="25"/>
  <c r="T26" i="22"/>
  <c r="Q13" i="23"/>
  <c r="Q14" i="23"/>
  <c r="Q15" i="23"/>
  <c r="Q17" i="23"/>
  <c r="Q18" i="23"/>
  <c r="Q21" i="25"/>
  <c r="AA28" i="26"/>
  <c r="AA32" i="26"/>
  <c r="Y41" i="26"/>
  <c r="Y40" i="26" s="1"/>
  <c r="AA14" i="26"/>
  <c r="AA28" i="25"/>
  <c r="AA30" i="24"/>
  <c r="AA22" i="21"/>
  <c r="AA21" i="24"/>
  <c r="AA41" i="21"/>
  <c r="T41" i="22"/>
  <c r="T41" i="25"/>
  <c r="AA41" i="24"/>
  <c r="AA27" i="24"/>
  <c r="AA19" i="23"/>
  <c r="S27" i="20"/>
  <c r="G27" i="20" s="1"/>
  <c r="AA31" i="26"/>
  <c r="AA33" i="26"/>
  <c r="AA34" i="22"/>
  <c r="AA39" i="26"/>
  <c r="AA40" i="26"/>
  <c r="AA17" i="26"/>
  <c r="AA18" i="26"/>
  <c r="AA19" i="26"/>
  <c r="AA37" i="26"/>
  <c r="AA35" i="21"/>
  <c r="AA39" i="25"/>
  <c r="AA21" i="26"/>
  <c r="AA25" i="26"/>
  <c r="AA34" i="26"/>
  <c r="AA35" i="26"/>
  <c r="AA29" i="26"/>
  <c r="AA26" i="26"/>
  <c r="AA24" i="26"/>
  <c r="AA36" i="26"/>
  <c r="AA30" i="26"/>
  <c r="AA38" i="26"/>
  <c r="AA27" i="26"/>
  <c r="AA41" i="26"/>
  <c r="AA31" i="25"/>
  <c r="AA35" i="25"/>
  <c r="AA38" i="25"/>
  <c r="AA29" i="25"/>
  <c r="AA27" i="25"/>
  <c r="AA32" i="25"/>
  <c r="AA37" i="25"/>
  <c r="AA25" i="25"/>
  <c r="AA26" i="25"/>
  <c r="AA36" i="25"/>
  <c r="AA34" i="25"/>
  <c r="AA30" i="25"/>
  <c r="AA24" i="25"/>
  <c r="T40" i="25"/>
  <c r="AA40" i="25"/>
  <c r="AA33" i="25"/>
  <c r="AA41" i="25"/>
  <c r="AA38" i="24"/>
  <c r="AA40" i="24"/>
  <c r="AA35" i="24"/>
  <c r="AA32" i="24"/>
  <c r="AA28" i="24"/>
  <c r="AA24" i="24"/>
  <c r="AA37" i="24"/>
  <c r="AA36" i="24"/>
  <c r="AA39" i="24"/>
  <c r="AA33" i="24"/>
  <c r="AA31" i="24"/>
  <c r="AA29" i="24"/>
  <c r="AA25" i="24"/>
  <c r="AA34" i="24"/>
  <c r="AA26" i="24"/>
  <c r="AA35" i="23"/>
  <c r="AA38" i="23"/>
  <c r="AA30" i="23"/>
  <c r="AA24" i="23"/>
  <c r="AA25" i="23"/>
  <c r="AA34" i="23"/>
  <c r="AA31" i="23"/>
  <c r="AA39" i="23"/>
  <c r="AA27" i="23"/>
  <c r="AA37" i="23"/>
  <c r="AA29" i="23"/>
  <c r="AA40" i="23"/>
  <c r="AA32" i="23"/>
  <c r="AA33" i="23"/>
  <c r="AA28" i="23"/>
  <c r="AA26" i="23"/>
  <c r="AA36" i="23"/>
  <c r="AA41" i="23"/>
  <c r="AA30" i="22"/>
  <c r="AA27" i="22"/>
  <c r="AA32" i="22"/>
  <c r="AA33" i="22"/>
  <c r="AA31" i="22"/>
  <c r="AA28" i="22"/>
  <c r="AA24" i="22"/>
  <c r="AA35" i="22"/>
  <c r="AA26" i="22"/>
  <c r="AA25" i="22"/>
  <c r="AA39" i="22"/>
  <c r="AA37" i="22"/>
  <c r="AA29" i="22"/>
  <c r="AA36" i="22"/>
  <c r="AA40" i="22"/>
  <c r="AA41" i="22"/>
  <c r="AA34" i="21"/>
  <c r="AA30" i="21"/>
  <c r="AA32" i="21"/>
  <c r="AA28" i="21"/>
  <c r="AA24" i="21"/>
  <c r="AA27" i="21"/>
  <c r="AA36" i="21"/>
  <c r="AA26" i="21"/>
  <c r="AA39" i="21"/>
  <c r="AA38" i="21"/>
  <c r="AA31" i="21"/>
  <c r="AA29" i="21"/>
  <c r="AA25" i="21"/>
  <c r="AA37" i="21"/>
  <c r="AA40" i="21"/>
  <c r="AA33" i="21"/>
  <c r="AA13" i="26"/>
  <c r="AA14" i="25"/>
  <c r="AA13" i="25"/>
  <c r="AA13" i="24"/>
  <c r="AA14" i="24"/>
  <c r="AA13" i="23"/>
  <c r="AA14" i="23"/>
  <c r="AA15" i="26"/>
  <c r="AA15" i="25"/>
  <c r="AA15" i="24"/>
  <c r="AA15" i="23"/>
  <c r="AA15" i="22"/>
  <c r="AA16" i="26"/>
  <c r="AA14" i="21"/>
  <c r="AA13" i="21"/>
  <c r="AA16" i="24"/>
  <c r="AA17" i="24"/>
  <c r="AA18" i="24"/>
  <c r="AA16" i="23"/>
  <c r="AA17" i="23"/>
  <c r="AA18" i="23"/>
  <c r="AA16" i="22"/>
  <c r="AA17" i="22"/>
  <c r="AA18" i="22"/>
  <c r="AA15" i="21"/>
  <c r="AA16" i="21"/>
  <c r="AA17" i="21"/>
  <c r="AA18" i="21"/>
  <c r="AA19" i="24"/>
  <c r="AA19" i="22"/>
  <c r="AA19" i="21"/>
  <c r="AA20" i="26"/>
  <c r="AA20" i="25"/>
  <c r="AA20" i="24"/>
  <c r="AA20" i="23"/>
  <c r="AA20" i="22"/>
  <c r="AA20" i="21"/>
  <c r="AA21" i="25"/>
  <c r="AA21" i="23"/>
  <c r="AA21" i="22"/>
  <c r="AA21" i="21"/>
  <c r="AA23" i="26"/>
  <c r="AA22" i="26"/>
  <c r="AA23" i="25"/>
  <c r="AA22" i="25"/>
  <c r="AA23" i="24"/>
  <c r="AA22" i="24"/>
  <c r="AA22" i="23"/>
  <c r="AA23" i="23"/>
  <c r="AA23" i="22"/>
  <c r="AA22" i="22"/>
  <c r="AA23" i="21"/>
  <c r="S20" i="20"/>
  <c r="T39" i="23"/>
  <c r="P40" i="26"/>
  <c r="T40" i="22"/>
  <c r="T40" i="21"/>
  <c r="T40" i="26"/>
  <c r="Y41" i="24"/>
  <c r="T41" i="24"/>
  <c r="T40" i="23"/>
  <c r="T41" i="23"/>
  <c r="Y41" i="23"/>
  <c r="Y40" i="23" s="1"/>
  <c r="T41" i="26"/>
  <c r="T40" i="24"/>
  <c r="T38" i="23"/>
  <c r="S35" i="20"/>
  <c r="G35" i="20" s="1"/>
  <c r="S37" i="20"/>
  <c r="S41" i="20"/>
  <c r="G41" i="20" s="1"/>
  <c r="H41" i="20" s="1"/>
  <c r="S14" i="20"/>
  <c r="G14" i="20" s="1"/>
  <c r="H14" i="20" s="1"/>
  <c r="S16" i="20"/>
  <c r="G16" i="20" s="1"/>
  <c r="H16" i="20" s="1"/>
  <c r="S19" i="20"/>
  <c r="G19" i="20" s="1"/>
  <c r="H19" i="20" s="1"/>
  <c r="S21" i="20"/>
  <c r="G21" i="20" s="1"/>
  <c r="S22" i="20"/>
  <c r="G22" i="20" s="1"/>
  <c r="S23" i="20"/>
  <c r="G23" i="20" s="1"/>
  <c r="S25" i="20"/>
  <c r="S28" i="20"/>
  <c r="S31" i="20"/>
  <c r="S32" i="20"/>
  <c r="Y41" i="25"/>
  <c r="Y41" i="22"/>
  <c r="Y40" i="22" s="1"/>
  <c r="Y41" i="21"/>
  <c r="Y40" i="21" s="1"/>
  <c r="S40" i="20"/>
  <c r="G40" i="20" s="1"/>
  <c r="H40" i="20" s="1"/>
  <c r="V40" i="20"/>
  <c r="V39" i="20" s="1"/>
  <c r="V38" i="20" s="1"/>
  <c r="V37" i="20" s="1"/>
  <c r="V36" i="20" s="1"/>
  <c r="V35" i="20" s="1"/>
  <c r="V34" i="20" s="1"/>
  <c r="V33" i="20" s="1"/>
  <c r="V32" i="20" s="1"/>
  <c r="V31" i="20" s="1"/>
  <c r="V30" i="20" s="1"/>
  <c r="V29" i="20" s="1"/>
  <c r="V28" i="20" s="1"/>
  <c r="V27" i="20" s="1"/>
  <c r="V26" i="20" s="1"/>
  <c r="V25" i="20" s="1"/>
  <c r="V24" i="20" s="1"/>
  <c r="V23" i="20" s="1"/>
  <c r="V22" i="20" s="1"/>
  <c r="V21" i="20" s="1"/>
  <c r="V20" i="20" s="1"/>
  <c r="V19" i="20" s="1"/>
  <c r="V18" i="20" s="1"/>
  <c r="V17" i="20" s="1"/>
  <c r="V16" i="20" s="1"/>
  <c r="V15" i="20" s="1"/>
  <c r="V14" i="20" s="1"/>
  <c r="V13" i="20" s="1"/>
  <c r="S36" i="20"/>
  <c r="G36" i="20" s="1"/>
  <c r="S34" i="20"/>
  <c r="N39" i="26"/>
  <c r="U39" i="26" s="1"/>
  <c r="W40" i="26"/>
  <c r="X40" i="26"/>
  <c r="T39" i="26"/>
  <c r="T39" i="25"/>
  <c r="X39" i="25"/>
  <c r="W41" i="25"/>
  <c r="U40" i="25"/>
  <c r="P40" i="25"/>
  <c r="N39" i="25"/>
  <c r="N39" i="24"/>
  <c r="P40" i="24"/>
  <c r="T39" i="24"/>
  <c r="U40" i="24"/>
  <c r="W41" i="24"/>
  <c r="X40" i="24"/>
  <c r="T37" i="23"/>
  <c r="X38" i="23"/>
  <c r="P40" i="23"/>
  <c r="N39" i="23"/>
  <c r="T36" i="23"/>
  <c r="W41" i="23"/>
  <c r="U40" i="23"/>
  <c r="U40" i="22"/>
  <c r="W41" i="22"/>
  <c r="X40" i="22"/>
  <c r="N39" i="22"/>
  <c r="P40" i="22"/>
  <c r="T39" i="22"/>
  <c r="T41" i="21"/>
  <c r="N39" i="21"/>
  <c r="P40" i="21"/>
  <c r="U40" i="21"/>
  <c r="W41" i="21"/>
  <c r="V16" i="21"/>
  <c r="V15" i="21" s="1"/>
  <c r="V14" i="21" s="1"/>
  <c r="V13" i="21" s="1"/>
  <c r="T39" i="21"/>
  <c r="X40" i="21"/>
  <c r="N40" i="20"/>
  <c r="N39" i="20" s="1"/>
  <c r="N38" i="20" s="1"/>
  <c r="P38" i="20" s="1"/>
  <c r="W41" i="20"/>
  <c r="X41" i="20"/>
  <c r="S24" i="20"/>
  <c r="G24" i="20" s="1"/>
  <c r="H24" i="20" s="1"/>
  <c r="S18" i="20"/>
  <c r="G18" i="20" s="1"/>
  <c r="H18" i="20" s="1"/>
  <c r="S15" i="20"/>
  <c r="G15" i="20" s="1"/>
  <c r="H15" i="20" s="1"/>
  <c r="S39" i="20"/>
  <c r="G39" i="20" s="1"/>
  <c r="H39" i="20" s="1"/>
  <c r="S38" i="20"/>
  <c r="G38" i="20" s="1"/>
  <c r="P41" i="20"/>
  <c r="S30" i="20"/>
  <c r="G30" i="20" s="1"/>
  <c r="S26" i="20"/>
  <c r="G26" i="20" s="1"/>
  <c r="S33" i="20"/>
  <c r="G33" i="20" s="1"/>
  <c r="S17" i="20"/>
  <c r="G17" i="20" s="1"/>
  <c r="H17" i="20" s="1"/>
  <c r="S29" i="20"/>
  <c r="G29" i="20" s="1"/>
  <c r="S13" i="20"/>
  <c r="G13" i="20" s="1"/>
  <c r="H15" i="25" l="1"/>
  <c r="H27" i="22"/>
  <c r="Q29" i="21"/>
  <c r="H27" i="21"/>
  <c r="Q27" i="21" s="1"/>
  <c r="H34" i="23"/>
  <c r="Q38" i="23"/>
  <c r="Q37" i="23"/>
  <c r="Q35" i="23"/>
  <c r="H34" i="21"/>
  <c r="H38" i="20"/>
  <c r="Q38" i="20" s="1"/>
  <c r="H35" i="20"/>
  <c r="Q35" i="20" s="1"/>
  <c r="G34" i="20"/>
  <c r="H34" i="25"/>
  <c r="Q34" i="25" s="1"/>
  <c r="Q38" i="24"/>
  <c r="Q35" i="24"/>
  <c r="Q34" i="24"/>
  <c r="Q26" i="24"/>
  <c r="Q16" i="24"/>
  <c r="Q17" i="24"/>
  <c r="Q29" i="24"/>
  <c r="Q39" i="24"/>
  <c r="H17" i="26"/>
  <c r="H18" i="26"/>
  <c r="H31" i="26"/>
  <c r="Q33" i="23"/>
  <c r="Q32" i="23"/>
  <c r="H32" i="25"/>
  <c r="Q32" i="25" s="1"/>
  <c r="H32" i="22"/>
  <c r="H32" i="21"/>
  <c r="G32" i="20"/>
  <c r="H33" i="20"/>
  <c r="Q33" i="24"/>
  <c r="H32" i="24"/>
  <c r="H28" i="26"/>
  <c r="H29" i="25"/>
  <c r="Q31" i="24"/>
  <c r="H30" i="24"/>
  <c r="H31" i="22"/>
  <c r="G31" i="20"/>
  <c r="H31" i="20" s="1"/>
  <c r="H13" i="20"/>
  <c r="H19" i="23"/>
  <c r="Q20" i="24"/>
  <c r="H19" i="24"/>
  <c r="H19" i="22"/>
  <c r="H20" i="23"/>
  <c r="H20" i="22"/>
  <c r="H22" i="20"/>
  <c r="H23" i="20"/>
  <c r="Q23" i="20" s="1"/>
  <c r="H27" i="20"/>
  <c r="H26" i="20"/>
  <c r="G25" i="20"/>
  <c r="H25" i="21"/>
  <c r="Q25" i="21" s="1"/>
  <c r="H21" i="20"/>
  <c r="G20" i="20"/>
  <c r="H20" i="21"/>
  <c r="H20" i="25"/>
  <c r="H27" i="26"/>
  <c r="H30" i="20"/>
  <c r="H29" i="20"/>
  <c r="G28" i="20"/>
  <c r="H28" i="24"/>
  <c r="H28" i="21"/>
  <c r="H28" i="25"/>
  <c r="H36" i="26"/>
  <c r="H35" i="26"/>
  <c r="Q37" i="24"/>
  <c r="H36" i="24"/>
  <c r="H36" i="25"/>
  <c r="Q36" i="25" s="1"/>
  <c r="H36" i="22"/>
  <c r="H36" i="21"/>
  <c r="H39" i="22"/>
  <c r="V18" i="25"/>
  <c r="Q16" i="25"/>
  <c r="Q19" i="25"/>
  <c r="Q18" i="25"/>
  <c r="Q25" i="23"/>
  <c r="Q26" i="23"/>
  <c r="Q24" i="25"/>
  <c r="Q37" i="25"/>
  <c r="Q33" i="25"/>
  <c r="Q25" i="25"/>
  <c r="G37" i="20"/>
  <c r="H36" i="20"/>
  <c r="H13" i="26"/>
  <c r="H21" i="26"/>
  <c r="Q17" i="20"/>
  <c r="Q18" i="20"/>
  <c r="Q19" i="20"/>
  <c r="Q14" i="20"/>
  <c r="Q15" i="20"/>
  <c r="Q16" i="20"/>
  <c r="Q16" i="23"/>
  <c r="Q14" i="25"/>
  <c r="Q13" i="25"/>
  <c r="Q24" i="20"/>
  <c r="Q39" i="20"/>
  <c r="Q21" i="23"/>
  <c r="Z41" i="26"/>
  <c r="AA25" i="20"/>
  <c r="AA41" i="20"/>
  <c r="AA30" i="20"/>
  <c r="AA32" i="20"/>
  <c r="AA20" i="20"/>
  <c r="AA31" i="20"/>
  <c r="Y39" i="23"/>
  <c r="Y38" i="23" s="1"/>
  <c r="Y39" i="21"/>
  <c r="Y38" i="21" s="1"/>
  <c r="T28" i="20"/>
  <c r="AA36" i="20"/>
  <c r="Q37" i="21"/>
  <c r="Q26" i="21"/>
  <c r="AA33" i="20"/>
  <c r="AA34" i="20"/>
  <c r="Q18" i="21"/>
  <c r="Q22" i="21"/>
  <c r="Q35" i="21"/>
  <c r="AA35" i="20"/>
  <c r="AA37" i="20"/>
  <c r="AA38" i="20"/>
  <c r="Y39" i="22"/>
  <c r="AA39" i="20"/>
  <c r="Q14" i="21"/>
  <c r="AA14" i="20"/>
  <c r="Q41" i="23"/>
  <c r="AA24" i="20"/>
  <c r="AA28" i="20"/>
  <c r="AA27" i="20"/>
  <c r="AA26" i="20"/>
  <c r="AA29" i="20"/>
  <c r="AA40" i="20"/>
  <c r="AA13" i="20"/>
  <c r="AA15" i="20"/>
  <c r="AA16" i="20"/>
  <c r="AA17" i="20"/>
  <c r="AA18" i="20"/>
  <c r="AA19" i="20"/>
  <c r="AA21" i="20"/>
  <c r="AA23" i="20"/>
  <c r="AA22" i="20"/>
  <c r="Y39" i="26"/>
  <c r="Y40" i="24"/>
  <c r="Z41" i="22"/>
  <c r="T41" i="20"/>
  <c r="Y41" i="20"/>
  <c r="Z41" i="24"/>
  <c r="Z41" i="23"/>
  <c r="Z40" i="23"/>
  <c r="N38" i="26"/>
  <c r="U38" i="26" s="1"/>
  <c r="P39" i="26"/>
  <c r="P40" i="20"/>
  <c r="U40" i="20"/>
  <c r="U39" i="20" s="1"/>
  <c r="Y40" i="25"/>
  <c r="Z41" i="25"/>
  <c r="Z41" i="21"/>
  <c r="W39" i="26"/>
  <c r="T38" i="26"/>
  <c r="Z40" i="26"/>
  <c r="X39" i="26"/>
  <c r="N38" i="25"/>
  <c r="P39" i="25"/>
  <c r="X38" i="25"/>
  <c r="T38" i="25"/>
  <c r="U39" i="25"/>
  <c r="W40" i="25"/>
  <c r="U39" i="24"/>
  <c r="W40" i="24"/>
  <c r="X39" i="24"/>
  <c r="T38" i="24"/>
  <c r="N38" i="24"/>
  <c r="P39" i="24"/>
  <c r="N38" i="23"/>
  <c r="P39" i="23"/>
  <c r="T35" i="23"/>
  <c r="U39" i="23"/>
  <c r="W40" i="23"/>
  <c r="X37" i="23"/>
  <c r="Z40" i="22"/>
  <c r="X39" i="22"/>
  <c r="P39" i="22"/>
  <c r="N38" i="22"/>
  <c r="U39" i="22"/>
  <c r="W40" i="22"/>
  <c r="Z40" i="21"/>
  <c r="X39" i="21"/>
  <c r="U39" i="21"/>
  <c r="W40" i="21"/>
  <c r="T38" i="21"/>
  <c r="N38" i="21"/>
  <c r="P39" i="21"/>
  <c r="N37" i="20"/>
  <c r="N36" i="20" s="1"/>
  <c r="P39" i="20"/>
  <c r="T40" i="20"/>
  <c r="X40" i="20"/>
  <c r="Q34" i="23" l="1"/>
  <c r="Q15" i="25"/>
  <c r="Q23" i="25"/>
  <c r="H34" i="20"/>
  <c r="Q33" i="20"/>
  <c r="H32" i="20"/>
  <c r="Q32" i="24"/>
  <c r="Q30" i="24"/>
  <c r="Q19" i="23"/>
  <c r="Q19" i="24"/>
  <c r="Q20" i="23"/>
  <c r="Q21" i="20"/>
  <c r="H25" i="20"/>
  <c r="Q26" i="20"/>
  <c r="H20" i="20"/>
  <c r="Q20" i="25"/>
  <c r="Q31" i="20"/>
  <c r="H28" i="20"/>
  <c r="Q28" i="24"/>
  <c r="Q28" i="21"/>
  <c r="Q36" i="24"/>
  <c r="V17" i="25"/>
  <c r="Q22" i="25"/>
  <c r="Q36" i="20"/>
  <c r="H37" i="20"/>
  <c r="Q13" i="24"/>
  <c r="Q27" i="25"/>
  <c r="Q28" i="25"/>
  <c r="Q30" i="25"/>
  <c r="Q29" i="25"/>
  <c r="Q29" i="23"/>
  <c r="Q30" i="23"/>
  <c r="Q28" i="23"/>
  <c r="Q27" i="23"/>
  <c r="Q22" i="20"/>
  <c r="Y37" i="23"/>
  <c r="Y36" i="23" s="1"/>
  <c r="Q30" i="21"/>
  <c r="Z39" i="23"/>
  <c r="Q38" i="21"/>
  <c r="Q40" i="20"/>
  <c r="Q36" i="21"/>
  <c r="Q31" i="21"/>
  <c r="Q32" i="21"/>
  <c r="Q15" i="21"/>
  <c r="Q16" i="21"/>
  <c r="Q17" i="21"/>
  <c r="Q19" i="21"/>
  <c r="Q21" i="21"/>
  <c r="Q20" i="21"/>
  <c r="Q33" i="21"/>
  <c r="Q34" i="21"/>
  <c r="Y37" i="21"/>
  <c r="Z38" i="23"/>
  <c r="Q13" i="21"/>
  <c r="Q33" i="26"/>
  <c r="Q34" i="26"/>
  <c r="Q28" i="26"/>
  <c r="Q25" i="26"/>
  <c r="Q23" i="26"/>
  <c r="Q35" i="26"/>
  <c r="Q29" i="26"/>
  <c r="Q37" i="26"/>
  <c r="Q26" i="26"/>
  <c r="Q14" i="26"/>
  <c r="Q15" i="26"/>
  <c r="Q17" i="26"/>
  <c r="Q36" i="26"/>
  <c r="Q20" i="26"/>
  <c r="Q39" i="26"/>
  <c r="Q24" i="26"/>
  <c r="Q18" i="26"/>
  <c r="Q31" i="26"/>
  <c r="Q19" i="26"/>
  <c r="Q22" i="26"/>
  <c r="Q21" i="26"/>
  <c r="Q27" i="26"/>
  <c r="Q38" i="26"/>
  <c r="Q13" i="26"/>
  <c r="Q30" i="26"/>
  <c r="Q32" i="26"/>
  <c r="Q16" i="26"/>
  <c r="Q40" i="26"/>
  <c r="Q41" i="25"/>
  <c r="Q40" i="25"/>
  <c r="Q41" i="24"/>
  <c r="Q40" i="24"/>
  <c r="Q40" i="23"/>
  <c r="Q15" i="22"/>
  <c r="Q16" i="22"/>
  <c r="Q17" i="22"/>
  <c r="Q33" i="22"/>
  <c r="Q29" i="22"/>
  <c r="Q26" i="22"/>
  <c r="Q31" i="22"/>
  <c r="Q32" i="22"/>
  <c r="Q30" i="22"/>
  <c r="Q27" i="22"/>
  <c r="Q23" i="22"/>
  <c r="Q34" i="22"/>
  <c r="Q37" i="22"/>
  <c r="Q36" i="22"/>
  <c r="Q28" i="22"/>
  <c r="Q35" i="22"/>
  <c r="Q39" i="22"/>
  <c r="Q18" i="22"/>
  <c r="Q19" i="22"/>
  <c r="Q20" i="22"/>
  <c r="Q21" i="22"/>
  <c r="Q41" i="22"/>
  <c r="Q40" i="22"/>
  <c r="Q39" i="21"/>
  <c r="Q40" i="21"/>
  <c r="Q41" i="21"/>
  <c r="Y38" i="26"/>
  <c r="Y39" i="24"/>
  <c r="Z40" i="24"/>
  <c r="W40" i="20"/>
  <c r="Z41" i="20"/>
  <c r="Q41" i="26"/>
  <c r="N37" i="26"/>
  <c r="N36" i="26" s="1"/>
  <c r="Y40" i="20"/>
  <c r="P38" i="26"/>
  <c r="P37" i="20"/>
  <c r="Y39" i="25"/>
  <c r="Z40" i="25"/>
  <c r="W38" i="26"/>
  <c r="T37" i="26"/>
  <c r="Z39" i="26"/>
  <c r="X38" i="26"/>
  <c r="W39" i="25"/>
  <c r="U38" i="25"/>
  <c r="X37" i="25"/>
  <c r="T37" i="25"/>
  <c r="N37" i="25"/>
  <c r="P38" i="25"/>
  <c r="T37" i="24"/>
  <c r="X38" i="24"/>
  <c r="P38" i="24"/>
  <c r="N37" i="24"/>
  <c r="W39" i="24"/>
  <c r="U38" i="24"/>
  <c r="X36" i="23"/>
  <c r="T34" i="23"/>
  <c r="W39" i="23"/>
  <c r="U38" i="23"/>
  <c r="P38" i="23"/>
  <c r="N37" i="23"/>
  <c r="Z39" i="22"/>
  <c r="X38" i="22"/>
  <c r="U38" i="22"/>
  <c r="W39" i="22"/>
  <c r="N37" i="22"/>
  <c r="P38" i="22"/>
  <c r="T37" i="22"/>
  <c r="N37" i="21"/>
  <c r="P38" i="21"/>
  <c r="U38" i="21"/>
  <c r="W39" i="21"/>
  <c r="T37" i="21"/>
  <c r="Z39" i="21"/>
  <c r="X38" i="21"/>
  <c r="N35" i="20"/>
  <c r="P36" i="20"/>
  <c r="T39" i="20"/>
  <c r="W39" i="20"/>
  <c r="U38" i="20"/>
  <c r="X39" i="20"/>
  <c r="Q34" i="20" l="1"/>
  <c r="Q32" i="20"/>
  <c r="Q25" i="20"/>
  <c r="Q20" i="20"/>
  <c r="V16" i="25"/>
  <c r="Q37" i="20"/>
  <c r="Q13" i="20"/>
  <c r="Q29" i="20"/>
  <c r="Q30" i="20"/>
  <c r="Q27" i="20"/>
  <c r="Q28" i="20"/>
  <c r="Z37" i="23"/>
  <c r="Y39" i="20"/>
  <c r="Z39" i="20" s="1"/>
  <c r="Y35" i="23"/>
  <c r="Y34" i="23" s="1"/>
  <c r="Y36" i="21"/>
  <c r="Y37" i="26"/>
  <c r="Y38" i="24"/>
  <c r="Z39" i="24"/>
  <c r="P37" i="26"/>
  <c r="Q41" i="20"/>
  <c r="U37" i="26"/>
  <c r="U36" i="26" s="1"/>
  <c r="Z40" i="20"/>
  <c r="Y38" i="25"/>
  <c r="Z39" i="25"/>
  <c r="X37" i="26"/>
  <c r="Z38" i="26"/>
  <c r="N35" i="26"/>
  <c r="P36" i="26"/>
  <c r="T36" i="26"/>
  <c r="T36" i="25"/>
  <c r="W38" i="25"/>
  <c r="U37" i="25"/>
  <c r="X36" i="25"/>
  <c r="N36" i="25"/>
  <c r="P37" i="25"/>
  <c r="W38" i="24"/>
  <c r="U37" i="24"/>
  <c r="X37" i="24"/>
  <c r="P37" i="24"/>
  <c r="N36" i="24"/>
  <c r="T36" i="24"/>
  <c r="N36" i="23"/>
  <c r="P37" i="23"/>
  <c r="T33" i="23"/>
  <c r="U37" i="23"/>
  <c r="W38" i="23"/>
  <c r="Z36" i="23"/>
  <c r="X35" i="23"/>
  <c r="T36" i="22"/>
  <c r="W38" i="22"/>
  <c r="U37" i="22"/>
  <c r="X37" i="22"/>
  <c r="P37" i="22"/>
  <c r="N36" i="22"/>
  <c r="X37" i="21"/>
  <c r="Z38" i="21"/>
  <c r="W38" i="21"/>
  <c r="U37" i="21"/>
  <c r="T36" i="21"/>
  <c r="P37" i="21"/>
  <c r="N36" i="21"/>
  <c r="X38" i="20"/>
  <c r="T38" i="20"/>
  <c r="W38" i="20"/>
  <c r="U37" i="20"/>
  <c r="N34" i="20"/>
  <c r="P35" i="20"/>
  <c r="Y33" i="23" l="1"/>
  <c r="Y32" i="23" s="1"/>
  <c r="Y36" i="26"/>
  <c r="V15" i="25"/>
  <c r="V14" i="25" s="1"/>
  <c r="V13" i="25" s="1"/>
  <c r="Y37" i="24"/>
  <c r="Z37" i="24" s="1"/>
  <c r="Y38" i="20"/>
  <c r="Y35" i="21"/>
  <c r="Y34" i="21" s="1"/>
  <c r="Z38" i="24"/>
  <c r="W37" i="26"/>
  <c r="Y37" i="25"/>
  <c r="Z38" i="25"/>
  <c r="T35" i="26"/>
  <c r="W36" i="26"/>
  <c r="U35" i="26"/>
  <c r="N34" i="26"/>
  <c r="P35" i="26"/>
  <c r="Z37" i="26"/>
  <c r="X36" i="26"/>
  <c r="P36" i="25"/>
  <c r="N35" i="25"/>
  <c r="T35" i="25"/>
  <c r="X35" i="25"/>
  <c r="W37" i="25"/>
  <c r="U36" i="25"/>
  <c r="T35" i="24"/>
  <c r="X36" i="24"/>
  <c r="N35" i="24"/>
  <c r="P36" i="24"/>
  <c r="U36" i="24"/>
  <c r="W37" i="24"/>
  <c r="X34" i="23"/>
  <c r="Z35" i="23"/>
  <c r="T32" i="23"/>
  <c r="W37" i="23"/>
  <c r="U36" i="23"/>
  <c r="P36" i="23"/>
  <c r="N35" i="23"/>
  <c r="N35" i="22"/>
  <c r="P36" i="22"/>
  <c r="U36" i="22"/>
  <c r="W37" i="22"/>
  <c r="X36" i="22"/>
  <c r="T35" i="22"/>
  <c r="N35" i="21"/>
  <c r="P36" i="21"/>
  <c r="U36" i="21"/>
  <c r="W37" i="21"/>
  <c r="T35" i="21"/>
  <c r="X36" i="21"/>
  <c r="Z37" i="21"/>
  <c r="T37" i="20"/>
  <c r="N33" i="20"/>
  <c r="P34" i="20"/>
  <c r="U36" i="20"/>
  <c r="W37" i="20"/>
  <c r="X37" i="20"/>
  <c r="Y33" i="21" l="1"/>
  <c r="Y32" i="21" s="1"/>
  <c r="Y31" i="23"/>
  <c r="Y30" i="23" s="1"/>
  <c r="Y29" i="23" s="1"/>
  <c r="Y28" i="23" s="1"/>
  <c r="Y35" i="26"/>
  <c r="Y34" i="26" s="1"/>
  <c r="Y33" i="26" s="1"/>
  <c r="Y36" i="24"/>
  <c r="Y37" i="20"/>
  <c r="Z38" i="20"/>
  <c r="Y36" i="25"/>
  <c r="Z37" i="25"/>
  <c r="T34" i="26"/>
  <c r="P34" i="26"/>
  <c r="N33" i="26"/>
  <c r="X35" i="26"/>
  <c r="Z36" i="26"/>
  <c r="U34" i="26"/>
  <c r="W35" i="26"/>
  <c r="N34" i="25"/>
  <c r="P35" i="25"/>
  <c r="X34" i="25"/>
  <c r="U35" i="25"/>
  <c r="W36" i="25"/>
  <c r="T34" i="25"/>
  <c r="U35" i="24"/>
  <c r="W36" i="24"/>
  <c r="X35" i="24"/>
  <c r="N34" i="24"/>
  <c r="P35" i="24"/>
  <c r="T34" i="24"/>
  <c r="N34" i="23"/>
  <c r="P35" i="23"/>
  <c r="U35" i="23"/>
  <c r="W36" i="23"/>
  <c r="T31" i="23"/>
  <c r="Z34" i="23"/>
  <c r="X33" i="23"/>
  <c r="T34" i="22"/>
  <c r="U35" i="22"/>
  <c r="W36" i="22"/>
  <c r="X35" i="22"/>
  <c r="P35" i="22"/>
  <c r="N34" i="22"/>
  <c r="X35" i="21"/>
  <c r="Z36" i="21"/>
  <c r="U35" i="21"/>
  <c r="W36" i="21"/>
  <c r="T34" i="21"/>
  <c r="N34" i="21"/>
  <c r="P35" i="21"/>
  <c r="X36" i="20"/>
  <c r="N32" i="20"/>
  <c r="P33" i="20"/>
  <c r="T36" i="20"/>
  <c r="W36" i="20"/>
  <c r="U35" i="20"/>
  <c r="Y31" i="21" l="1"/>
  <c r="Y30" i="21" s="1"/>
  <c r="Y29" i="21" s="1"/>
  <c r="Y28" i="21" s="1"/>
  <c r="Y35" i="24"/>
  <c r="Y34" i="24" s="1"/>
  <c r="Y33" i="24" s="1"/>
  <c r="Y32" i="24" s="1"/>
  <c r="Y36" i="20"/>
  <c r="Z36" i="20" s="1"/>
  <c r="Y27" i="23"/>
  <c r="Z36" i="24"/>
  <c r="Z37" i="20"/>
  <c r="Y32" i="26"/>
  <c r="Y35" i="25"/>
  <c r="Z36" i="25"/>
  <c r="W34" i="26"/>
  <c r="U33" i="26"/>
  <c r="T33" i="26"/>
  <c r="Z35" i="26"/>
  <c r="X34" i="26"/>
  <c r="P33" i="26"/>
  <c r="N32" i="26"/>
  <c r="U34" i="25"/>
  <c r="W35" i="25"/>
  <c r="P34" i="25"/>
  <c r="N33" i="25"/>
  <c r="T33" i="25"/>
  <c r="X33" i="25"/>
  <c r="T33" i="24"/>
  <c r="X34" i="24"/>
  <c r="N33" i="24"/>
  <c r="P34" i="24"/>
  <c r="U34" i="24"/>
  <c r="W35" i="24"/>
  <c r="W35" i="23"/>
  <c r="U34" i="23"/>
  <c r="X32" i="23"/>
  <c r="Z33" i="23"/>
  <c r="T30" i="23"/>
  <c r="P34" i="23"/>
  <c r="N33" i="23"/>
  <c r="N33" i="22"/>
  <c r="P34" i="22"/>
  <c r="W35" i="22"/>
  <c r="U34" i="22"/>
  <c r="X34" i="22"/>
  <c r="T33" i="22"/>
  <c r="P34" i="21"/>
  <c r="N33" i="21"/>
  <c r="U34" i="21"/>
  <c r="W35" i="21"/>
  <c r="T33" i="21"/>
  <c r="Z35" i="21"/>
  <c r="X34" i="21"/>
  <c r="U34" i="20"/>
  <c r="W35" i="20"/>
  <c r="P32" i="20"/>
  <c r="N31" i="20"/>
  <c r="X35" i="20"/>
  <c r="T35" i="20"/>
  <c r="Y26" i="23" l="1"/>
  <c r="Y25" i="23" s="1"/>
  <c r="Y24" i="23" s="1"/>
  <c r="Y23" i="23" s="1"/>
  <c r="Y22" i="23" s="1"/>
  <c r="Y21" i="23" s="1"/>
  <c r="Y20" i="23" s="1"/>
  <c r="Y31" i="26"/>
  <c r="Y30" i="26" s="1"/>
  <c r="Y29" i="26" s="1"/>
  <c r="Y31" i="24"/>
  <c r="Y30" i="24" s="1"/>
  <c r="Y27" i="21"/>
  <c r="Z35" i="24"/>
  <c r="Y35" i="20"/>
  <c r="Y34" i="20" s="1"/>
  <c r="Y34" i="25"/>
  <c r="Z35" i="25"/>
  <c r="X33" i="26"/>
  <c r="Z34" i="26"/>
  <c r="U32" i="26"/>
  <c r="W33" i="26"/>
  <c r="N31" i="26"/>
  <c r="P32" i="26"/>
  <c r="T32" i="26"/>
  <c r="T32" i="25"/>
  <c r="U33" i="25"/>
  <c r="W34" i="25"/>
  <c r="X32" i="25"/>
  <c r="P33" i="25"/>
  <c r="N32" i="25"/>
  <c r="T32" i="24"/>
  <c r="X33" i="24"/>
  <c r="Z34" i="24"/>
  <c r="W34" i="24"/>
  <c r="U33" i="24"/>
  <c r="P33" i="24"/>
  <c r="N32" i="24"/>
  <c r="N31" i="24" s="1"/>
  <c r="Z32" i="23"/>
  <c r="X31" i="23"/>
  <c r="T29" i="23"/>
  <c r="U33" i="23"/>
  <c r="W34" i="23"/>
  <c r="N32" i="23"/>
  <c r="P33" i="23"/>
  <c r="T32" i="22"/>
  <c r="W34" i="22"/>
  <c r="U33" i="22"/>
  <c r="X33" i="22"/>
  <c r="P33" i="22"/>
  <c r="N32" i="22"/>
  <c r="X33" i="21"/>
  <c r="Z34" i="21"/>
  <c r="W34" i="21"/>
  <c r="U33" i="21"/>
  <c r="T32" i="21"/>
  <c r="P33" i="21"/>
  <c r="N32" i="21"/>
  <c r="T34" i="20"/>
  <c r="N30" i="20"/>
  <c r="P31" i="20"/>
  <c r="X34" i="20"/>
  <c r="W34" i="20"/>
  <c r="U33" i="20"/>
  <c r="Y26" i="21" l="1"/>
  <c r="Y25" i="21" s="1"/>
  <c r="Y24" i="21" s="1"/>
  <c r="Y23" i="21" s="1"/>
  <c r="Y22" i="21" s="1"/>
  <c r="Y21" i="21" s="1"/>
  <c r="Y20" i="21" s="1"/>
  <c r="Y33" i="20"/>
  <c r="Y32" i="20" s="1"/>
  <c r="Y29" i="24"/>
  <c r="Y28" i="24" s="1"/>
  <c r="Y27" i="24" s="1"/>
  <c r="Y26" i="24" s="1"/>
  <c r="Y25" i="24" s="1"/>
  <c r="Y24" i="24" s="1"/>
  <c r="Y23" i="24" s="1"/>
  <c r="Y22" i="24" s="1"/>
  <c r="Y21" i="24" s="1"/>
  <c r="Y20" i="24" s="1"/>
  <c r="Y19" i="24" s="1"/>
  <c r="Y19" i="23"/>
  <c r="Z35" i="20"/>
  <c r="Y28" i="26"/>
  <c r="Y33" i="25"/>
  <c r="Z34" i="25"/>
  <c r="T31" i="26"/>
  <c r="U31" i="26"/>
  <c r="W32" i="26"/>
  <c r="N30" i="26"/>
  <c r="P31" i="26"/>
  <c r="X32" i="26"/>
  <c r="Z33" i="26"/>
  <c r="W33" i="25"/>
  <c r="U32" i="25"/>
  <c r="T31" i="25"/>
  <c r="X31" i="25"/>
  <c r="P32" i="25"/>
  <c r="N31" i="25"/>
  <c r="U32" i="24"/>
  <c r="W33" i="24"/>
  <c r="P32" i="24"/>
  <c r="X32" i="24"/>
  <c r="Z33" i="24"/>
  <c r="T31" i="24"/>
  <c r="P32" i="23"/>
  <c r="N31" i="23"/>
  <c r="T28" i="23"/>
  <c r="X30" i="23"/>
  <c r="Z31" i="23"/>
  <c r="W33" i="23"/>
  <c r="U32" i="23"/>
  <c r="N31" i="22"/>
  <c r="P32" i="22"/>
  <c r="U32" i="22"/>
  <c r="W33" i="22"/>
  <c r="X32" i="22"/>
  <c r="T31" i="22"/>
  <c r="N31" i="21"/>
  <c r="P32" i="21"/>
  <c r="U32" i="21"/>
  <c r="W33" i="21"/>
  <c r="T31" i="21"/>
  <c r="X32" i="21"/>
  <c r="Z33" i="21"/>
  <c r="W33" i="20"/>
  <c r="U32" i="20"/>
  <c r="N29" i="20"/>
  <c r="P30" i="20"/>
  <c r="X33" i="20"/>
  <c r="Z34" i="20"/>
  <c r="T33" i="20"/>
  <c r="Y31" i="20" l="1"/>
  <c r="Y30" i="20" s="1"/>
  <c r="Y29" i="20" s="1"/>
  <c r="Y28" i="20" s="1"/>
  <c r="Y18" i="23"/>
  <c r="Y17" i="23" s="1"/>
  <c r="Y16" i="23" s="1"/>
  <c r="Y15" i="23" s="1"/>
  <c r="Y14" i="23" s="1"/>
  <c r="Y13" i="23" s="1"/>
  <c r="Y18" i="24"/>
  <c r="Y17" i="24" s="1"/>
  <c r="Y16" i="24" s="1"/>
  <c r="Y15" i="24" s="1"/>
  <c r="Y14" i="24" s="1"/>
  <c r="Y13" i="24" s="1"/>
  <c r="Y19" i="21"/>
  <c r="Y18" i="21" s="1"/>
  <c r="Y17" i="21" s="1"/>
  <c r="Y16" i="21" s="1"/>
  <c r="Y15" i="21" s="1"/>
  <c r="Y14" i="21" s="1"/>
  <c r="Y13" i="21" s="1"/>
  <c r="Y27" i="26"/>
  <c r="Y32" i="25"/>
  <c r="Z33" i="25"/>
  <c r="T30" i="26"/>
  <c r="P30" i="26"/>
  <c r="N29" i="26"/>
  <c r="Z32" i="26"/>
  <c r="X31" i="26"/>
  <c r="U30" i="26"/>
  <c r="W31" i="26"/>
  <c r="X30" i="25"/>
  <c r="U31" i="25"/>
  <c r="W32" i="25"/>
  <c r="N30" i="25"/>
  <c r="P31" i="25"/>
  <c r="T30" i="25"/>
  <c r="T30" i="24"/>
  <c r="N30" i="24"/>
  <c r="P31" i="24"/>
  <c r="X31" i="24"/>
  <c r="Z32" i="24"/>
  <c r="U31" i="24"/>
  <c r="W32" i="24"/>
  <c r="T27" i="23"/>
  <c r="N30" i="23"/>
  <c r="P31" i="23"/>
  <c r="U31" i="23"/>
  <c r="W32" i="23"/>
  <c r="Z30" i="23"/>
  <c r="X29" i="23"/>
  <c r="T30" i="22"/>
  <c r="W32" i="22"/>
  <c r="U31" i="22"/>
  <c r="X31" i="22"/>
  <c r="N30" i="22"/>
  <c r="P31" i="22"/>
  <c r="Z32" i="21"/>
  <c r="X31" i="21"/>
  <c r="U31" i="21"/>
  <c r="W32" i="21"/>
  <c r="T30" i="21"/>
  <c r="N30" i="21"/>
  <c r="P31" i="21"/>
  <c r="T32" i="20"/>
  <c r="P29" i="20"/>
  <c r="N28" i="20"/>
  <c r="U31" i="20"/>
  <c r="W32" i="20"/>
  <c r="X32" i="20"/>
  <c r="Z33" i="20"/>
  <c r="Y26" i="26" l="1"/>
  <c r="Y25" i="26" s="1"/>
  <c r="Y27" i="20"/>
  <c r="Y26" i="20" s="1"/>
  <c r="Y25" i="20" s="1"/>
  <c r="Y31" i="25"/>
  <c r="Z32" i="25"/>
  <c r="W30" i="26"/>
  <c r="U29" i="26"/>
  <c r="Z31" i="26"/>
  <c r="X30" i="26"/>
  <c r="T29" i="26"/>
  <c r="P29" i="26"/>
  <c r="N28" i="26"/>
  <c r="T29" i="25"/>
  <c r="U30" i="25"/>
  <c r="W31" i="25"/>
  <c r="X29" i="25"/>
  <c r="P30" i="25"/>
  <c r="N29" i="25"/>
  <c r="W31" i="24"/>
  <c r="U30" i="24"/>
  <c r="N29" i="24"/>
  <c r="P30" i="24"/>
  <c r="T29" i="24"/>
  <c r="Z31" i="24"/>
  <c r="X30" i="24"/>
  <c r="P30" i="23"/>
  <c r="N29" i="23"/>
  <c r="X28" i="23"/>
  <c r="Z29" i="23"/>
  <c r="W31" i="23"/>
  <c r="U30" i="23"/>
  <c r="T26" i="23"/>
  <c r="W31" i="22"/>
  <c r="U30" i="22"/>
  <c r="P30" i="22"/>
  <c r="N29" i="22"/>
  <c r="T29" i="22"/>
  <c r="X30" i="22"/>
  <c r="N29" i="21"/>
  <c r="P30" i="21"/>
  <c r="U30" i="21"/>
  <c r="W31" i="21"/>
  <c r="T29" i="21"/>
  <c r="Z31" i="21"/>
  <c r="X30" i="21"/>
  <c r="P28" i="20"/>
  <c r="N27" i="20"/>
  <c r="Z32" i="20"/>
  <c r="X31" i="20"/>
  <c r="T31" i="20"/>
  <c r="W31" i="20"/>
  <c r="U30" i="20"/>
  <c r="Y24" i="20" l="1"/>
  <c r="Y23" i="20" s="1"/>
  <c r="Y22" i="20" s="1"/>
  <c r="Y21" i="20" s="1"/>
  <c r="Y20" i="20" s="1"/>
  <c r="Y24" i="26"/>
  <c r="Y23" i="26" s="1"/>
  <c r="Y22" i="26" s="1"/>
  <c r="Y30" i="25"/>
  <c r="Z31" i="25"/>
  <c r="T28" i="26"/>
  <c r="U28" i="26"/>
  <c r="W29" i="26"/>
  <c r="N27" i="26"/>
  <c r="P28" i="26"/>
  <c r="X29" i="26"/>
  <c r="Z30" i="26"/>
  <c r="X28" i="25"/>
  <c r="T28" i="25"/>
  <c r="N28" i="25"/>
  <c r="P29" i="25"/>
  <c r="U29" i="25"/>
  <c r="W30" i="25"/>
  <c r="W30" i="24"/>
  <c r="U29" i="24"/>
  <c r="X29" i="24"/>
  <c r="Z30" i="24"/>
  <c r="P29" i="24"/>
  <c r="N28" i="24"/>
  <c r="T28" i="24"/>
  <c r="Z28" i="23"/>
  <c r="X27" i="23"/>
  <c r="U29" i="23"/>
  <c r="W30" i="23"/>
  <c r="N28" i="23"/>
  <c r="P29" i="23"/>
  <c r="T25" i="23"/>
  <c r="X29" i="22"/>
  <c r="P29" i="22"/>
  <c r="N28" i="22"/>
  <c r="T28" i="22"/>
  <c r="W30" i="22"/>
  <c r="U29" i="22"/>
  <c r="X29" i="21"/>
  <c r="Z30" i="21"/>
  <c r="W30" i="21"/>
  <c r="U29" i="21"/>
  <c r="T28" i="21"/>
  <c r="P29" i="21"/>
  <c r="N28" i="21"/>
  <c r="U29" i="20"/>
  <c r="W30" i="20"/>
  <c r="Z31" i="20"/>
  <c r="N26" i="20"/>
  <c r="P27" i="20"/>
  <c r="Y19" i="20" l="1"/>
  <c r="Y18" i="20" s="1"/>
  <c r="Y17" i="20" s="1"/>
  <c r="Y16" i="20" s="1"/>
  <c r="Y15" i="20" s="1"/>
  <c r="Y14" i="20" s="1"/>
  <c r="Y13" i="20" s="1"/>
  <c r="Y21" i="26"/>
  <c r="Y20" i="26" s="1"/>
  <c r="Y19" i="26" s="1"/>
  <c r="Y29" i="25"/>
  <c r="Z30" i="25"/>
  <c r="Z29" i="26"/>
  <c r="X28" i="26"/>
  <c r="U27" i="26"/>
  <c r="W28" i="26"/>
  <c r="P27" i="26"/>
  <c r="N26" i="26"/>
  <c r="T27" i="26"/>
  <c r="W29" i="25"/>
  <c r="U28" i="25"/>
  <c r="P28" i="25"/>
  <c r="N27" i="25"/>
  <c r="X27" i="25"/>
  <c r="T27" i="25"/>
  <c r="T27" i="24"/>
  <c r="X28" i="24"/>
  <c r="Z29" i="24"/>
  <c r="N27" i="24"/>
  <c r="P28" i="24"/>
  <c r="U28" i="24"/>
  <c r="W29" i="24"/>
  <c r="W29" i="23"/>
  <c r="U28" i="23"/>
  <c r="X26" i="23"/>
  <c r="Z27" i="23"/>
  <c r="T24" i="23"/>
  <c r="P28" i="23"/>
  <c r="N27" i="23"/>
  <c r="U28" i="22"/>
  <c r="W29" i="22"/>
  <c r="N27" i="22"/>
  <c r="P28" i="22"/>
  <c r="T27" i="22"/>
  <c r="X28" i="22"/>
  <c r="N27" i="21"/>
  <c r="P28" i="21"/>
  <c r="U28" i="21"/>
  <c r="W29" i="21"/>
  <c r="T27" i="21"/>
  <c r="X28" i="21"/>
  <c r="Z29" i="21"/>
  <c r="P26" i="20"/>
  <c r="N25" i="20"/>
  <c r="W29" i="20"/>
  <c r="U28" i="20"/>
  <c r="Y18" i="26" l="1"/>
  <c r="Y17" i="26" s="1"/>
  <c r="Y28" i="25"/>
  <c r="Z29" i="25"/>
  <c r="N25" i="26"/>
  <c r="P26" i="26"/>
  <c r="Z28" i="26"/>
  <c r="X27" i="26"/>
  <c r="T26" i="26"/>
  <c r="W27" i="26"/>
  <c r="U26" i="26"/>
  <c r="U27" i="25"/>
  <c r="W28" i="25"/>
  <c r="X26" i="25"/>
  <c r="N26" i="25"/>
  <c r="P27" i="25"/>
  <c r="T26" i="25"/>
  <c r="U27" i="24"/>
  <c r="W28" i="24"/>
  <c r="X27" i="24"/>
  <c r="Z28" i="24"/>
  <c r="N26" i="24"/>
  <c r="P27" i="24"/>
  <c r="T26" i="24"/>
  <c r="N26" i="23"/>
  <c r="P27" i="23"/>
  <c r="Z26" i="23"/>
  <c r="X25" i="23"/>
  <c r="T23" i="23"/>
  <c r="U27" i="23"/>
  <c r="W28" i="23"/>
  <c r="X27" i="22"/>
  <c r="N26" i="22"/>
  <c r="P27" i="22"/>
  <c r="W28" i="22"/>
  <c r="U27" i="22"/>
  <c r="X27" i="21"/>
  <c r="Z28" i="21"/>
  <c r="U27" i="21"/>
  <c r="W28" i="21"/>
  <c r="T26" i="21"/>
  <c r="N26" i="21"/>
  <c r="P27" i="21"/>
  <c r="U27" i="20"/>
  <c r="W28" i="20"/>
  <c r="P25" i="20"/>
  <c r="N24" i="20"/>
  <c r="P24" i="20" s="1"/>
  <c r="Y16" i="26" l="1"/>
  <c r="Y27" i="25"/>
  <c r="Z28" i="25"/>
  <c r="T25" i="26"/>
  <c r="P25" i="26"/>
  <c r="N24" i="26"/>
  <c r="P24" i="26" s="1"/>
  <c r="W26" i="26"/>
  <c r="U25" i="26"/>
  <c r="Z27" i="26"/>
  <c r="X26" i="26"/>
  <c r="T25" i="25"/>
  <c r="N25" i="25"/>
  <c r="P26" i="25"/>
  <c r="U26" i="25"/>
  <c r="W27" i="25"/>
  <c r="X25" i="25"/>
  <c r="T25" i="24"/>
  <c r="Z27" i="24"/>
  <c r="X26" i="24"/>
  <c r="N25" i="24"/>
  <c r="P26" i="24"/>
  <c r="W27" i="24"/>
  <c r="U26" i="24"/>
  <c r="X24" i="23"/>
  <c r="Z25" i="23"/>
  <c r="W27" i="23"/>
  <c r="U26" i="23"/>
  <c r="T22" i="23"/>
  <c r="P26" i="23"/>
  <c r="N25" i="23"/>
  <c r="U26" i="22"/>
  <c r="W27" i="22"/>
  <c r="P26" i="22"/>
  <c r="N25" i="22"/>
  <c r="X26" i="22"/>
  <c r="N25" i="21"/>
  <c r="P26" i="21"/>
  <c r="W27" i="21"/>
  <c r="U26" i="21"/>
  <c r="T25" i="21"/>
  <c r="Z27" i="21"/>
  <c r="X26" i="21"/>
  <c r="N23" i="20"/>
  <c r="P23" i="20" s="1"/>
  <c r="U26" i="20"/>
  <c r="W27" i="20"/>
  <c r="Y15" i="26" l="1"/>
  <c r="Y14" i="26" s="1"/>
  <c r="Y26" i="25"/>
  <c r="Z27" i="25"/>
  <c r="U24" i="26"/>
  <c r="W25" i="26"/>
  <c r="T24" i="26"/>
  <c r="X25" i="26"/>
  <c r="Z26" i="26"/>
  <c r="N23" i="26"/>
  <c r="P23" i="26" s="1"/>
  <c r="T24" i="25"/>
  <c r="W26" i="25"/>
  <c r="U25" i="25"/>
  <c r="X24" i="25"/>
  <c r="N24" i="25"/>
  <c r="P24" i="25" s="1"/>
  <c r="P25" i="25"/>
  <c r="T24" i="24"/>
  <c r="W26" i="24"/>
  <c r="U25" i="24"/>
  <c r="X25" i="24"/>
  <c r="Z26" i="24"/>
  <c r="P25" i="24"/>
  <c r="N24" i="24"/>
  <c r="P24" i="24" s="1"/>
  <c r="N24" i="23"/>
  <c r="P24" i="23" s="1"/>
  <c r="P25" i="23"/>
  <c r="U25" i="23"/>
  <c r="W26" i="23"/>
  <c r="T21" i="23"/>
  <c r="Z24" i="23"/>
  <c r="X23" i="23"/>
  <c r="X25" i="22"/>
  <c r="P25" i="22"/>
  <c r="N24" i="22"/>
  <c r="P24" i="22" s="1"/>
  <c r="W26" i="22"/>
  <c r="U25" i="22"/>
  <c r="X25" i="21"/>
  <c r="Z26" i="21"/>
  <c r="W26" i="21"/>
  <c r="U25" i="21"/>
  <c r="T24" i="21"/>
  <c r="P25" i="21"/>
  <c r="N24" i="21"/>
  <c r="P24" i="21" s="1"/>
  <c r="U25" i="20"/>
  <c r="W26" i="20"/>
  <c r="N22" i="20"/>
  <c r="P22" i="20" s="1"/>
  <c r="Y13" i="26" l="1"/>
  <c r="Y25" i="25"/>
  <c r="Z26" i="25"/>
  <c r="N22" i="26"/>
  <c r="P22" i="26" s="1"/>
  <c r="T23" i="26"/>
  <c r="Z25" i="26"/>
  <c r="X24" i="26"/>
  <c r="W24" i="26"/>
  <c r="U23" i="26"/>
  <c r="N23" i="25"/>
  <c r="P23" i="25" s="1"/>
  <c r="T23" i="25"/>
  <c r="X23" i="25"/>
  <c r="W25" i="25"/>
  <c r="U24" i="25"/>
  <c r="N23" i="24"/>
  <c r="P23" i="24" s="1"/>
  <c r="U24" i="24"/>
  <c r="W25" i="24"/>
  <c r="X24" i="24"/>
  <c r="Z25" i="24"/>
  <c r="T23" i="24"/>
  <c r="W25" i="23"/>
  <c r="U24" i="23"/>
  <c r="X22" i="23"/>
  <c r="Z23" i="23"/>
  <c r="T20" i="23"/>
  <c r="N23" i="23"/>
  <c r="P23" i="23" s="1"/>
  <c r="U24" i="22"/>
  <c r="W25" i="22"/>
  <c r="N23" i="22"/>
  <c r="P23" i="22" s="1"/>
  <c r="X24" i="22"/>
  <c r="N23" i="21"/>
  <c r="P23" i="21" s="1"/>
  <c r="U24" i="21"/>
  <c r="W25" i="21"/>
  <c r="T23" i="21"/>
  <c r="X24" i="21"/>
  <c r="Z25" i="21"/>
  <c r="N21" i="20"/>
  <c r="P21" i="20" s="1"/>
  <c r="W25" i="20"/>
  <c r="U24" i="20"/>
  <c r="Y24" i="25" l="1"/>
  <c r="Z25" i="25"/>
  <c r="Z24" i="26"/>
  <c r="X23" i="26"/>
  <c r="N21" i="26"/>
  <c r="P21" i="26" s="1"/>
  <c r="W23" i="26"/>
  <c r="U22" i="26"/>
  <c r="T22" i="26"/>
  <c r="X22" i="25"/>
  <c r="N22" i="25"/>
  <c r="P22" i="25" s="1"/>
  <c r="U23" i="25"/>
  <c r="W24" i="25"/>
  <c r="T22" i="25"/>
  <c r="T22" i="24"/>
  <c r="W24" i="24"/>
  <c r="U23" i="24"/>
  <c r="X23" i="24"/>
  <c r="Z24" i="24"/>
  <c r="N22" i="24"/>
  <c r="P22" i="24" s="1"/>
  <c r="T19" i="23"/>
  <c r="N22" i="23"/>
  <c r="P22" i="23" s="1"/>
  <c r="Z22" i="23"/>
  <c r="X21" i="23"/>
  <c r="U23" i="23"/>
  <c r="W24" i="23"/>
  <c r="X23" i="22"/>
  <c r="N22" i="22"/>
  <c r="P22" i="22" s="1"/>
  <c r="T22" i="22"/>
  <c r="U23" i="22"/>
  <c r="W24" i="22"/>
  <c r="Z24" i="21"/>
  <c r="X23" i="21"/>
  <c r="U23" i="21"/>
  <c r="W24" i="21"/>
  <c r="T22" i="21"/>
  <c r="N22" i="21"/>
  <c r="P22" i="21" s="1"/>
  <c r="U23" i="20"/>
  <c r="W24" i="20"/>
  <c r="N20" i="20"/>
  <c r="P20" i="20" s="1"/>
  <c r="Y23" i="25" l="1"/>
  <c r="Z24" i="25"/>
  <c r="N20" i="26"/>
  <c r="P20" i="26" s="1"/>
  <c r="W22" i="26"/>
  <c r="U21" i="26"/>
  <c r="Z23" i="26"/>
  <c r="X22" i="26"/>
  <c r="T21" i="26"/>
  <c r="N21" i="25"/>
  <c r="P21" i="25" s="1"/>
  <c r="W23" i="25"/>
  <c r="U22" i="25"/>
  <c r="X21" i="25"/>
  <c r="T21" i="25"/>
  <c r="T21" i="24"/>
  <c r="W23" i="24"/>
  <c r="U22" i="24"/>
  <c r="N21" i="24"/>
  <c r="P21" i="24" s="1"/>
  <c r="Z23" i="24"/>
  <c r="X22" i="24"/>
  <c r="N21" i="23"/>
  <c r="P21" i="23" s="1"/>
  <c r="X20" i="23"/>
  <c r="Z21" i="23"/>
  <c r="W23" i="23"/>
  <c r="U22" i="23"/>
  <c r="T18" i="23"/>
  <c r="N21" i="22"/>
  <c r="P21" i="22" s="1"/>
  <c r="U22" i="22"/>
  <c r="W23" i="22"/>
  <c r="X22" i="22"/>
  <c r="T21" i="22"/>
  <c r="N21" i="21"/>
  <c r="P21" i="21" s="1"/>
  <c r="W23" i="21"/>
  <c r="U22" i="21"/>
  <c r="T21" i="21"/>
  <c r="Z23" i="21"/>
  <c r="X22" i="21"/>
  <c r="N19" i="20"/>
  <c r="P19" i="20" s="1"/>
  <c r="U22" i="20"/>
  <c r="W23" i="20"/>
  <c r="Y22" i="25" l="1"/>
  <c r="Z23" i="25"/>
  <c r="X21" i="26"/>
  <c r="Z22" i="26"/>
  <c r="N19" i="26"/>
  <c r="P19" i="26" s="1"/>
  <c r="T20" i="26"/>
  <c r="U20" i="26"/>
  <c r="W21" i="26"/>
  <c r="X20" i="25"/>
  <c r="X19" i="25" s="1"/>
  <c r="N20" i="25"/>
  <c r="T20" i="25"/>
  <c r="W22" i="25"/>
  <c r="U21" i="25"/>
  <c r="T20" i="24"/>
  <c r="X21" i="24"/>
  <c r="Z22" i="24"/>
  <c r="W22" i="24"/>
  <c r="U21" i="24"/>
  <c r="N20" i="24"/>
  <c r="P20" i="24" s="1"/>
  <c r="T17" i="23"/>
  <c r="Z20" i="23"/>
  <c r="X19" i="23"/>
  <c r="U21" i="23"/>
  <c r="W22" i="23"/>
  <c r="N20" i="23"/>
  <c r="P20" i="23" s="1"/>
  <c r="T20" i="22"/>
  <c r="W22" i="22"/>
  <c r="U21" i="22"/>
  <c r="X21" i="22"/>
  <c r="N20" i="22"/>
  <c r="P20" i="22" s="1"/>
  <c r="X21" i="21"/>
  <c r="Z22" i="21"/>
  <c r="W22" i="21"/>
  <c r="U21" i="21"/>
  <c r="T20" i="21"/>
  <c r="N20" i="21"/>
  <c r="P20" i="21" s="1"/>
  <c r="W22" i="20"/>
  <c r="U21" i="20"/>
  <c r="N18" i="20"/>
  <c r="P18" i="20" s="1"/>
  <c r="X18" i="25" l="1"/>
  <c r="X17" i="25" s="1"/>
  <c r="X16" i="25" s="1"/>
  <c r="P20" i="25"/>
  <c r="N19" i="25"/>
  <c r="Y21" i="25"/>
  <c r="Z22" i="25"/>
  <c r="W20" i="26"/>
  <c r="U19" i="26"/>
  <c r="N18" i="26"/>
  <c r="P18" i="26" s="1"/>
  <c r="T19" i="26"/>
  <c r="Z21" i="26"/>
  <c r="X20" i="26"/>
  <c r="W21" i="25"/>
  <c r="U20" i="25"/>
  <c r="U20" i="24"/>
  <c r="W21" i="24"/>
  <c r="N19" i="24"/>
  <c r="P19" i="24" s="1"/>
  <c r="X20" i="24"/>
  <c r="Z21" i="24"/>
  <c r="T19" i="24"/>
  <c r="Z19" i="23"/>
  <c r="X18" i="23"/>
  <c r="N19" i="23"/>
  <c r="P19" i="23" s="1"/>
  <c r="T16" i="23"/>
  <c r="W21" i="23"/>
  <c r="U20" i="23"/>
  <c r="N19" i="22"/>
  <c r="P19" i="22" s="1"/>
  <c r="U20" i="22"/>
  <c r="W21" i="22"/>
  <c r="X20" i="22"/>
  <c r="T19" i="22"/>
  <c r="N19" i="21"/>
  <c r="P19" i="21" s="1"/>
  <c r="U20" i="21"/>
  <c r="W21" i="21"/>
  <c r="T19" i="21"/>
  <c r="X20" i="21"/>
  <c r="Z21" i="21"/>
  <c r="W21" i="20"/>
  <c r="U20" i="20"/>
  <c r="N17" i="20"/>
  <c r="P17" i="20" s="1"/>
  <c r="U19" i="25" l="1"/>
  <c r="W19" i="25" s="1"/>
  <c r="N18" i="25"/>
  <c r="P19" i="25"/>
  <c r="Y20" i="25"/>
  <c r="Z21" i="25"/>
  <c r="T18" i="26"/>
  <c r="U18" i="26"/>
  <c r="W19" i="26"/>
  <c r="X19" i="26"/>
  <c r="Z20" i="26"/>
  <c r="N17" i="26"/>
  <c r="P17" i="26" s="1"/>
  <c r="W20" i="25"/>
  <c r="T18" i="24"/>
  <c r="N18" i="24"/>
  <c r="P18" i="24" s="1"/>
  <c r="X19" i="24"/>
  <c r="Z20" i="24"/>
  <c r="W20" i="24"/>
  <c r="U19" i="24"/>
  <c r="U19" i="23"/>
  <c r="W20" i="23"/>
  <c r="N18" i="23"/>
  <c r="P18" i="23" s="1"/>
  <c r="X17" i="23"/>
  <c r="Z18" i="23"/>
  <c r="T15" i="23"/>
  <c r="T18" i="22"/>
  <c r="U19" i="22"/>
  <c r="W20" i="22"/>
  <c r="N18" i="22"/>
  <c r="P18" i="22" s="1"/>
  <c r="X19" i="22"/>
  <c r="X19" i="21"/>
  <c r="Z20" i="21"/>
  <c r="W20" i="21"/>
  <c r="U19" i="21"/>
  <c r="T18" i="21"/>
  <c r="N18" i="21"/>
  <c r="P18" i="21" s="1"/>
  <c r="N16" i="20"/>
  <c r="P16" i="20" s="1"/>
  <c r="U19" i="20"/>
  <c r="W20" i="20"/>
  <c r="Y19" i="25" l="1"/>
  <c r="Y18" i="25" s="1"/>
  <c r="N17" i="25"/>
  <c r="P18" i="25"/>
  <c r="U18" i="25"/>
  <c r="Z20" i="25"/>
  <c r="W18" i="26"/>
  <c r="U17" i="26"/>
  <c r="T17" i="26"/>
  <c r="Z19" i="26"/>
  <c r="X18" i="26"/>
  <c r="N16" i="26"/>
  <c r="P16" i="26" s="1"/>
  <c r="T17" i="24"/>
  <c r="U18" i="24"/>
  <c r="W19" i="24"/>
  <c r="N17" i="24"/>
  <c r="P17" i="24" s="1"/>
  <c r="Z19" i="24"/>
  <c r="X18" i="24"/>
  <c r="T14" i="23"/>
  <c r="N17" i="23"/>
  <c r="P17" i="23" s="1"/>
  <c r="X16" i="23"/>
  <c r="Z17" i="23"/>
  <c r="W19" i="23"/>
  <c r="U18" i="23"/>
  <c r="X18" i="22"/>
  <c r="W19" i="22"/>
  <c r="U18" i="22"/>
  <c r="N17" i="22"/>
  <c r="P17" i="22" s="1"/>
  <c r="T17" i="22"/>
  <c r="N17" i="21"/>
  <c r="P17" i="21" s="1"/>
  <c r="W19" i="21"/>
  <c r="U18" i="21"/>
  <c r="T17" i="21"/>
  <c r="Z19" i="21"/>
  <c r="X18" i="21"/>
  <c r="W19" i="20"/>
  <c r="U18" i="20"/>
  <c r="N15" i="20"/>
  <c r="P15" i="20" s="1"/>
  <c r="Z19" i="25" l="1"/>
  <c r="U17" i="25"/>
  <c r="W18" i="25"/>
  <c r="P17" i="25"/>
  <c r="N16" i="25"/>
  <c r="P16" i="25" s="1"/>
  <c r="Y17" i="25"/>
  <c r="Z18" i="25"/>
  <c r="T13" i="23"/>
  <c r="X17" i="26"/>
  <c r="Z18" i="26"/>
  <c r="U16" i="26"/>
  <c r="W17" i="26"/>
  <c r="N15" i="26"/>
  <c r="P15" i="26" s="1"/>
  <c r="T16" i="26"/>
  <c r="N16" i="24"/>
  <c r="P16" i="24" s="1"/>
  <c r="X17" i="24"/>
  <c r="Z18" i="24"/>
  <c r="U17" i="24"/>
  <c r="W18" i="24"/>
  <c r="T16" i="24"/>
  <c r="N16" i="23"/>
  <c r="P16" i="23" s="1"/>
  <c r="W18" i="23"/>
  <c r="U17" i="23"/>
  <c r="Z16" i="23"/>
  <c r="X15" i="23"/>
  <c r="T16" i="22"/>
  <c r="U17" i="22"/>
  <c r="W18" i="22"/>
  <c r="X17" i="22"/>
  <c r="N16" i="22"/>
  <c r="P16" i="22" s="1"/>
  <c r="X17" i="21"/>
  <c r="Z18" i="21"/>
  <c r="U17" i="21"/>
  <c r="W18" i="21"/>
  <c r="N16" i="21"/>
  <c r="P16" i="21" s="1"/>
  <c r="T16" i="21"/>
  <c r="N14" i="20"/>
  <c r="P14" i="20" s="1"/>
  <c r="W18" i="20"/>
  <c r="U17" i="20"/>
  <c r="U16" i="25" l="1"/>
  <c r="W16" i="25" s="1"/>
  <c r="W17" i="25"/>
  <c r="Y16" i="25"/>
  <c r="Z16" i="25" s="1"/>
  <c r="Z17" i="25"/>
  <c r="T15" i="26"/>
  <c r="U15" i="26"/>
  <c r="W16" i="26"/>
  <c r="N14" i="26"/>
  <c r="P14" i="26" s="1"/>
  <c r="X16" i="26"/>
  <c r="Z17" i="26"/>
  <c r="X15" i="25"/>
  <c r="N15" i="25"/>
  <c r="P15" i="25" s="1"/>
  <c r="T15" i="25"/>
  <c r="T15" i="24"/>
  <c r="Z17" i="24"/>
  <c r="X16" i="24"/>
  <c r="U16" i="24"/>
  <c r="W17" i="24"/>
  <c r="N15" i="24"/>
  <c r="P15" i="24" s="1"/>
  <c r="Z15" i="23"/>
  <c r="X14" i="23"/>
  <c r="N15" i="23"/>
  <c r="P15" i="23" s="1"/>
  <c r="U16" i="23"/>
  <c r="W17" i="23"/>
  <c r="N15" i="22"/>
  <c r="P15" i="22" s="1"/>
  <c r="W17" i="22"/>
  <c r="U16" i="22"/>
  <c r="X16" i="22"/>
  <c r="T15" i="22"/>
  <c r="T15" i="21"/>
  <c r="U16" i="21"/>
  <c r="W17" i="21"/>
  <c r="N15" i="21"/>
  <c r="P15" i="21" s="1"/>
  <c r="X16" i="21"/>
  <c r="Z17" i="21"/>
  <c r="W17" i="20"/>
  <c r="U16" i="20"/>
  <c r="N13" i="20"/>
  <c r="P13" i="20" l="1"/>
  <c r="T14" i="26"/>
  <c r="N13" i="26"/>
  <c r="Z16" i="26"/>
  <c r="X15" i="26"/>
  <c r="U14" i="26"/>
  <c r="W15" i="26"/>
  <c r="T14" i="25"/>
  <c r="X14" i="25"/>
  <c r="U15" i="25"/>
  <c r="N14" i="25"/>
  <c r="P14" i="25" s="1"/>
  <c r="T14" i="24"/>
  <c r="Z16" i="24"/>
  <c r="X15" i="24"/>
  <c r="N14" i="24"/>
  <c r="P14" i="24" s="1"/>
  <c r="W16" i="24"/>
  <c r="U15" i="24"/>
  <c r="N14" i="23"/>
  <c r="P14" i="23" s="1"/>
  <c r="X13" i="23"/>
  <c r="Z14" i="23"/>
  <c r="U15" i="23"/>
  <c r="W16" i="23"/>
  <c r="U15" i="22"/>
  <c r="W16" i="22"/>
  <c r="N14" i="22"/>
  <c r="P14" i="22" s="1"/>
  <c r="X15" i="22"/>
  <c r="Z16" i="21"/>
  <c r="X15" i="21"/>
  <c r="U15" i="21"/>
  <c r="W16" i="21"/>
  <c r="N14" i="21"/>
  <c r="P14" i="21" s="1"/>
  <c r="T14" i="21"/>
  <c r="U15" i="20"/>
  <c r="W16" i="20"/>
  <c r="T13" i="26" l="1"/>
  <c r="P13" i="26"/>
  <c r="T13" i="25"/>
  <c r="T13" i="24"/>
  <c r="Z13" i="23"/>
  <c r="T13" i="21"/>
  <c r="Y15" i="25"/>
  <c r="W14" i="26"/>
  <c r="U13" i="26"/>
  <c r="Z15" i="26"/>
  <c r="X14" i="26"/>
  <c r="U14" i="25"/>
  <c r="W15" i="25"/>
  <c r="N13" i="25"/>
  <c r="X13" i="25"/>
  <c r="W15" i="24"/>
  <c r="U14" i="24"/>
  <c r="X14" i="24"/>
  <c r="Z15" i="24"/>
  <c r="N13" i="24"/>
  <c r="U14" i="23"/>
  <c r="W15" i="23"/>
  <c r="N13" i="23"/>
  <c r="X14" i="22"/>
  <c r="N13" i="22"/>
  <c r="W15" i="22"/>
  <c r="U14" i="22"/>
  <c r="W15" i="21"/>
  <c r="U14" i="21"/>
  <c r="X14" i="21"/>
  <c r="Z15" i="21"/>
  <c r="N13" i="21"/>
  <c r="W15" i="20"/>
  <c r="U14" i="20"/>
  <c r="W13" i="26" l="1"/>
  <c r="P13" i="25"/>
  <c r="P13" i="24"/>
  <c r="P13" i="23"/>
  <c r="P13" i="21"/>
  <c r="P13" i="22"/>
  <c r="Y14" i="25"/>
  <c r="Z15" i="25"/>
  <c r="Z14" i="26"/>
  <c r="X13" i="26"/>
  <c r="W14" i="25"/>
  <c r="U13" i="25"/>
  <c r="X13" i="24"/>
  <c r="Z14" i="24"/>
  <c r="U13" i="24"/>
  <c r="W14" i="24"/>
  <c r="W14" i="23"/>
  <c r="U13" i="23"/>
  <c r="U13" i="22"/>
  <c r="W14" i="22"/>
  <c r="X13" i="22"/>
  <c r="X13" i="21"/>
  <c r="Z14" i="21"/>
  <c r="U13" i="21"/>
  <c r="W14" i="21"/>
  <c r="U13" i="20"/>
  <c r="W14" i="20"/>
  <c r="Z13" i="26" l="1"/>
  <c r="W13" i="25"/>
  <c r="Z13" i="24"/>
  <c r="W13" i="24"/>
  <c r="W13" i="23"/>
  <c r="Z13" i="21"/>
  <c r="W13" i="21"/>
  <c r="W13" i="22"/>
  <c r="Y13" i="25"/>
  <c r="Z14" i="25"/>
  <c r="W13" i="20"/>
  <c r="Z13" i="25" l="1"/>
  <c r="T30" i="20" l="1"/>
  <c r="T29" i="20"/>
  <c r="X30" i="20"/>
  <c r="Z30" i="20" s="1"/>
  <c r="X29" i="20" l="1"/>
  <c r="Z29" i="20" l="1"/>
  <c r="X28" i="20"/>
  <c r="T27" i="20" l="1"/>
  <c r="Z28" i="20"/>
  <c r="X27" i="20"/>
  <c r="X26" i="20" l="1"/>
  <c r="Z27" i="20"/>
  <c r="T26" i="20"/>
  <c r="T25" i="20" l="1"/>
  <c r="X25" i="20"/>
  <c r="Z26" i="20"/>
  <c r="X24" i="20" l="1"/>
  <c r="Z25" i="20"/>
  <c r="T24" i="20"/>
  <c r="T23" i="20" l="1"/>
  <c r="X23" i="20"/>
  <c r="Z24" i="20"/>
  <c r="Z23" i="20" l="1"/>
  <c r="X22" i="20"/>
  <c r="T22" i="20"/>
  <c r="T21" i="20" l="1"/>
  <c r="X21" i="20"/>
  <c r="Z22" i="20"/>
  <c r="X20" i="20" l="1"/>
  <c r="Z21" i="20"/>
  <c r="T20" i="20"/>
  <c r="T19" i="20" l="1"/>
  <c r="Z20" i="20"/>
  <c r="X19" i="20"/>
  <c r="Z19" i="20" l="1"/>
  <c r="X18" i="20"/>
  <c r="T18" i="20"/>
  <c r="T17" i="20" l="1"/>
  <c r="X17" i="20"/>
  <c r="Z18" i="20"/>
  <c r="Z17" i="20" l="1"/>
  <c r="X16" i="20"/>
  <c r="T16" i="20"/>
  <c r="T15" i="20" l="1"/>
  <c r="Z16" i="20"/>
  <c r="X15" i="20"/>
  <c r="Z15" i="20" l="1"/>
  <c r="X14" i="20"/>
  <c r="T14" i="20"/>
  <c r="T13" i="20" l="1"/>
  <c r="Z14" i="20"/>
  <c r="X13" i="20"/>
  <c r="Z13" i="20" l="1"/>
  <c r="N4" i="26" l="1"/>
  <c r="N4" i="22"/>
  <c r="N4" i="21"/>
  <c r="N4" i="23"/>
  <c r="N4" i="25"/>
  <c r="S38" i="22" l="1"/>
  <c r="G38" i="22" s="1"/>
  <c r="H38" i="22" l="1"/>
  <c r="Q38" i="22" s="1"/>
  <c r="Y38" i="22"/>
  <c r="Z38" i="22" s="1"/>
  <c r="T38" i="22"/>
  <c r="AA38" i="22"/>
  <c r="Y37" i="22" l="1"/>
  <c r="Y36" i="22" s="1"/>
  <c r="Z37" i="22" l="1"/>
  <c r="Y35" i="22"/>
  <c r="Z36" i="22"/>
  <c r="Y34" i="22" l="1"/>
  <c r="Z35" i="22"/>
  <c r="Z34" i="22" l="1"/>
  <c r="Y33" i="22"/>
  <c r="Y32" i="22" l="1"/>
  <c r="Z33" i="22"/>
  <c r="Y31" i="22" l="1"/>
  <c r="Z32" i="22"/>
  <c r="Y30" i="22" l="1"/>
  <c r="Z31" i="22"/>
  <c r="Z30" i="22" l="1"/>
  <c r="Y29" i="22"/>
  <c r="Z29" i="22" l="1"/>
  <c r="Y28" i="22"/>
  <c r="Y27" i="22" l="1"/>
  <c r="Z28" i="22"/>
  <c r="Y26" i="22" l="1"/>
  <c r="Z27" i="22"/>
  <c r="Z26" i="22" l="1"/>
  <c r="Y25" i="22"/>
  <c r="Y24" i="22" l="1"/>
  <c r="Z25" i="22"/>
  <c r="Z24" i="22" l="1"/>
  <c r="Y23" i="22"/>
  <c r="Z23" i="22" l="1"/>
  <c r="Y22" i="22"/>
  <c r="Z22" i="22" l="1"/>
  <c r="Y21" i="22"/>
  <c r="Z21" i="22" l="1"/>
  <c r="Y20" i="22"/>
  <c r="Z20" i="22" l="1"/>
  <c r="Y19" i="22"/>
  <c r="Z19" i="22" l="1"/>
  <c r="Y18" i="22"/>
  <c r="Y17" i="22" l="1"/>
  <c r="Z18" i="22"/>
  <c r="Z17" i="22" l="1"/>
  <c r="Y16" i="22"/>
  <c r="Z16" i="22" l="1"/>
  <c r="Y15" i="22"/>
  <c r="Z15" i="22" l="1"/>
  <c r="F14" i="22"/>
  <c r="K13" i="22"/>
  <c r="S13" i="22" s="1"/>
  <c r="K14" i="22"/>
  <c r="S14" i="22" s="1"/>
  <c r="T14" i="22" l="1"/>
  <c r="AA14" i="22"/>
  <c r="G14" i="22"/>
  <c r="H14" i="22" s="1"/>
  <c r="Q14" i="22" s="1"/>
  <c r="Y14" i="22"/>
  <c r="T13" i="22"/>
  <c r="AA13" i="22"/>
  <c r="G13" i="22"/>
  <c r="H13" i="22" s="1"/>
  <c r="Q13" i="22" s="1"/>
  <c r="Y13" i="22" l="1"/>
  <c r="Z14" i="22"/>
  <c r="Z13" i="22" l="1"/>
</calcChain>
</file>

<file path=xl/comments1.xml><?xml version="1.0" encoding="utf-8"?>
<comments xmlns="http://schemas.openxmlformats.org/spreadsheetml/2006/main">
  <authors>
    <author>Jorge Gomez Fernandez</author>
  </authors>
  <commentList>
    <comment ref="M42" authorId="0" shapeId="0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sharedStrings.xml><?xml version="1.0" encoding="utf-8"?>
<sst xmlns="http://schemas.openxmlformats.org/spreadsheetml/2006/main" count="338" uniqueCount="46">
  <si>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</si>
  <si>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</si>
  <si>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</si>
  <si>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</si>
  <si>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</si>
  <si>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</si>
  <si>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</si>
  <si>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</si>
  <si>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</si>
  <si>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</si>
  <si>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</si>
  <si>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</si>
  <si>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</si>
  <si>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</si>
  <si>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</si>
  <si>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</si>
  <si>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</si>
  <si>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</si>
  <si>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</si>
  <si>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</si>
  <si>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</si>
  <si>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</si>
  <si>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</si>
  <si>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</si>
  <si>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</si>
  <si>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</si>
  <si>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</si>
  <si>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</si>
  <si>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</si>
  <si>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</si>
  <si>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</si>
  <si>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</si>
  <si>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</si>
  <si>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</si>
  <si>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</si>
  <si>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COCINA COMEDOR</t>
  </si>
  <si>
    <t>SERVICIO: JOSE MARTÍ</t>
  </si>
  <si>
    <t>SERVICIO: MANUEL FAJARDO</t>
  </si>
  <si>
    <t>Aprobado:</t>
  </si>
  <si>
    <t xml:space="preserve"> 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</si>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</sst>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2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B2:AB50"/>
  <sheetViews>
    <sheetView zoomScale="70" zoomScaleNormal="70" zoomScaleSheetLayoutView="93" workbookViewId="0">
      <pane ySplit="8" topLeftCell="A24" activePane="bottomLeft" state="frozen"/>
      <selection pane="bottomLeft" activeCell="R41" sqref="R41"/>
    </sheetView>
  </sheetViews>
  <sheetFormatPr baseColWidth="10" defaultColWidth="11.42578125" defaultRowHeight="15" x14ac:dyDescent="0.25"/>
  <cols>
    <col min="1" max="2" width="11.42578125" customWidth="1"/>
    <col min="3" max="3" width="13.85546875" bestFit="1" customWidth="1"/>
    <col min="4" max="4" width="12.28515625" bestFit="1" customWidth="1"/>
    <col min="5" max="5" width="11.42578125" customWidth="1"/>
    <col min="8" max="9" width="12.28515625" bestFit="1" customWidth="1"/>
    <col min="13" max="13" width="14.28515625" customWidth="1"/>
    <col min="16" max="16" width="13.42578125" bestFit="1" customWidth="1"/>
    <col min="17" max="17" width="13.140625" customWidth="1"/>
    <col min="19" max="19" width="11.5703125" bestFit="1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7" t="s">
        <v>29</v>
      </c>
    </row>
    <row r="3" spans="2:28" ht="15.75" customHeight="1" x14ac:dyDescent="0.25">
      <c r="G3" s="27" t="s">
        <v>28</v>
      </c>
    </row>
    <row r="4" spans="2:28" ht="15.75" customHeight="1" x14ac:dyDescent="0.3">
      <c r="G4" s="28" t="s">
        <v>30</v>
      </c>
      <c r="N4" s="29">
        <v>45323</v>
      </c>
    </row>
    <row r="5" spans="2:28" x14ac:dyDescent="0.25">
      <c r="C5" s="58" t="s">
        <v>35</v>
      </c>
      <c r="D5" s="58"/>
      <c r="E5" s="58"/>
      <c r="U5" t="s">
        <v>42</v>
      </c>
      <c r="V5" t="s">
        <v>43</v>
      </c>
    </row>
    <row r="6" spans="2:28" ht="15.75" x14ac:dyDescent="0.25">
      <c r="N6" s="14" t="s">
        <v>27</v>
      </c>
      <c r="O6" s="30">
        <f>S6*16.5%</f>
        <v>3300</v>
      </c>
      <c r="P6" s="31" t="s">
        <v>26</v>
      </c>
      <c r="Q6" s="12">
        <f>(S6*8)/100</f>
        <v>1600</v>
      </c>
      <c r="R6" s="14" t="s">
        <v>25</v>
      </c>
      <c r="S6" s="12">
        <v>20000</v>
      </c>
      <c r="T6" t="s">
        <v>41</v>
      </c>
      <c r="U6">
        <v>479.55</v>
      </c>
      <c r="V6">
        <f>U6/30</f>
        <v>15.985000000000001</v>
      </c>
    </row>
    <row r="7" spans="2:28" ht="46.5" customHeight="1" x14ac:dyDescent="0.25">
      <c r="B7" s="61" t="s">
        <v>24</v>
      </c>
      <c r="C7" s="59" t="s">
        <v>9</v>
      </c>
      <c r="D7" s="59"/>
      <c r="E7" s="59"/>
      <c r="F7" s="59"/>
      <c r="G7" s="59"/>
      <c r="H7" s="59"/>
      <c r="I7" s="59"/>
      <c r="J7" s="59" t="s">
        <v>23</v>
      </c>
      <c r="K7" s="59"/>
      <c r="L7" s="59"/>
      <c r="M7" s="59"/>
      <c r="N7" s="59" t="s">
        <v>22</v>
      </c>
      <c r="O7" s="59"/>
      <c r="P7" s="59"/>
      <c r="Q7" s="60" t="s">
        <v>21</v>
      </c>
      <c r="R7" s="59" t="s">
        <v>20</v>
      </c>
      <c r="S7" s="59"/>
      <c r="T7" s="59"/>
      <c r="U7" s="59" t="s">
        <v>10</v>
      </c>
      <c r="V7" s="59"/>
      <c r="W7" s="59"/>
      <c r="X7" s="59" t="s">
        <v>11</v>
      </c>
      <c r="Y7" s="59"/>
      <c r="Z7" s="59"/>
      <c r="AA7" s="59"/>
      <c r="AB7" s="60" t="s">
        <v>8</v>
      </c>
    </row>
    <row r="8" spans="2:28" ht="30" x14ac:dyDescent="0.25">
      <c r="B8" s="61"/>
      <c r="C8" s="15" t="s">
        <v>1</v>
      </c>
      <c r="D8" s="15" t="s">
        <v>0</v>
      </c>
      <c r="E8" s="15" t="s">
        <v>2</v>
      </c>
      <c r="F8" s="15" t="s">
        <v>19</v>
      </c>
      <c r="G8" s="15" t="s">
        <v>18</v>
      </c>
      <c r="H8" s="15" t="s">
        <v>17</v>
      </c>
      <c r="I8" s="15" t="s">
        <v>3</v>
      </c>
      <c r="J8" s="15" t="s">
        <v>1</v>
      </c>
      <c r="K8" s="15" t="s">
        <v>0</v>
      </c>
      <c r="L8" s="15" t="s">
        <v>2</v>
      </c>
      <c r="M8" s="15" t="s">
        <v>3</v>
      </c>
      <c r="N8" s="15" t="s">
        <v>4</v>
      </c>
      <c r="O8" s="15" t="s">
        <v>5</v>
      </c>
      <c r="P8" s="15" t="s">
        <v>16</v>
      </c>
      <c r="Q8" s="60"/>
      <c r="R8" s="15" t="s">
        <v>6</v>
      </c>
      <c r="S8" s="15" t="s">
        <v>15</v>
      </c>
      <c r="T8" s="15" t="s">
        <v>16</v>
      </c>
      <c r="U8" s="15" t="s">
        <v>4</v>
      </c>
      <c r="V8" s="15" t="s">
        <v>5</v>
      </c>
      <c r="W8" s="15" t="s">
        <v>16</v>
      </c>
      <c r="X8" s="15" t="s">
        <v>6</v>
      </c>
      <c r="Y8" s="15" t="s">
        <v>15</v>
      </c>
      <c r="Z8" s="32" t="s">
        <v>14</v>
      </c>
      <c r="AA8" s="15" t="s">
        <v>7</v>
      </c>
      <c r="AB8" s="60"/>
    </row>
    <row r="9" spans="2:28" x14ac:dyDescent="0.25">
      <c r="B9" s="33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7"/>
      <c r="G11" s="23"/>
      <c r="H11" s="7"/>
      <c r="I11" s="7"/>
      <c r="J11" s="6"/>
      <c r="K11" s="6"/>
      <c r="L11" s="6"/>
      <c r="M11" s="6"/>
      <c r="N11" s="5"/>
      <c r="O11" s="24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5"/>
      <c r="AB11" s="26"/>
    </row>
    <row r="12" spans="2:28" ht="18" x14ac:dyDescent="0.25">
      <c r="B12" s="3"/>
      <c r="C12" s="7"/>
      <c r="D12" s="7"/>
      <c r="E12" s="9"/>
      <c r="F12" s="8"/>
      <c r="G12" s="23"/>
      <c r="H12" s="7"/>
      <c r="I12" s="7"/>
      <c r="J12" s="6"/>
      <c r="K12" s="6"/>
      <c r="L12" s="6"/>
      <c r="M12" s="6"/>
      <c r="N12" s="5"/>
      <c r="O12" s="24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5"/>
      <c r="AB12" s="26"/>
    </row>
    <row r="13" spans="2:28" ht="18" x14ac:dyDescent="0.25">
      <c r="B13" s="3">
        <v>29</v>
      </c>
      <c r="C13" s="7">
        <v>228052</v>
      </c>
      <c r="D13" s="7">
        <v>532298</v>
      </c>
      <c r="E13" s="9">
        <v>123379</v>
      </c>
      <c r="F13" s="8">
        <f>C13+D13+E13</f>
        <v>883729</v>
      </c>
      <c r="G13" s="23">
        <f t="shared" ref="G13:G41" si="0">(C14+D14+E14)+((S13/24)*7.5)</f>
        <v>883479.4375</v>
      </c>
      <c r="H13" s="7">
        <f t="shared" ref="H13:H41" si="1">G13+((K13/12)*2.5)</f>
        <v>883526.9375</v>
      </c>
      <c r="I13" s="7">
        <v>622166</v>
      </c>
      <c r="J13" s="6">
        <f t="shared" ref="J13:L13" si="2">C13-C14</f>
        <v>96</v>
      </c>
      <c r="K13" s="6">
        <f t="shared" si="2"/>
        <v>228</v>
      </c>
      <c r="L13" s="6">
        <f t="shared" si="2"/>
        <v>39</v>
      </c>
      <c r="M13" s="6">
        <f t="shared" ref="M13:M41" si="3">I13-I14</f>
        <v>240</v>
      </c>
      <c r="N13" s="5">
        <f t="shared" ref="N13:N40" si="4">N14</f>
        <v>113.79310344827586</v>
      </c>
      <c r="O13" s="24">
        <f t="shared" ref="O13:O41" si="5">L13</f>
        <v>39</v>
      </c>
      <c r="P13" s="5">
        <f t="shared" ref="P13:P41" si="6">N13-O13</f>
        <v>74.793103448275858</v>
      </c>
      <c r="Q13" s="5">
        <f t="shared" ref="Q13:Q41" si="7">H13-G13</f>
        <v>47.5</v>
      </c>
      <c r="R13" s="7">
        <f t="shared" ref="R13:R39" si="8">R14</f>
        <v>689.65517241379314</v>
      </c>
      <c r="S13" s="6">
        <f t="shared" ref="S13:S39" si="9">J13+K13+L13</f>
        <v>363</v>
      </c>
      <c r="T13" s="7">
        <f t="shared" ref="T13:T41" si="10">R13-S13</f>
        <v>326.65517241379314</v>
      </c>
      <c r="U13" s="7">
        <f t="shared" ref="U13:V40" si="11">U14+N13</f>
        <v>3299.9999999999991</v>
      </c>
      <c r="V13" s="7">
        <f t="shared" si="11"/>
        <v>2178</v>
      </c>
      <c r="W13" s="7">
        <f t="shared" ref="W13:W41" si="12">U13-V13</f>
        <v>1121.9999999999991</v>
      </c>
      <c r="X13" s="7">
        <f t="shared" ref="X13:Y40" si="13">X14+R13</f>
        <v>20000.000000000007</v>
      </c>
      <c r="Y13" s="7">
        <f t="shared" si="13"/>
        <v>13915.985000000001</v>
      </c>
      <c r="Z13" s="7">
        <f t="shared" ref="Z13:Z41" si="14">X13-Y13</f>
        <v>6084.0150000000067</v>
      </c>
      <c r="AA13" s="25">
        <f t="shared" ref="AA13:AA41" si="15">COS(ATAN(M13/S13))</f>
        <v>0.83416541953667733</v>
      </c>
      <c r="AB13" s="26"/>
    </row>
    <row r="14" spans="2:28" ht="18" x14ac:dyDescent="0.25">
      <c r="B14" s="3">
        <v>28</v>
      </c>
      <c r="C14" s="7">
        <f>C15+102</f>
        <v>227956</v>
      </c>
      <c r="D14" s="7">
        <f>D15+257</f>
        <v>532070</v>
      </c>
      <c r="E14" s="9">
        <f>E15+52</f>
        <v>123340</v>
      </c>
      <c r="F14" s="8">
        <f t="shared" ref="F14:F41" si="16">C14+D14+E14</f>
        <v>883366</v>
      </c>
      <c r="G14" s="23">
        <f t="shared" si="0"/>
        <v>883083.4375</v>
      </c>
      <c r="H14" s="7">
        <f t="shared" si="1"/>
        <v>883136.97916666663</v>
      </c>
      <c r="I14" s="7">
        <f>I15+257</f>
        <v>621926</v>
      </c>
      <c r="J14" s="6">
        <f t="shared" ref="J14:L41" si="17">C14-C15</f>
        <v>102</v>
      </c>
      <c r="K14" s="6">
        <f t="shared" si="17"/>
        <v>257</v>
      </c>
      <c r="L14" s="6">
        <f t="shared" si="17"/>
        <v>52</v>
      </c>
      <c r="M14" s="6">
        <f t="shared" si="3"/>
        <v>257</v>
      </c>
      <c r="N14" s="5">
        <f t="shared" si="4"/>
        <v>113.79310344827586</v>
      </c>
      <c r="O14" s="24">
        <f t="shared" si="5"/>
        <v>52</v>
      </c>
      <c r="P14" s="5">
        <f t="shared" si="6"/>
        <v>61.793103448275858</v>
      </c>
      <c r="Q14" s="5">
        <f t="shared" si="7"/>
        <v>53.541666666627862</v>
      </c>
      <c r="R14" s="7">
        <f t="shared" si="8"/>
        <v>689.65517241379314</v>
      </c>
      <c r="S14" s="6">
        <f t="shared" si="9"/>
        <v>411</v>
      </c>
      <c r="T14" s="7">
        <f t="shared" si="10"/>
        <v>278.65517241379314</v>
      </c>
      <c r="U14" s="7">
        <f t="shared" si="11"/>
        <v>3186.2068965517233</v>
      </c>
      <c r="V14" s="7">
        <f t="shared" si="11"/>
        <v>2139</v>
      </c>
      <c r="W14" s="7">
        <f t="shared" si="12"/>
        <v>1047.2068965517233</v>
      </c>
      <c r="X14" s="7">
        <f t="shared" si="13"/>
        <v>19310.344827586214</v>
      </c>
      <c r="Y14" s="7">
        <f t="shared" si="13"/>
        <v>13552.985000000001</v>
      </c>
      <c r="Z14" s="7">
        <f t="shared" si="14"/>
        <v>5757.3598275862132</v>
      </c>
      <c r="AA14" s="25">
        <f t="shared" si="15"/>
        <v>0.84788238630439461</v>
      </c>
      <c r="AB14" s="26"/>
    </row>
    <row r="15" spans="2:28" ht="18" x14ac:dyDescent="0.25">
      <c r="B15" s="3">
        <v>27</v>
      </c>
      <c r="C15" s="7">
        <v>227854</v>
      </c>
      <c r="D15" s="7">
        <v>531813</v>
      </c>
      <c r="E15" s="9">
        <v>123288</v>
      </c>
      <c r="F15" s="8">
        <f t="shared" si="16"/>
        <v>882955</v>
      </c>
      <c r="G15" s="23">
        <f t="shared" si="0"/>
        <v>882543.1875</v>
      </c>
      <c r="H15" s="7">
        <f t="shared" si="1"/>
        <v>882621.52083333337</v>
      </c>
      <c r="I15" s="7">
        <v>621669</v>
      </c>
      <c r="J15" s="6">
        <f t="shared" si="17"/>
        <v>128</v>
      </c>
      <c r="K15" s="6">
        <f t="shared" si="17"/>
        <v>376</v>
      </c>
      <c r="L15" s="6">
        <f t="shared" si="17"/>
        <v>95</v>
      </c>
      <c r="M15" s="6">
        <f t="shared" si="3"/>
        <v>399</v>
      </c>
      <c r="N15" s="5">
        <f t="shared" si="4"/>
        <v>113.79310344827586</v>
      </c>
      <c r="O15" s="24">
        <f t="shared" si="5"/>
        <v>95</v>
      </c>
      <c r="P15" s="5">
        <f t="shared" si="6"/>
        <v>18.793103448275858</v>
      </c>
      <c r="Q15" s="5">
        <f t="shared" si="7"/>
        <v>78.333333333372138</v>
      </c>
      <c r="R15" s="7">
        <f t="shared" si="8"/>
        <v>689.65517241379314</v>
      </c>
      <c r="S15" s="6">
        <f t="shared" si="9"/>
        <v>599</v>
      </c>
      <c r="T15" s="7">
        <f t="shared" si="10"/>
        <v>90.655172413793139</v>
      </c>
      <c r="U15" s="7">
        <f t="shared" si="11"/>
        <v>3072.4137931034475</v>
      </c>
      <c r="V15" s="7">
        <f t="shared" si="11"/>
        <v>2087</v>
      </c>
      <c r="W15" s="7">
        <f t="shared" si="12"/>
        <v>985.41379310344746</v>
      </c>
      <c r="X15" s="7">
        <f t="shared" si="13"/>
        <v>18620.68965517242</v>
      </c>
      <c r="Y15" s="7">
        <f t="shared" si="13"/>
        <v>13141.985000000001</v>
      </c>
      <c r="Z15" s="7">
        <f t="shared" si="14"/>
        <v>5478.7046551724197</v>
      </c>
      <c r="AA15" s="25">
        <f t="shared" si="15"/>
        <v>0.83226398984346261</v>
      </c>
      <c r="AB15" s="26"/>
    </row>
    <row r="16" spans="2:28" ht="18" x14ac:dyDescent="0.25">
      <c r="B16" s="3">
        <v>26</v>
      </c>
      <c r="C16" s="7">
        <v>227726</v>
      </c>
      <c r="D16" s="7">
        <v>531437</v>
      </c>
      <c r="E16" s="9">
        <v>123193</v>
      </c>
      <c r="F16" s="8">
        <f t="shared" si="16"/>
        <v>882356</v>
      </c>
      <c r="G16" s="23">
        <f t="shared" si="0"/>
        <v>881881.625</v>
      </c>
      <c r="H16" s="7">
        <f t="shared" si="1"/>
        <v>881978.5</v>
      </c>
      <c r="I16" s="7">
        <v>621270</v>
      </c>
      <c r="J16" s="6">
        <f t="shared" si="17"/>
        <v>139</v>
      </c>
      <c r="K16" s="6">
        <f t="shared" si="17"/>
        <v>465</v>
      </c>
      <c r="L16" s="6">
        <f t="shared" si="17"/>
        <v>86</v>
      </c>
      <c r="M16" s="6">
        <f t="shared" si="3"/>
        <v>347</v>
      </c>
      <c r="N16" s="5">
        <f t="shared" si="4"/>
        <v>113.79310344827586</v>
      </c>
      <c r="O16" s="24">
        <f t="shared" si="5"/>
        <v>86</v>
      </c>
      <c r="P16" s="5">
        <f t="shared" si="6"/>
        <v>27.793103448275858</v>
      </c>
      <c r="Q16" s="5">
        <f t="shared" si="7"/>
        <v>96.875</v>
      </c>
      <c r="R16" s="7">
        <f t="shared" si="8"/>
        <v>689.65517241379314</v>
      </c>
      <c r="S16" s="6">
        <f t="shared" si="9"/>
        <v>690</v>
      </c>
      <c r="T16" s="7">
        <f t="shared" si="10"/>
        <v>-0.34482758620686127</v>
      </c>
      <c r="U16" s="7">
        <f t="shared" si="11"/>
        <v>2958.6206896551716</v>
      </c>
      <c r="V16" s="7">
        <f t="shared" si="11"/>
        <v>1992</v>
      </c>
      <c r="W16" s="7">
        <f t="shared" si="12"/>
        <v>966.62068965517165</v>
      </c>
      <c r="X16" s="7">
        <f t="shared" si="13"/>
        <v>17931.034482758627</v>
      </c>
      <c r="Y16" s="7">
        <f t="shared" si="13"/>
        <v>12542.985000000001</v>
      </c>
      <c r="Z16" s="7">
        <f t="shared" si="14"/>
        <v>5388.0494827586263</v>
      </c>
      <c r="AA16" s="25">
        <f t="shared" si="15"/>
        <v>0.89338897859026045</v>
      </c>
      <c r="AB16" s="26"/>
    </row>
    <row r="17" spans="2:28" ht="18" x14ac:dyDescent="0.25">
      <c r="B17" s="3">
        <v>25</v>
      </c>
      <c r="C17" s="7">
        <f>C18+198</f>
        <v>227587</v>
      </c>
      <c r="D17" s="7">
        <f>D18+381</f>
        <v>530972</v>
      </c>
      <c r="E17" s="9">
        <f>E18+99</f>
        <v>123107</v>
      </c>
      <c r="F17" s="8">
        <f t="shared" si="16"/>
        <v>881666</v>
      </c>
      <c r="G17" s="23">
        <f t="shared" si="0"/>
        <v>881199.875</v>
      </c>
      <c r="H17" s="7">
        <f t="shared" si="1"/>
        <v>881279.25</v>
      </c>
      <c r="I17" s="7">
        <f>I18+586</f>
        <v>620923</v>
      </c>
      <c r="J17" s="6">
        <f t="shared" si="17"/>
        <v>198</v>
      </c>
      <c r="K17" s="6">
        <f t="shared" si="17"/>
        <v>381</v>
      </c>
      <c r="L17" s="6">
        <f t="shared" si="17"/>
        <v>99</v>
      </c>
      <c r="M17" s="6">
        <f t="shared" si="3"/>
        <v>586</v>
      </c>
      <c r="N17" s="5">
        <f t="shared" si="4"/>
        <v>113.79310344827586</v>
      </c>
      <c r="O17" s="24">
        <f t="shared" si="5"/>
        <v>99</v>
      </c>
      <c r="P17" s="5">
        <f t="shared" si="6"/>
        <v>14.793103448275858</v>
      </c>
      <c r="Q17" s="5">
        <f t="shared" si="7"/>
        <v>79.375</v>
      </c>
      <c r="R17" s="7">
        <f t="shared" si="8"/>
        <v>689.65517241379314</v>
      </c>
      <c r="S17" s="6">
        <f t="shared" si="9"/>
        <v>678</v>
      </c>
      <c r="T17" s="7">
        <f t="shared" si="10"/>
        <v>11.655172413793139</v>
      </c>
      <c r="U17" s="7">
        <f t="shared" si="11"/>
        <v>2844.8275862068958</v>
      </c>
      <c r="V17" s="7">
        <f t="shared" si="11"/>
        <v>1906</v>
      </c>
      <c r="W17" s="7">
        <f t="shared" si="12"/>
        <v>938.82758620689583</v>
      </c>
      <c r="X17" s="7">
        <f t="shared" si="13"/>
        <v>17241.379310344833</v>
      </c>
      <c r="Y17" s="7">
        <f t="shared" si="13"/>
        <v>11852.985000000001</v>
      </c>
      <c r="Z17" s="7">
        <f t="shared" si="14"/>
        <v>5388.3943103448328</v>
      </c>
      <c r="AA17" s="25">
        <f t="shared" si="15"/>
        <v>0.75657204228520414</v>
      </c>
      <c r="AB17" s="26"/>
    </row>
    <row r="18" spans="2:28" ht="18" x14ac:dyDescent="0.25">
      <c r="B18" s="3">
        <v>24</v>
      </c>
      <c r="C18" s="7">
        <f>C19+111</f>
        <v>227389</v>
      </c>
      <c r="D18" s="7">
        <f>D19+283</f>
        <v>530591</v>
      </c>
      <c r="E18" s="9">
        <f>E19+71</f>
        <v>123008</v>
      </c>
      <c r="F18" s="8">
        <f t="shared" si="16"/>
        <v>880988</v>
      </c>
      <c r="G18" s="23">
        <f t="shared" si="0"/>
        <v>880668.3125</v>
      </c>
      <c r="H18" s="7">
        <f t="shared" si="1"/>
        <v>880727.27083333337</v>
      </c>
      <c r="I18" s="7">
        <f>I19+398</f>
        <v>620337</v>
      </c>
      <c r="J18" s="6">
        <f t="shared" si="17"/>
        <v>111</v>
      </c>
      <c r="K18" s="6">
        <f t="shared" si="17"/>
        <v>283</v>
      </c>
      <c r="L18" s="6">
        <f t="shared" si="17"/>
        <v>71</v>
      </c>
      <c r="M18" s="6">
        <f t="shared" si="3"/>
        <v>398</v>
      </c>
      <c r="N18" s="5">
        <f t="shared" si="4"/>
        <v>113.79310344827586</v>
      </c>
      <c r="O18" s="24">
        <f t="shared" si="5"/>
        <v>71</v>
      </c>
      <c r="P18" s="5">
        <f t="shared" si="6"/>
        <v>42.793103448275858</v>
      </c>
      <c r="Q18" s="5">
        <f t="shared" si="7"/>
        <v>58.958333333372138</v>
      </c>
      <c r="R18" s="7">
        <f t="shared" si="8"/>
        <v>689.65517241379314</v>
      </c>
      <c r="S18" s="6">
        <f t="shared" si="9"/>
        <v>465</v>
      </c>
      <c r="T18" s="7">
        <f t="shared" si="10"/>
        <v>224.65517241379314</v>
      </c>
      <c r="U18" s="7">
        <f t="shared" si="11"/>
        <v>2731.03448275862</v>
      </c>
      <c r="V18" s="7">
        <f t="shared" si="11"/>
        <v>1807</v>
      </c>
      <c r="W18" s="7">
        <f t="shared" si="12"/>
        <v>924.03448275862002</v>
      </c>
      <c r="X18" s="7">
        <f t="shared" si="13"/>
        <v>16551.72413793104</v>
      </c>
      <c r="Y18" s="7">
        <f t="shared" si="13"/>
        <v>11174.985000000001</v>
      </c>
      <c r="Z18" s="7">
        <f t="shared" si="14"/>
        <v>5376.7391379310393</v>
      </c>
      <c r="AA18" s="25">
        <f t="shared" si="15"/>
        <v>0.7597177202907025</v>
      </c>
      <c r="AB18" s="26"/>
    </row>
    <row r="19" spans="2:28" ht="18" x14ac:dyDescent="0.25">
      <c r="B19" s="3">
        <v>23</v>
      </c>
      <c r="C19" s="7">
        <f>C20+38</f>
        <v>227278</v>
      </c>
      <c r="D19" s="7">
        <f>D20+50</f>
        <v>530308</v>
      </c>
      <c r="E19" s="9">
        <f>E20+52</f>
        <v>122937</v>
      </c>
      <c r="F19" s="8">
        <f t="shared" si="16"/>
        <v>880523</v>
      </c>
      <c r="G19" s="23">
        <f t="shared" si="0"/>
        <v>880426.75</v>
      </c>
      <c r="H19" s="7">
        <f t="shared" si="1"/>
        <v>880437.16666666663</v>
      </c>
      <c r="I19" s="7">
        <f>I20+192</f>
        <v>619939</v>
      </c>
      <c r="J19" s="6">
        <f t="shared" si="17"/>
        <v>38</v>
      </c>
      <c r="K19" s="6">
        <f t="shared" si="17"/>
        <v>50</v>
      </c>
      <c r="L19" s="6">
        <f t="shared" si="17"/>
        <v>52</v>
      </c>
      <c r="M19" s="6">
        <f t="shared" si="3"/>
        <v>192</v>
      </c>
      <c r="N19" s="5">
        <f t="shared" si="4"/>
        <v>113.79310344827586</v>
      </c>
      <c r="O19" s="3">
        <f t="shared" si="5"/>
        <v>52</v>
      </c>
      <c r="P19" s="5">
        <f t="shared" si="6"/>
        <v>61.793103448275858</v>
      </c>
      <c r="Q19" s="5">
        <f t="shared" si="7"/>
        <v>10.416666666627862</v>
      </c>
      <c r="R19" s="7">
        <f t="shared" si="8"/>
        <v>689.65517241379314</v>
      </c>
      <c r="S19" s="6">
        <f t="shared" si="9"/>
        <v>140</v>
      </c>
      <c r="T19" s="7">
        <f t="shared" si="10"/>
        <v>549.65517241379314</v>
      </c>
      <c r="U19" s="7">
        <f t="shared" si="11"/>
        <v>2617.2413793103442</v>
      </c>
      <c r="V19" s="7">
        <f t="shared" si="11"/>
        <v>1736</v>
      </c>
      <c r="W19" s="7">
        <f t="shared" si="12"/>
        <v>881.2413793103442</v>
      </c>
      <c r="X19" s="7">
        <f t="shared" si="13"/>
        <v>15862.068965517248</v>
      </c>
      <c r="Y19" s="7">
        <f t="shared" si="13"/>
        <v>10709.985000000001</v>
      </c>
      <c r="Z19" s="7">
        <f t="shared" si="14"/>
        <v>5152.0839655172476</v>
      </c>
      <c r="AA19" s="25">
        <f t="shared" si="15"/>
        <v>0.58917215744944185</v>
      </c>
      <c r="AB19" s="1"/>
    </row>
    <row r="20" spans="2:28" ht="18" x14ac:dyDescent="0.25">
      <c r="B20" s="3">
        <v>22</v>
      </c>
      <c r="C20" s="7">
        <v>227240</v>
      </c>
      <c r="D20" s="7">
        <v>530258</v>
      </c>
      <c r="E20" s="9">
        <v>122885</v>
      </c>
      <c r="F20" s="8">
        <f t="shared" si="16"/>
        <v>880383</v>
      </c>
      <c r="G20" s="23">
        <f t="shared" si="0"/>
        <v>879984.9375</v>
      </c>
      <c r="H20" s="7">
        <f t="shared" si="1"/>
        <v>880064.52083333337</v>
      </c>
      <c r="I20" s="7">
        <v>619747</v>
      </c>
      <c r="J20" s="6">
        <f t="shared" si="17"/>
        <v>124</v>
      </c>
      <c r="K20" s="6">
        <f t="shared" si="17"/>
        <v>382</v>
      </c>
      <c r="L20" s="6">
        <f t="shared" si="17"/>
        <v>73</v>
      </c>
      <c r="M20" s="6">
        <f t="shared" si="3"/>
        <v>502</v>
      </c>
      <c r="N20" s="5">
        <f t="shared" si="4"/>
        <v>113.79310344827586</v>
      </c>
      <c r="O20" s="3">
        <f t="shared" si="5"/>
        <v>73</v>
      </c>
      <c r="P20" s="5">
        <f t="shared" si="6"/>
        <v>40.793103448275858</v>
      </c>
      <c r="Q20" s="5">
        <f t="shared" si="7"/>
        <v>79.583333333372138</v>
      </c>
      <c r="R20" s="7">
        <f t="shared" si="8"/>
        <v>689.65517241379314</v>
      </c>
      <c r="S20" s="6">
        <f t="shared" si="9"/>
        <v>579</v>
      </c>
      <c r="T20" s="7">
        <f t="shared" si="10"/>
        <v>110.65517241379314</v>
      </c>
      <c r="U20" s="7">
        <f t="shared" si="11"/>
        <v>2503.4482758620684</v>
      </c>
      <c r="V20" s="7">
        <f t="shared" si="11"/>
        <v>1684</v>
      </c>
      <c r="W20" s="7">
        <f t="shared" si="12"/>
        <v>819.44827586206839</v>
      </c>
      <c r="X20" s="7">
        <f t="shared" si="13"/>
        <v>15172.413793103455</v>
      </c>
      <c r="Y20" s="7">
        <f t="shared" si="13"/>
        <v>10569.985000000001</v>
      </c>
      <c r="Z20" s="7">
        <f t="shared" si="14"/>
        <v>4602.4287931034542</v>
      </c>
      <c r="AA20" s="25">
        <f t="shared" si="15"/>
        <v>0.75555989896633546</v>
      </c>
      <c r="AB20" s="1"/>
    </row>
    <row r="21" spans="2:28" ht="18" x14ac:dyDescent="0.25">
      <c r="B21" s="3">
        <v>21</v>
      </c>
      <c r="C21" s="7">
        <v>227116</v>
      </c>
      <c r="D21" s="7">
        <v>529876</v>
      </c>
      <c r="E21" s="9">
        <v>122812</v>
      </c>
      <c r="F21" s="8">
        <f t="shared" si="16"/>
        <v>879804</v>
      </c>
      <c r="G21" s="23">
        <f t="shared" si="0"/>
        <v>879461.625</v>
      </c>
      <c r="H21" s="7">
        <f t="shared" si="1"/>
        <v>879518.5</v>
      </c>
      <c r="I21" s="7">
        <v>619245</v>
      </c>
      <c r="J21" s="6">
        <f t="shared" si="17"/>
        <v>127</v>
      </c>
      <c r="K21" s="6">
        <f t="shared" si="17"/>
        <v>273</v>
      </c>
      <c r="L21" s="6">
        <f t="shared" si="17"/>
        <v>98</v>
      </c>
      <c r="M21" s="6">
        <f t="shared" si="3"/>
        <v>291</v>
      </c>
      <c r="N21" s="5">
        <f t="shared" si="4"/>
        <v>113.79310344827586</v>
      </c>
      <c r="O21" s="3">
        <f t="shared" si="5"/>
        <v>98</v>
      </c>
      <c r="P21" s="5">
        <f t="shared" si="6"/>
        <v>15.793103448275858</v>
      </c>
      <c r="Q21" s="5">
        <f t="shared" si="7"/>
        <v>56.875</v>
      </c>
      <c r="R21" s="7">
        <f t="shared" si="8"/>
        <v>689.65517241379314</v>
      </c>
      <c r="S21" s="6">
        <f t="shared" si="9"/>
        <v>498</v>
      </c>
      <c r="T21" s="7">
        <f t="shared" si="10"/>
        <v>191.65517241379314</v>
      </c>
      <c r="U21" s="7">
        <f t="shared" si="11"/>
        <v>2389.6551724137926</v>
      </c>
      <c r="V21" s="7">
        <f t="shared" si="11"/>
        <v>1611</v>
      </c>
      <c r="W21" s="7">
        <f t="shared" si="12"/>
        <v>778.65517241379257</v>
      </c>
      <c r="X21" s="7">
        <f t="shared" si="13"/>
        <v>14482.758620689661</v>
      </c>
      <c r="Y21" s="7">
        <f t="shared" si="13"/>
        <v>9990.9850000000006</v>
      </c>
      <c r="Z21" s="7">
        <f t="shared" si="14"/>
        <v>4491.7736206896607</v>
      </c>
      <c r="AA21" s="25">
        <f t="shared" si="15"/>
        <v>0.86340136868150308</v>
      </c>
      <c r="AB21" s="1"/>
    </row>
    <row r="22" spans="2:28" ht="18" x14ac:dyDescent="0.25">
      <c r="B22" s="3">
        <v>20</v>
      </c>
      <c r="C22" s="7">
        <v>226989</v>
      </c>
      <c r="D22" s="7">
        <v>529603</v>
      </c>
      <c r="E22" s="9">
        <v>122714</v>
      </c>
      <c r="F22" s="8">
        <f t="shared" si="16"/>
        <v>879306</v>
      </c>
      <c r="G22" s="23">
        <f t="shared" si="0"/>
        <v>878819.25</v>
      </c>
      <c r="H22" s="7">
        <f t="shared" si="1"/>
        <v>878902.58333333337</v>
      </c>
      <c r="I22" s="7">
        <v>618954</v>
      </c>
      <c r="J22" s="6">
        <f t="shared" si="17"/>
        <v>192</v>
      </c>
      <c r="K22" s="6">
        <f t="shared" si="17"/>
        <v>400</v>
      </c>
      <c r="L22" s="6">
        <f t="shared" si="17"/>
        <v>116</v>
      </c>
      <c r="M22" s="6">
        <f t="shared" si="3"/>
        <v>456</v>
      </c>
      <c r="N22" s="5">
        <f t="shared" si="4"/>
        <v>113.79310344827586</v>
      </c>
      <c r="O22" s="3">
        <f t="shared" si="5"/>
        <v>116</v>
      </c>
      <c r="P22" s="5">
        <f t="shared" si="6"/>
        <v>-2.2068965517241423</v>
      </c>
      <c r="Q22" s="5">
        <f t="shared" si="7"/>
        <v>83.333333333372138</v>
      </c>
      <c r="R22" s="7">
        <f t="shared" si="8"/>
        <v>689.65517241379314</v>
      </c>
      <c r="S22" s="6">
        <f t="shared" si="9"/>
        <v>708</v>
      </c>
      <c r="T22" s="7">
        <f t="shared" si="10"/>
        <v>-18.344827586206861</v>
      </c>
      <c r="U22" s="7">
        <f t="shared" si="11"/>
        <v>2275.8620689655168</v>
      </c>
      <c r="V22" s="7">
        <f t="shared" si="11"/>
        <v>1513</v>
      </c>
      <c r="W22" s="7">
        <f t="shared" si="12"/>
        <v>762.86206896551676</v>
      </c>
      <c r="X22" s="7">
        <f t="shared" si="13"/>
        <v>13793.103448275868</v>
      </c>
      <c r="Y22" s="7">
        <f t="shared" si="13"/>
        <v>9492.9850000000006</v>
      </c>
      <c r="Z22" s="7">
        <f t="shared" si="14"/>
        <v>4300.1184482758672</v>
      </c>
      <c r="AA22" s="25">
        <f t="shared" si="15"/>
        <v>0.84071518985733384</v>
      </c>
      <c r="AB22" s="1"/>
    </row>
    <row r="23" spans="2:28" ht="18" x14ac:dyDescent="0.25">
      <c r="B23" s="3">
        <v>19</v>
      </c>
      <c r="C23" s="7">
        <v>226797</v>
      </c>
      <c r="D23" s="7">
        <v>529203</v>
      </c>
      <c r="E23" s="9">
        <v>122598</v>
      </c>
      <c r="F23" s="10">
        <f>C23+D23+E23</f>
        <v>878598</v>
      </c>
      <c r="G23" s="23">
        <f t="shared" si="0"/>
        <v>878060.375</v>
      </c>
      <c r="H23" s="7">
        <f t="shared" si="1"/>
        <v>878150.79166666663</v>
      </c>
      <c r="I23" s="7">
        <v>618498</v>
      </c>
      <c r="J23" s="6">
        <f t="shared" si="17"/>
        <v>212</v>
      </c>
      <c r="K23" s="6">
        <f t="shared" si="17"/>
        <v>434</v>
      </c>
      <c r="L23" s="6">
        <f t="shared" si="17"/>
        <v>136</v>
      </c>
      <c r="M23" s="6">
        <f t="shared" si="3"/>
        <v>610</v>
      </c>
      <c r="N23" s="5">
        <f t="shared" si="4"/>
        <v>113.79310344827586</v>
      </c>
      <c r="O23" s="3">
        <f t="shared" si="5"/>
        <v>136</v>
      </c>
      <c r="P23" s="5">
        <f t="shared" si="6"/>
        <v>-22.206896551724142</v>
      </c>
      <c r="Q23" s="5">
        <f t="shared" si="7"/>
        <v>90.416666666627862</v>
      </c>
      <c r="R23" s="7">
        <f t="shared" si="8"/>
        <v>689.65517241379314</v>
      </c>
      <c r="S23" s="6">
        <f t="shared" si="9"/>
        <v>782</v>
      </c>
      <c r="T23" s="7">
        <f t="shared" si="10"/>
        <v>-92.344827586206861</v>
      </c>
      <c r="U23" s="7">
        <f t="shared" si="11"/>
        <v>2162.0689655172409</v>
      </c>
      <c r="V23" s="7">
        <f t="shared" si="11"/>
        <v>1397</v>
      </c>
      <c r="W23" s="7">
        <f t="shared" si="12"/>
        <v>765.06896551724094</v>
      </c>
      <c r="X23" s="7">
        <f t="shared" si="13"/>
        <v>13103.448275862074</v>
      </c>
      <c r="Y23" s="7">
        <f t="shared" si="13"/>
        <v>8784.9850000000006</v>
      </c>
      <c r="Z23" s="7">
        <f t="shared" si="14"/>
        <v>4318.4632758620737</v>
      </c>
      <c r="AA23" s="25">
        <f t="shared" si="15"/>
        <v>0.78848274664949147</v>
      </c>
      <c r="AB23" s="1"/>
    </row>
    <row r="24" spans="2:28" ht="18" x14ac:dyDescent="0.25">
      <c r="B24" s="3">
        <v>18</v>
      </c>
      <c r="C24" s="7">
        <v>226585</v>
      </c>
      <c r="D24" s="7">
        <v>528769</v>
      </c>
      <c r="E24" s="9">
        <v>122462</v>
      </c>
      <c r="F24" s="8">
        <f t="shared" si="16"/>
        <v>877816</v>
      </c>
      <c r="G24" s="23">
        <f t="shared" si="0"/>
        <v>877510.75</v>
      </c>
      <c r="H24" s="7">
        <f t="shared" si="1"/>
        <v>877565.95833333337</v>
      </c>
      <c r="I24" s="7">
        <v>617888</v>
      </c>
      <c r="J24" s="6">
        <f t="shared" si="17"/>
        <v>119</v>
      </c>
      <c r="K24" s="6">
        <f t="shared" si="17"/>
        <v>265</v>
      </c>
      <c r="L24" s="6">
        <f t="shared" si="17"/>
        <v>60</v>
      </c>
      <c r="M24" s="6">
        <f t="shared" si="3"/>
        <v>323</v>
      </c>
      <c r="N24" s="5">
        <f t="shared" si="4"/>
        <v>113.79310344827586</v>
      </c>
      <c r="O24" s="3">
        <f t="shared" si="5"/>
        <v>60</v>
      </c>
      <c r="P24" s="5">
        <f t="shared" si="6"/>
        <v>53.793103448275858</v>
      </c>
      <c r="Q24" s="5">
        <f t="shared" si="7"/>
        <v>55.208333333372138</v>
      </c>
      <c r="R24" s="7">
        <f t="shared" si="8"/>
        <v>689.65517241379314</v>
      </c>
      <c r="S24" s="6">
        <f t="shared" si="9"/>
        <v>444</v>
      </c>
      <c r="T24" s="7">
        <f t="shared" si="10"/>
        <v>245.65517241379314</v>
      </c>
      <c r="U24" s="7">
        <f t="shared" si="11"/>
        <v>2048.2758620689651</v>
      </c>
      <c r="V24" s="7">
        <f t="shared" si="11"/>
        <v>1261</v>
      </c>
      <c r="W24" s="7">
        <f t="shared" si="12"/>
        <v>787.27586206896513</v>
      </c>
      <c r="X24" s="7">
        <f t="shared" si="13"/>
        <v>12413.793103448281</v>
      </c>
      <c r="Y24" s="7">
        <f t="shared" si="13"/>
        <v>8002.9850000000006</v>
      </c>
      <c r="Z24" s="7">
        <f t="shared" si="14"/>
        <v>4410.8081034482802</v>
      </c>
      <c r="AA24" s="25">
        <f t="shared" si="15"/>
        <v>0.80865731812226105</v>
      </c>
      <c r="AB24" s="1"/>
    </row>
    <row r="25" spans="2:28" ht="18" x14ac:dyDescent="0.25">
      <c r="B25" s="3">
        <v>17</v>
      </c>
      <c r="C25" s="7">
        <f>C26+116</f>
        <v>226466</v>
      </c>
      <c r="D25" s="7">
        <f>D26+241</f>
        <v>528504</v>
      </c>
      <c r="E25" s="9">
        <f>E26+59</f>
        <v>122402</v>
      </c>
      <c r="F25" s="8">
        <f t="shared" si="16"/>
        <v>877372</v>
      </c>
      <c r="G25" s="23">
        <f t="shared" si="0"/>
        <v>877086</v>
      </c>
      <c r="H25" s="7">
        <f t="shared" si="1"/>
        <v>877136.20833333337</v>
      </c>
      <c r="I25" s="7">
        <f>I26+320</f>
        <v>617565</v>
      </c>
      <c r="J25" s="6">
        <f t="shared" si="17"/>
        <v>116</v>
      </c>
      <c r="K25" s="6">
        <f t="shared" si="17"/>
        <v>241</v>
      </c>
      <c r="L25" s="6">
        <f t="shared" si="17"/>
        <v>59</v>
      </c>
      <c r="M25" s="7">
        <f t="shared" si="3"/>
        <v>320</v>
      </c>
      <c r="N25" s="5">
        <f t="shared" si="4"/>
        <v>113.79310344827586</v>
      </c>
      <c r="O25" s="3">
        <f t="shared" si="5"/>
        <v>59</v>
      </c>
      <c r="P25" s="5">
        <f t="shared" si="6"/>
        <v>54.793103448275858</v>
      </c>
      <c r="Q25" s="5">
        <f t="shared" si="7"/>
        <v>50.208333333372138</v>
      </c>
      <c r="R25" s="7">
        <f t="shared" si="8"/>
        <v>689.65517241379314</v>
      </c>
      <c r="S25" s="6">
        <f t="shared" si="9"/>
        <v>416</v>
      </c>
      <c r="T25" s="7">
        <f t="shared" si="10"/>
        <v>273.65517241379314</v>
      </c>
      <c r="U25" s="7">
        <f t="shared" si="11"/>
        <v>1934.4827586206891</v>
      </c>
      <c r="V25" s="6">
        <f t="shared" si="11"/>
        <v>1201</v>
      </c>
      <c r="W25" s="7">
        <f t="shared" si="12"/>
        <v>733.48275862068908</v>
      </c>
      <c r="X25" s="7">
        <f t="shared" si="13"/>
        <v>11724.137931034487</v>
      </c>
      <c r="Y25" s="7">
        <f t="shared" si="13"/>
        <v>7558.9850000000006</v>
      </c>
      <c r="Z25" s="7">
        <f t="shared" si="14"/>
        <v>4165.1529310344868</v>
      </c>
      <c r="AA25" s="25">
        <f t="shared" si="15"/>
        <v>0.79262398910460008</v>
      </c>
      <c r="AB25" s="1"/>
    </row>
    <row r="26" spans="2:28" ht="16.5" customHeight="1" x14ac:dyDescent="0.25">
      <c r="B26" s="3">
        <v>16</v>
      </c>
      <c r="C26" s="7">
        <f>C27+115</f>
        <v>226350</v>
      </c>
      <c r="D26" s="7">
        <f>D27+229</f>
        <v>528263</v>
      </c>
      <c r="E26" s="9">
        <f>E27+57</f>
        <v>122343</v>
      </c>
      <c r="F26" s="8">
        <f t="shared" si="16"/>
        <v>876956</v>
      </c>
      <c r="G26" s="23">
        <f t="shared" si="0"/>
        <v>876680.3125</v>
      </c>
      <c r="H26" s="7">
        <f t="shared" si="1"/>
        <v>876728.02083333337</v>
      </c>
      <c r="I26" s="7">
        <f>I27+316</f>
        <v>617245</v>
      </c>
      <c r="J26" s="6">
        <f t="shared" si="17"/>
        <v>115</v>
      </c>
      <c r="K26" s="6">
        <f t="shared" si="17"/>
        <v>229</v>
      </c>
      <c r="L26" s="6">
        <f t="shared" si="17"/>
        <v>57</v>
      </c>
      <c r="M26" s="7">
        <f t="shared" si="3"/>
        <v>316</v>
      </c>
      <c r="N26" s="5">
        <f t="shared" si="4"/>
        <v>113.79310344827586</v>
      </c>
      <c r="O26" s="3">
        <f t="shared" si="5"/>
        <v>57</v>
      </c>
      <c r="P26" s="5">
        <f t="shared" si="6"/>
        <v>56.793103448275858</v>
      </c>
      <c r="Q26" s="5">
        <f t="shared" si="7"/>
        <v>47.708333333372138</v>
      </c>
      <c r="R26" s="7">
        <f t="shared" si="8"/>
        <v>689.65517241379314</v>
      </c>
      <c r="S26" s="6">
        <f>J26+K26+L26</f>
        <v>401</v>
      </c>
      <c r="T26" s="7">
        <f t="shared" si="10"/>
        <v>288.65517241379314</v>
      </c>
      <c r="U26" s="7">
        <f t="shared" si="11"/>
        <v>1820.6896551724133</v>
      </c>
      <c r="V26" s="6">
        <f t="shared" si="11"/>
        <v>1142</v>
      </c>
      <c r="W26" s="7">
        <f t="shared" si="12"/>
        <v>678.68965517241327</v>
      </c>
      <c r="X26" s="7">
        <f t="shared" si="13"/>
        <v>11034.482758620694</v>
      </c>
      <c r="Y26" s="7">
        <f t="shared" si="13"/>
        <v>7142.9850000000006</v>
      </c>
      <c r="Z26" s="7">
        <f t="shared" si="14"/>
        <v>3891.4977586206933</v>
      </c>
      <c r="AA26" s="25">
        <f t="shared" si="15"/>
        <v>0.7854339624186607</v>
      </c>
      <c r="AB26" s="1"/>
    </row>
    <row r="27" spans="2:28" ht="18" x14ac:dyDescent="0.25">
      <c r="B27" s="3">
        <v>15</v>
      </c>
      <c r="C27" s="7">
        <f>C28+110</f>
        <v>226235</v>
      </c>
      <c r="D27" s="7">
        <f>D28+221</f>
        <v>528034</v>
      </c>
      <c r="E27" s="9">
        <f>E28+56</f>
        <v>122286</v>
      </c>
      <c r="F27" s="8">
        <f t="shared" si="16"/>
        <v>876555</v>
      </c>
      <c r="G27" s="23">
        <f t="shared" si="0"/>
        <v>876288.9375</v>
      </c>
      <c r="H27" s="7">
        <f t="shared" si="1"/>
        <v>876334.97916666663</v>
      </c>
      <c r="I27" s="7">
        <f>I28+299</f>
        <v>616929</v>
      </c>
      <c r="J27" s="6">
        <f t="shared" si="17"/>
        <v>110</v>
      </c>
      <c r="K27" s="6">
        <f t="shared" si="17"/>
        <v>221</v>
      </c>
      <c r="L27" s="6">
        <f t="shared" si="17"/>
        <v>56</v>
      </c>
      <c r="M27" s="7">
        <f t="shared" si="3"/>
        <v>299</v>
      </c>
      <c r="N27" s="5">
        <f t="shared" si="4"/>
        <v>113.79310344827586</v>
      </c>
      <c r="O27" s="3">
        <f t="shared" si="5"/>
        <v>56</v>
      </c>
      <c r="P27" s="5">
        <f t="shared" si="6"/>
        <v>57.793103448275858</v>
      </c>
      <c r="Q27" s="5">
        <f t="shared" si="7"/>
        <v>46.041666666627862</v>
      </c>
      <c r="R27" s="7">
        <f t="shared" si="8"/>
        <v>689.65517241379314</v>
      </c>
      <c r="S27" s="6">
        <f t="shared" si="9"/>
        <v>387</v>
      </c>
      <c r="T27" s="7">
        <f t="shared" si="10"/>
        <v>302.65517241379314</v>
      </c>
      <c r="U27" s="7">
        <f t="shared" si="11"/>
        <v>1706.8965517241375</v>
      </c>
      <c r="V27" s="6">
        <f t="shared" si="11"/>
        <v>1085</v>
      </c>
      <c r="W27" s="7">
        <f t="shared" si="12"/>
        <v>621.89655172413745</v>
      </c>
      <c r="X27" s="7">
        <f t="shared" si="13"/>
        <v>10344.8275862069</v>
      </c>
      <c r="Y27" s="7">
        <f t="shared" si="13"/>
        <v>6741.9850000000006</v>
      </c>
      <c r="Z27" s="7">
        <f t="shared" si="14"/>
        <v>3602.8425862068998</v>
      </c>
      <c r="AA27" s="25">
        <f t="shared" si="15"/>
        <v>0.79132996854680737</v>
      </c>
      <c r="AB27" s="1"/>
    </row>
    <row r="28" spans="2:28" ht="18" x14ac:dyDescent="0.25">
      <c r="B28" s="3">
        <v>14</v>
      </c>
      <c r="C28" s="7">
        <v>226125</v>
      </c>
      <c r="D28" s="7">
        <v>527813</v>
      </c>
      <c r="E28" s="9">
        <v>122230</v>
      </c>
      <c r="F28" s="8">
        <f t="shared" si="16"/>
        <v>876168</v>
      </c>
      <c r="G28" s="23">
        <f t="shared" si="0"/>
        <v>875937</v>
      </c>
      <c r="H28" s="7">
        <f t="shared" si="1"/>
        <v>875957.625</v>
      </c>
      <c r="I28" s="7">
        <v>616630</v>
      </c>
      <c r="J28" s="6">
        <f t="shared" si="17"/>
        <v>166</v>
      </c>
      <c r="K28" s="6">
        <f t="shared" si="17"/>
        <v>99</v>
      </c>
      <c r="L28" s="6">
        <f t="shared" si="17"/>
        <v>71</v>
      </c>
      <c r="M28" s="7">
        <f t="shared" si="3"/>
        <v>114</v>
      </c>
      <c r="N28" s="5">
        <f t="shared" si="4"/>
        <v>113.79310344827586</v>
      </c>
      <c r="O28" s="3">
        <f t="shared" si="5"/>
        <v>71</v>
      </c>
      <c r="P28" s="5">
        <f t="shared" si="6"/>
        <v>42.793103448275858</v>
      </c>
      <c r="Q28" s="5">
        <f t="shared" si="7"/>
        <v>20.625</v>
      </c>
      <c r="R28" s="7">
        <f t="shared" si="8"/>
        <v>689.65517241379314</v>
      </c>
      <c r="S28" s="6">
        <f t="shared" si="9"/>
        <v>336</v>
      </c>
      <c r="T28" s="7">
        <f t="shared" si="10"/>
        <v>353.65517241379314</v>
      </c>
      <c r="U28" s="7">
        <f t="shared" si="11"/>
        <v>1593.1034482758616</v>
      </c>
      <c r="V28" s="6">
        <f t="shared" si="11"/>
        <v>1029</v>
      </c>
      <c r="W28" s="7">
        <f t="shared" si="12"/>
        <v>564.10344827586164</v>
      </c>
      <c r="X28" s="7">
        <f t="shared" si="13"/>
        <v>9655.1724137931069</v>
      </c>
      <c r="Y28" s="7">
        <f t="shared" si="13"/>
        <v>6354.9850000000006</v>
      </c>
      <c r="Z28" s="7">
        <f t="shared" si="14"/>
        <v>3300.1874137931063</v>
      </c>
      <c r="AA28" s="25">
        <f t="shared" si="15"/>
        <v>0.94697870031508269</v>
      </c>
      <c r="AB28" s="1"/>
    </row>
    <row r="29" spans="2:28" ht="18" x14ac:dyDescent="0.25">
      <c r="B29" s="3">
        <v>13</v>
      </c>
      <c r="C29" s="7">
        <v>225959</v>
      </c>
      <c r="D29" s="7">
        <v>527714</v>
      </c>
      <c r="E29" s="9">
        <v>122159</v>
      </c>
      <c r="F29" s="8">
        <f t="shared" si="16"/>
        <v>875832</v>
      </c>
      <c r="G29" s="23">
        <f t="shared" si="0"/>
        <v>875386.5</v>
      </c>
      <c r="H29" s="7">
        <f t="shared" si="1"/>
        <v>875470.04166666663</v>
      </c>
      <c r="I29" s="7">
        <v>616516</v>
      </c>
      <c r="J29" s="6">
        <f t="shared" si="17"/>
        <v>118</v>
      </c>
      <c r="K29" s="6">
        <f t="shared" si="17"/>
        <v>401</v>
      </c>
      <c r="L29" s="6">
        <f t="shared" si="17"/>
        <v>129</v>
      </c>
      <c r="M29" s="6">
        <f t="shared" si="3"/>
        <v>606</v>
      </c>
      <c r="N29" s="5">
        <f t="shared" si="4"/>
        <v>113.79310344827586</v>
      </c>
      <c r="O29" s="3">
        <f t="shared" si="5"/>
        <v>129</v>
      </c>
      <c r="P29" s="5">
        <f t="shared" si="6"/>
        <v>-15.206896551724142</v>
      </c>
      <c r="Q29" s="5">
        <f t="shared" si="7"/>
        <v>83.541666666627862</v>
      </c>
      <c r="R29" s="7">
        <f t="shared" si="8"/>
        <v>689.65517241379314</v>
      </c>
      <c r="S29" s="6">
        <f t="shared" si="9"/>
        <v>648</v>
      </c>
      <c r="T29" s="7">
        <f t="shared" si="10"/>
        <v>41.655172413793139</v>
      </c>
      <c r="U29" s="7">
        <f t="shared" si="11"/>
        <v>1479.3103448275858</v>
      </c>
      <c r="V29" s="6">
        <f t="shared" si="11"/>
        <v>958</v>
      </c>
      <c r="W29" s="7">
        <f t="shared" si="12"/>
        <v>521.31034482758582</v>
      </c>
      <c r="X29" s="7">
        <f t="shared" si="13"/>
        <v>8965.5172413793134</v>
      </c>
      <c r="Y29" s="7">
        <f t="shared" si="13"/>
        <v>6018.9850000000006</v>
      </c>
      <c r="Z29" s="7">
        <f t="shared" si="14"/>
        <v>2946.5322413793128</v>
      </c>
      <c r="AA29" s="25">
        <f t="shared" si="15"/>
        <v>0.7303802392238008</v>
      </c>
      <c r="AB29" s="1"/>
    </row>
    <row r="30" spans="2:28" ht="18" x14ac:dyDescent="0.25">
      <c r="B30" s="3">
        <v>12</v>
      </c>
      <c r="C30" s="7">
        <v>225841</v>
      </c>
      <c r="D30" s="7">
        <v>527313</v>
      </c>
      <c r="E30" s="9">
        <v>122030</v>
      </c>
      <c r="F30" s="8">
        <f t="shared" si="16"/>
        <v>875184</v>
      </c>
      <c r="G30" s="23">
        <f t="shared" si="0"/>
        <v>875009.375</v>
      </c>
      <c r="H30" s="7">
        <f t="shared" si="1"/>
        <v>875030.20833333337</v>
      </c>
      <c r="I30" s="7">
        <v>615910</v>
      </c>
      <c r="J30" s="6">
        <f t="shared" ref="J30:L32" si="18">C30-C31</f>
        <v>70</v>
      </c>
      <c r="K30" s="6">
        <f t="shared" si="18"/>
        <v>100</v>
      </c>
      <c r="L30" s="6">
        <f t="shared" si="18"/>
        <v>84</v>
      </c>
      <c r="M30" s="6">
        <f t="shared" si="3"/>
        <v>29</v>
      </c>
      <c r="N30" s="5">
        <f t="shared" si="4"/>
        <v>113.79310344827586</v>
      </c>
      <c r="O30" s="3">
        <f t="shared" si="5"/>
        <v>84</v>
      </c>
      <c r="P30" s="5">
        <f t="shared" si="6"/>
        <v>29.793103448275858</v>
      </c>
      <c r="Q30" s="5">
        <f t="shared" si="7"/>
        <v>20.833333333372138</v>
      </c>
      <c r="R30" s="7">
        <f t="shared" si="8"/>
        <v>689.65517241379314</v>
      </c>
      <c r="S30" s="6">
        <f t="shared" si="9"/>
        <v>254</v>
      </c>
      <c r="T30" s="7">
        <f t="shared" si="10"/>
        <v>435.65517241379314</v>
      </c>
      <c r="U30" s="7">
        <f t="shared" si="11"/>
        <v>1365.51724137931</v>
      </c>
      <c r="V30" s="6">
        <f t="shared" si="11"/>
        <v>829</v>
      </c>
      <c r="W30" s="7">
        <f t="shared" si="12"/>
        <v>536.51724137931001</v>
      </c>
      <c r="X30" s="7">
        <f t="shared" si="13"/>
        <v>8275.8620689655199</v>
      </c>
      <c r="Y30" s="7">
        <f t="shared" si="13"/>
        <v>5370.9850000000006</v>
      </c>
      <c r="Z30" s="7">
        <f t="shared" si="14"/>
        <v>2904.8770689655194</v>
      </c>
      <c r="AA30" s="25">
        <f t="shared" si="15"/>
        <v>0.99354527441422946</v>
      </c>
      <c r="AB30" s="1"/>
    </row>
    <row r="31" spans="2:28" ht="18" x14ac:dyDescent="0.25">
      <c r="B31" s="3">
        <v>11</v>
      </c>
      <c r="C31" s="7">
        <v>225771</v>
      </c>
      <c r="D31" s="7">
        <v>527213</v>
      </c>
      <c r="E31" s="9">
        <v>121946</v>
      </c>
      <c r="F31" s="8">
        <f>C31+D31+E31</f>
        <v>874930</v>
      </c>
      <c r="G31" s="23">
        <f t="shared" si="0"/>
        <v>874650.875</v>
      </c>
      <c r="H31" s="7">
        <f t="shared" si="1"/>
        <v>874702.125</v>
      </c>
      <c r="I31" s="7">
        <v>615881</v>
      </c>
      <c r="J31" s="6">
        <f t="shared" si="18"/>
        <v>116</v>
      </c>
      <c r="K31" s="6">
        <f t="shared" si="18"/>
        <v>246</v>
      </c>
      <c r="L31" s="6">
        <f t="shared" si="18"/>
        <v>44</v>
      </c>
      <c r="M31" s="6">
        <f t="shared" si="3"/>
        <v>318</v>
      </c>
      <c r="N31" s="5">
        <f>N32</f>
        <v>113.79310344827586</v>
      </c>
      <c r="O31" s="3">
        <f t="shared" si="5"/>
        <v>44</v>
      </c>
      <c r="P31" s="5">
        <f t="shared" si="6"/>
        <v>69.793103448275858</v>
      </c>
      <c r="Q31" s="5">
        <f t="shared" si="7"/>
        <v>51.25</v>
      </c>
      <c r="R31" s="7">
        <f t="shared" si="8"/>
        <v>689.65517241379314</v>
      </c>
      <c r="S31" s="6">
        <f t="shared" si="9"/>
        <v>406</v>
      </c>
      <c r="T31" s="7">
        <f t="shared" si="10"/>
        <v>283.65517241379314</v>
      </c>
      <c r="U31" s="7">
        <f t="shared" si="11"/>
        <v>1251.7241379310342</v>
      </c>
      <c r="V31" s="6">
        <f t="shared" si="11"/>
        <v>745</v>
      </c>
      <c r="W31" s="7">
        <f t="shared" si="12"/>
        <v>506.72413793103419</v>
      </c>
      <c r="X31" s="7">
        <f t="shared" si="13"/>
        <v>7586.2068965517265</v>
      </c>
      <c r="Y31" s="7">
        <f t="shared" si="13"/>
        <v>5116.9850000000006</v>
      </c>
      <c r="Z31" s="7">
        <f t="shared" si="14"/>
        <v>2469.2218965517259</v>
      </c>
      <c r="AA31" s="25">
        <f t="shared" si="15"/>
        <v>0.78725943000821696</v>
      </c>
      <c r="AB31" s="1"/>
    </row>
    <row r="32" spans="2:28" ht="18" x14ac:dyDescent="0.25">
      <c r="B32" s="3">
        <v>10</v>
      </c>
      <c r="C32" s="7">
        <f>C33+115</f>
        <v>225655</v>
      </c>
      <c r="D32" s="7">
        <f>D33+266</f>
        <v>526967</v>
      </c>
      <c r="E32" s="9">
        <f>E33+48</f>
        <v>121902</v>
      </c>
      <c r="F32" s="8">
        <f>C32+D32+E32</f>
        <v>874524</v>
      </c>
      <c r="G32" s="23">
        <f t="shared" si="0"/>
        <v>874229.0625</v>
      </c>
      <c r="H32" s="7">
        <f t="shared" si="1"/>
        <v>874284.47916666663</v>
      </c>
      <c r="I32" s="7">
        <f>I33+321</f>
        <v>615563</v>
      </c>
      <c r="J32" s="6">
        <f t="shared" si="18"/>
        <v>115</v>
      </c>
      <c r="K32" s="6">
        <f t="shared" si="18"/>
        <v>266</v>
      </c>
      <c r="L32" s="6">
        <f t="shared" si="18"/>
        <v>48</v>
      </c>
      <c r="M32" s="6">
        <f t="shared" si="3"/>
        <v>321</v>
      </c>
      <c r="N32" s="5">
        <f t="shared" si="4"/>
        <v>113.79310344827586</v>
      </c>
      <c r="O32" s="3">
        <f t="shared" si="5"/>
        <v>48</v>
      </c>
      <c r="P32" s="5">
        <f t="shared" si="6"/>
        <v>65.793103448275858</v>
      </c>
      <c r="Q32" s="5">
        <f t="shared" si="7"/>
        <v>55.416666666627862</v>
      </c>
      <c r="R32" s="7">
        <f t="shared" si="8"/>
        <v>689.65517241379314</v>
      </c>
      <c r="S32" s="6">
        <f t="shared" si="9"/>
        <v>429</v>
      </c>
      <c r="T32" s="7">
        <f t="shared" si="10"/>
        <v>260.65517241379314</v>
      </c>
      <c r="U32" s="7">
        <f t="shared" si="11"/>
        <v>1137.9310344827584</v>
      </c>
      <c r="V32" s="6">
        <f t="shared" si="11"/>
        <v>701</v>
      </c>
      <c r="W32" s="7">
        <f t="shared" si="12"/>
        <v>436.93103448275838</v>
      </c>
      <c r="X32" s="7">
        <f t="shared" si="13"/>
        <v>6896.551724137933</v>
      </c>
      <c r="Y32" s="7">
        <f t="shared" si="13"/>
        <v>4710.9850000000006</v>
      </c>
      <c r="Z32" s="7">
        <f t="shared" si="14"/>
        <v>2185.5667241379324</v>
      </c>
      <c r="AA32" s="25">
        <f t="shared" si="15"/>
        <v>0.80067139047692115</v>
      </c>
      <c r="AB32" s="1"/>
    </row>
    <row r="33" spans="2:28" ht="18" x14ac:dyDescent="0.25">
      <c r="B33" s="3">
        <v>9</v>
      </c>
      <c r="C33" s="7">
        <f>C34+118</f>
        <v>225540</v>
      </c>
      <c r="D33" s="7">
        <f>D34+271</f>
        <v>526701</v>
      </c>
      <c r="E33" s="9">
        <f>E34+52</f>
        <v>121854</v>
      </c>
      <c r="F33" s="8">
        <f t="shared" si="16"/>
        <v>874095</v>
      </c>
      <c r="G33" s="23">
        <f t="shared" si="0"/>
        <v>873791.8125</v>
      </c>
      <c r="H33" s="7">
        <f t="shared" si="1"/>
        <v>873848.27083333337</v>
      </c>
      <c r="I33" s="7">
        <f>I34+330</f>
        <v>615242</v>
      </c>
      <c r="J33" s="6">
        <f t="shared" si="17"/>
        <v>118</v>
      </c>
      <c r="K33" s="6">
        <f t="shared" si="17"/>
        <v>271</v>
      </c>
      <c r="L33" s="6">
        <f t="shared" si="17"/>
        <v>52</v>
      </c>
      <c r="M33" s="6">
        <f t="shared" si="3"/>
        <v>330</v>
      </c>
      <c r="N33" s="5">
        <f t="shared" si="4"/>
        <v>113.79310344827586</v>
      </c>
      <c r="O33" s="3">
        <f t="shared" si="5"/>
        <v>52</v>
      </c>
      <c r="P33" s="5">
        <f t="shared" si="6"/>
        <v>61.793103448275858</v>
      </c>
      <c r="Q33" s="5">
        <f t="shared" si="7"/>
        <v>56.458333333372138</v>
      </c>
      <c r="R33" s="7">
        <f t="shared" si="8"/>
        <v>689.65517241379314</v>
      </c>
      <c r="S33" s="6">
        <f t="shared" si="9"/>
        <v>441</v>
      </c>
      <c r="T33" s="7">
        <f t="shared" si="10"/>
        <v>248.65517241379314</v>
      </c>
      <c r="U33" s="7">
        <f t="shared" si="11"/>
        <v>1024.1379310344826</v>
      </c>
      <c r="V33" s="6">
        <f t="shared" si="11"/>
        <v>653</v>
      </c>
      <c r="W33" s="7">
        <f t="shared" si="12"/>
        <v>371.13793103448256</v>
      </c>
      <c r="X33" s="7">
        <f t="shared" si="13"/>
        <v>6206.8965517241395</v>
      </c>
      <c r="Y33" s="7">
        <f t="shared" si="13"/>
        <v>4281.9850000000006</v>
      </c>
      <c r="Z33" s="7">
        <f t="shared" si="14"/>
        <v>1924.9115517241389</v>
      </c>
      <c r="AA33" s="25">
        <f t="shared" si="15"/>
        <v>0.80065311973262765</v>
      </c>
      <c r="AB33" s="1"/>
    </row>
    <row r="34" spans="2:28" ht="18" x14ac:dyDescent="0.25">
      <c r="B34" s="3">
        <v>8</v>
      </c>
      <c r="C34" s="7">
        <v>225422</v>
      </c>
      <c r="D34" s="7">
        <v>526430</v>
      </c>
      <c r="E34" s="9">
        <v>121802</v>
      </c>
      <c r="F34" s="8">
        <f t="shared" si="16"/>
        <v>873654</v>
      </c>
      <c r="G34" s="23">
        <f t="shared" si="0"/>
        <v>873452.5625</v>
      </c>
      <c r="H34" s="7">
        <f t="shared" si="1"/>
        <v>873487.5625</v>
      </c>
      <c r="I34" s="7">
        <v>614912</v>
      </c>
      <c r="J34" s="6">
        <f t="shared" si="17"/>
        <v>54</v>
      </c>
      <c r="K34" s="6">
        <f t="shared" si="17"/>
        <v>168</v>
      </c>
      <c r="L34" s="6">
        <f t="shared" si="17"/>
        <v>71</v>
      </c>
      <c r="M34" s="6">
        <f t="shared" si="3"/>
        <v>42</v>
      </c>
      <c r="N34" s="5">
        <f t="shared" si="4"/>
        <v>113.79310344827586</v>
      </c>
      <c r="O34" s="3">
        <f t="shared" si="5"/>
        <v>71</v>
      </c>
      <c r="P34" s="5">
        <f t="shared" si="6"/>
        <v>42.793103448275858</v>
      </c>
      <c r="Q34" s="5">
        <f t="shared" si="7"/>
        <v>35</v>
      </c>
      <c r="R34" s="7">
        <f t="shared" si="8"/>
        <v>689.65517241379314</v>
      </c>
      <c r="S34" s="6">
        <f t="shared" si="9"/>
        <v>293</v>
      </c>
      <c r="T34" s="7">
        <f t="shared" si="10"/>
        <v>396.65517241379314</v>
      </c>
      <c r="U34" s="7">
        <f t="shared" si="11"/>
        <v>910.34482758620675</v>
      </c>
      <c r="V34" s="6">
        <f t="shared" si="11"/>
        <v>601</v>
      </c>
      <c r="W34" s="7">
        <f t="shared" si="12"/>
        <v>309.34482758620675</v>
      </c>
      <c r="X34" s="7">
        <f t="shared" si="13"/>
        <v>5517.241379310346</v>
      </c>
      <c r="Y34" s="7">
        <f t="shared" si="13"/>
        <v>3840.9850000000001</v>
      </c>
      <c r="Z34" s="7">
        <f t="shared" si="14"/>
        <v>1676.2563793103459</v>
      </c>
      <c r="AA34" s="25">
        <f t="shared" si="15"/>
        <v>0.98988181194563019</v>
      </c>
      <c r="AB34" s="1"/>
    </row>
    <row r="35" spans="2:28" ht="18" x14ac:dyDescent="0.25">
      <c r="B35" s="3">
        <v>7</v>
      </c>
      <c r="C35" s="7">
        <v>225368</v>
      </c>
      <c r="D35" s="7">
        <v>526262</v>
      </c>
      <c r="E35" s="9">
        <v>121731</v>
      </c>
      <c r="F35" s="10">
        <f>C35+D35+E35</f>
        <v>873361</v>
      </c>
      <c r="G35" s="23">
        <f t="shared" si="0"/>
        <v>872819.25</v>
      </c>
      <c r="H35" s="7">
        <f t="shared" si="1"/>
        <v>872928</v>
      </c>
      <c r="I35" s="7">
        <v>614870</v>
      </c>
      <c r="J35" s="6">
        <f t="shared" si="17"/>
        <v>167</v>
      </c>
      <c r="K35" s="6">
        <f t="shared" si="17"/>
        <v>522</v>
      </c>
      <c r="L35" s="6">
        <f t="shared" si="17"/>
        <v>99</v>
      </c>
      <c r="M35" s="6">
        <f t="shared" si="3"/>
        <v>537</v>
      </c>
      <c r="N35" s="5">
        <f t="shared" si="4"/>
        <v>113.79310344827586</v>
      </c>
      <c r="O35" s="3">
        <f t="shared" si="5"/>
        <v>99</v>
      </c>
      <c r="P35" s="5">
        <f t="shared" si="6"/>
        <v>14.793103448275858</v>
      </c>
      <c r="Q35" s="5">
        <f t="shared" si="7"/>
        <v>108.75</v>
      </c>
      <c r="R35" s="7">
        <f t="shared" si="8"/>
        <v>689.65517241379314</v>
      </c>
      <c r="S35" s="6">
        <f t="shared" si="9"/>
        <v>788</v>
      </c>
      <c r="T35" s="7">
        <f t="shared" si="10"/>
        <v>-98.344827586206861</v>
      </c>
      <c r="U35" s="7">
        <f t="shared" si="11"/>
        <v>796.55172413793093</v>
      </c>
      <c r="V35" s="6">
        <f t="shared" si="11"/>
        <v>530</v>
      </c>
      <c r="W35" s="7">
        <f t="shared" si="12"/>
        <v>266.55172413793093</v>
      </c>
      <c r="X35" s="7">
        <f t="shared" si="13"/>
        <v>4827.5862068965525</v>
      </c>
      <c r="Y35" s="7">
        <f t="shared" si="13"/>
        <v>3547.9850000000001</v>
      </c>
      <c r="Z35" s="7">
        <f t="shared" si="14"/>
        <v>1279.6012068965524</v>
      </c>
      <c r="AA35" s="25">
        <f t="shared" si="15"/>
        <v>0.82636043859465824</v>
      </c>
      <c r="AB35" s="1"/>
    </row>
    <row r="36" spans="2:28" ht="18" x14ac:dyDescent="0.25">
      <c r="B36" s="3">
        <v>6</v>
      </c>
      <c r="C36" s="7">
        <v>225201</v>
      </c>
      <c r="D36" s="7">
        <v>525740</v>
      </c>
      <c r="E36" s="9">
        <v>121632</v>
      </c>
      <c r="F36" s="8">
        <f t="shared" si="16"/>
        <v>872573</v>
      </c>
      <c r="G36" s="23">
        <f t="shared" si="0"/>
        <v>872404.5625</v>
      </c>
      <c r="H36" s="7">
        <f t="shared" si="1"/>
        <v>872426.22916666663</v>
      </c>
      <c r="I36" s="7">
        <v>614333</v>
      </c>
      <c r="J36" s="6">
        <f t="shared" si="17"/>
        <v>73</v>
      </c>
      <c r="K36" s="6">
        <f t="shared" si="17"/>
        <v>104</v>
      </c>
      <c r="L36" s="6">
        <f t="shared" si="17"/>
        <v>68</v>
      </c>
      <c r="M36" s="6">
        <f t="shared" si="3"/>
        <v>168</v>
      </c>
      <c r="N36" s="5">
        <f t="shared" si="4"/>
        <v>113.79310344827586</v>
      </c>
      <c r="O36" s="3">
        <f t="shared" si="5"/>
        <v>68</v>
      </c>
      <c r="P36" s="5">
        <f t="shared" si="6"/>
        <v>45.793103448275858</v>
      </c>
      <c r="Q36" s="5">
        <f t="shared" si="7"/>
        <v>21.666666666627862</v>
      </c>
      <c r="R36" s="7">
        <f t="shared" si="8"/>
        <v>689.65517241379314</v>
      </c>
      <c r="S36" s="6">
        <f t="shared" si="9"/>
        <v>245</v>
      </c>
      <c r="T36" s="7">
        <f t="shared" si="10"/>
        <v>444.65517241379314</v>
      </c>
      <c r="U36" s="7">
        <f t="shared" si="11"/>
        <v>682.75862068965512</v>
      </c>
      <c r="V36" s="6">
        <f t="shared" si="11"/>
        <v>431</v>
      </c>
      <c r="W36" s="7">
        <f t="shared" si="12"/>
        <v>251.75862068965512</v>
      </c>
      <c r="X36" s="7">
        <f t="shared" si="13"/>
        <v>4137.9310344827591</v>
      </c>
      <c r="Y36" s="7">
        <f t="shared" si="13"/>
        <v>2759.9850000000001</v>
      </c>
      <c r="Z36" s="7">
        <f t="shared" si="14"/>
        <v>1377.9460344827589</v>
      </c>
      <c r="AA36" s="25">
        <f t="shared" si="15"/>
        <v>0.82472885184597777</v>
      </c>
      <c r="AB36" s="1"/>
    </row>
    <row r="37" spans="2:28" ht="18" x14ac:dyDescent="0.25">
      <c r="B37" s="3">
        <v>5</v>
      </c>
      <c r="C37" s="7">
        <v>225128</v>
      </c>
      <c r="D37" s="7">
        <v>525636</v>
      </c>
      <c r="E37" s="9">
        <v>121564</v>
      </c>
      <c r="F37" s="8">
        <f t="shared" si="16"/>
        <v>872328</v>
      </c>
      <c r="G37" s="23">
        <f t="shared" si="0"/>
        <v>871934.75</v>
      </c>
      <c r="H37" s="7">
        <f t="shared" si="1"/>
        <v>872007.04166666663</v>
      </c>
      <c r="I37" s="7">
        <v>614165</v>
      </c>
      <c r="J37" s="6">
        <f t="shared" si="17"/>
        <v>167</v>
      </c>
      <c r="K37" s="6">
        <f t="shared" si="17"/>
        <v>347</v>
      </c>
      <c r="L37" s="6">
        <f t="shared" si="17"/>
        <v>58</v>
      </c>
      <c r="M37" s="6">
        <f t="shared" si="3"/>
        <v>481</v>
      </c>
      <c r="N37" s="5">
        <f t="shared" si="4"/>
        <v>113.79310344827586</v>
      </c>
      <c r="O37" s="3">
        <f t="shared" si="5"/>
        <v>58</v>
      </c>
      <c r="P37" s="5">
        <f t="shared" si="6"/>
        <v>55.793103448275858</v>
      </c>
      <c r="Q37" s="5">
        <f t="shared" si="7"/>
        <v>72.291666666627862</v>
      </c>
      <c r="R37" s="7">
        <f t="shared" si="8"/>
        <v>689.65517241379314</v>
      </c>
      <c r="S37" s="6">
        <f t="shared" si="9"/>
        <v>572</v>
      </c>
      <c r="T37" s="7">
        <f t="shared" si="10"/>
        <v>117.65517241379314</v>
      </c>
      <c r="U37" s="7">
        <f t="shared" si="11"/>
        <v>568.9655172413793</v>
      </c>
      <c r="V37" s="6">
        <f t="shared" si="11"/>
        <v>363</v>
      </c>
      <c r="W37" s="7">
        <f t="shared" si="12"/>
        <v>205.9655172413793</v>
      </c>
      <c r="X37" s="7">
        <f t="shared" si="13"/>
        <v>3448.2758620689656</v>
      </c>
      <c r="Y37" s="7">
        <f t="shared" si="13"/>
        <v>2514.9850000000001</v>
      </c>
      <c r="Z37" s="7">
        <f t="shared" si="14"/>
        <v>933.29086206896545</v>
      </c>
      <c r="AA37" s="25">
        <f t="shared" si="15"/>
        <v>0.76536208590549071</v>
      </c>
      <c r="AB37" s="1"/>
    </row>
    <row r="38" spans="2:28" ht="18" x14ac:dyDescent="0.25">
      <c r="B38" s="3">
        <v>4</v>
      </c>
      <c r="C38" s="7">
        <f>C39+189</f>
        <v>224961</v>
      </c>
      <c r="D38" s="7">
        <f>D39+339</f>
        <v>525289</v>
      </c>
      <c r="E38" s="9">
        <f>E39+60</f>
        <v>121506</v>
      </c>
      <c r="F38" s="8">
        <f t="shared" si="16"/>
        <v>871756</v>
      </c>
      <c r="G38" s="23">
        <f t="shared" si="0"/>
        <v>871351.75</v>
      </c>
      <c r="H38" s="7">
        <f t="shared" si="1"/>
        <v>871422.375</v>
      </c>
      <c r="I38" s="7">
        <f>I39+442</f>
        <v>613684</v>
      </c>
      <c r="J38" s="6">
        <f t="shared" si="17"/>
        <v>189</v>
      </c>
      <c r="K38" s="6">
        <f t="shared" si="17"/>
        <v>339</v>
      </c>
      <c r="L38" s="6">
        <f t="shared" si="17"/>
        <v>60</v>
      </c>
      <c r="M38" s="6">
        <f t="shared" si="3"/>
        <v>442</v>
      </c>
      <c r="N38" s="5">
        <f t="shared" si="4"/>
        <v>113.79310344827586</v>
      </c>
      <c r="O38" s="3">
        <f t="shared" si="5"/>
        <v>60</v>
      </c>
      <c r="P38" s="5">
        <f t="shared" si="6"/>
        <v>53.793103448275858</v>
      </c>
      <c r="Q38" s="5">
        <f t="shared" si="7"/>
        <v>70.625</v>
      </c>
      <c r="R38" s="7">
        <f t="shared" si="8"/>
        <v>689.65517241379314</v>
      </c>
      <c r="S38" s="6">
        <f t="shared" si="9"/>
        <v>588</v>
      </c>
      <c r="T38" s="7">
        <f t="shared" si="10"/>
        <v>101.65517241379314</v>
      </c>
      <c r="U38" s="7">
        <f t="shared" si="11"/>
        <v>455.17241379310343</v>
      </c>
      <c r="V38" s="6">
        <f t="shared" si="11"/>
        <v>305</v>
      </c>
      <c r="W38" s="7">
        <f t="shared" si="12"/>
        <v>150.17241379310343</v>
      </c>
      <c r="X38" s="7">
        <f t="shared" si="13"/>
        <v>2758.6206896551726</v>
      </c>
      <c r="Y38" s="7">
        <f t="shared" si="13"/>
        <v>1942.9850000000001</v>
      </c>
      <c r="Z38" s="7">
        <f t="shared" si="14"/>
        <v>815.63568965517243</v>
      </c>
      <c r="AA38" s="25">
        <f t="shared" si="15"/>
        <v>0.79934699873429194</v>
      </c>
      <c r="AB38" s="1"/>
    </row>
    <row r="39" spans="2:28" ht="18" x14ac:dyDescent="0.25">
      <c r="B39" s="3">
        <v>3</v>
      </c>
      <c r="C39" s="7">
        <f>C40+142</f>
        <v>224772</v>
      </c>
      <c r="D39" s="7">
        <f>D40+328</f>
        <v>524950</v>
      </c>
      <c r="E39" s="9">
        <f>E40+64</f>
        <v>121446</v>
      </c>
      <c r="F39" s="8">
        <f t="shared" si="16"/>
        <v>871168</v>
      </c>
      <c r="G39" s="23">
        <f t="shared" si="0"/>
        <v>870800.875</v>
      </c>
      <c r="H39" s="7">
        <f t="shared" si="1"/>
        <v>870869.20833333337</v>
      </c>
      <c r="I39" s="7">
        <f>I40+427</f>
        <v>613242</v>
      </c>
      <c r="J39" s="6">
        <f t="shared" si="17"/>
        <v>142</v>
      </c>
      <c r="K39" s="6">
        <f t="shared" si="17"/>
        <v>328</v>
      </c>
      <c r="L39" s="6">
        <f t="shared" si="17"/>
        <v>64</v>
      </c>
      <c r="M39" s="6">
        <f t="shared" si="3"/>
        <v>427</v>
      </c>
      <c r="N39" s="5">
        <f t="shared" si="4"/>
        <v>113.79310344827586</v>
      </c>
      <c r="O39" s="3">
        <f t="shared" si="5"/>
        <v>64</v>
      </c>
      <c r="P39" s="5">
        <f t="shared" si="6"/>
        <v>49.793103448275858</v>
      </c>
      <c r="Q39" s="5">
        <f t="shared" si="7"/>
        <v>68.333333333372138</v>
      </c>
      <c r="R39" s="7">
        <f t="shared" si="8"/>
        <v>689.65517241379314</v>
      </c>
      <c r="S39" s="6">
        <f t="shared" si="9"/>
        <v>534</v>
      </c>
      <c r="T39" s="7">
        <f t="shared" si="10"/>
        <v>155.65517241379314</v>
      </c>
      <c r="U39" s="7">
        <f t="shared" si="11"/>
        <v>341.37931034482756</v>
      </c>
      <c r="V39" s="6">
        <f t="shared" si="11"/>
        <v>245</v>
      </c>
      <c r="W39" s="7">
        <f t="shared" si="12"/>
        <v>96.379310344827559</v>
      </c>
      <c r="X39" s="7">
        <f t="shared" si="13"/>
        <v>2068.9655172413795</v>
      </c>
      <c r="Y39" s="7">
        <f t="shared" si="13"/>
        <v>1354.9850000000001</v>
      </c>
      <c r="Z39" s="7">
        <f t="shared" si="14"/>
        <v>713.9805172413794</v>
      </c>
      <c r="AA39" s="25">
        <f t="shared" si="15"/>
        <v>0.78101147866419629</v>
      </c>
      <c r="AB39" s="1"/>
    </row>
    <row r="40" spans="2:28" ht="18" x14ac:dyDescent="0.25">
      <c r="B40" s="3">
        <v>2</v>
      </c>
      <c r="C40" s="7">
        <f>C41+100</f>
        <v>224630</v>
      </c>
      <c r="D40" s="7">
        <f>D41+330</f>
        <v>524622</v>
      </c>
      <c r="E40" s="9">
        <f>E41+61</f>
        <v>121382</v>
      </c>
      <c r="F40" s="8">
        <f t="shared" si="16"/>
        <v>870634</v>
      </c>
      <c r="G40" s="23">
        <f t="shared" si="0"/>
        <v>870296.4375</v>
      </c>
      <c r="H40" s="7">
        <f t="shared" si="1"/>
        <v>870365.1875</v>
      </c>
      <c r="I40" s="7">
        <f>I41+390</f>
        <v>612815</v>
      </c>
      <c r="J40" s="6">
        <f t="shared" si="17"/>
        <v>100</v>
      </c>
      <c r="K40" s="6">
        <f t="shared" si="17"/>
        <v>330</v>
      </c>
      <c r="L40" s="6">
        <f t="shared" si="17"/>
        <v>61</v>
      </c>
      <c r="M40" s="6">
        <f t="shared" si="3"/>
        <v>390</v>
      </c>
      <c r="N40" s="5">
        <f t="shared" si="4"/>
        <v>113.79310344827586</v>
      </c>
      <c r="O40" s="3">
        <f t="shared" si="5"/>
        <v>61</v>
      </c>
      <c r="P40" s="5">
        <f t="shared" si="6"/>
        <v>52.793103448275858</v>
      </c>
      <c r="Q40" s="5">
        <f t="shared" si="7"/>
        <v>68.75</v>
      </c>
      <c r="R40" s="7">
        <f>R41</f>
        <v>689.65517241379314</v>
      </c>
      <c r="S40" s="6">
        <f>J40+K40+L40</f>
        <v>491</v>
      </c>
      <c r="T40" s="7">
        <f t="shared" si="10"/>
        <v>198.65517241379314</v>
      </c>
      <c r="U40" s="7">
        <f t="shared" si="11"/>
        <v>227.58620689655172</v>
      </c>
      <c r="V40" s="6">
        <f t="shared" si="11"/>
        <v>181</v>
      </c>
      <c r="W40" s="7">
        <f t="shared" si="12"/>
        <v>46.586206896551715</v>
      </c>
      <c r="X40" s="7">
        <f t="shared" si="13"/>
        <v>1379.3103448275863</v>
      </c>
      <c r="Y40" s="7">
        <f t="shared" si="13"/>
        <v>820.98500000000001</v>
      </c>
      <c r="Z40" s="7">
        <f t="shared" si="14"/>
        <v>558.32534482758626</v>
      </c>
      <c r="AA40" s="25">
        <f t="shared" si="15"/>
        <v>0.78304231326878904</v>
      </c>
      <c r="AB40" s="1"/>
    </row>
    <row r="41" spans="2:28" ht="18" x14ac:dyDescent="0.25">
      <c r="B41" s="3">
        <v>1</v>
      </c>
      <c r="C41" s="7">
        <v>224530</v>
      </c>
      <c r="D41" s="7">
        <v>524292</v>
      </c>
      <c r="E41" s="9">
        <v>121321</v>
      </c>
      <c r="F41" s="8">
        <f t="shared" si="16"/>
        <v>870143</v>
      </c>
      <c r="G41" s="23">
        <f t="shared" si="0"/>
        <v>869932.12031250005</v>
      </c>
      <c r="H41" s="7">
        <f t="shared" si="1"/>
        <v>869955.03697916667</v>
      </c>
      <c r="I41" s="7">
        <v>612425</v>
      </c>
      <c r="J41" s="6">
        <f t="shared" si="17"/>
        <v>84</v>
      </c>
      <c r="K41" s="6">
        <f t="shared" si="17"/>
        <v>110</v>
      </c>
      <c r="L41" s="6">
        <f t="shared" si="17"/>
        <v>120</v>
      </c>
      <c r="M41" s="6">
        <f t="shared" si="3"/>
        <v>158</v>
      </c>
      <c r="N41" s="44">
        <f>O6/29</f>
        <v>113.79310344827586</v>
      </c>
      <c r="O41" s="3">
        <f t="shared" si="5"/>
        <v>120</v>
      </c>
      <c r="P41" s="5">
        <f t="shared" si="6"/>
        <v>-6.2068965517241423</v>
      </c>
      <c r="Q41" s="5">
        <f t="shared" si="7"/>
        <v>22.916666666627862</v>
      </c>
      <c r="R41" s="46">
        <f>S6/29</f>
        <v>689.65517241379314</v>
      </c>
      <c r="S41" s="7">
        <f>J41+K41+L41+V6</f>
        <v>329.98500000000001</v>
      </c>
      <c r="T41" s="7">
        <f t="shared" si="10"/>
        <v>359.67017241379313</v>
      </c>
      <c r="U41" s="7">
        <f>N41</f>
        <v>113.79310344827586</v>
      </c>
      <c r="V41" s="6">
        <f>O41</f>
        <v>120</v>
      </c>
      <c r="W41" s="7">
        <f t="shared" si="12"/>
        <v>-6.2068965517241423</v>
      </c>
      <c r="X41" s="7">
        <f>R41</f>
        <v>689.65517241379314</v>
      </c>
      <c r="Y41" s="7">
        <f>S41</f>
        <v>329.98500000000001</v>
      </c>
      <c r="Z41" s="7">
        <f t="shared" si="14"/>
        <v>359.67017241379313</v>
      </c>
      <c r="AA41" s="25">
        <f t="shared" si="15"/>
        <v>0.90194147749526021</v>
      </c>
      <c r="AB41" s="1"/>
    </row>
    <row r="42" spans="2:28" ht="54" x14ac:dyDescent="0.25">
      <c r="B42" s="34" t="s">
        <v>13</v>
      </c>
      <c r="C42" s="8">
        <v>224446</v>
      </c>
      <c r="D42" s="8">
        <v>524182</v>
      </c>
      <c r="E42" s="8">
        <v>121201</v>
      </c>
      <c r="F42" s="8">
        <v>869829</v>
      </c>
      <c r="G42" s="54">
        <v>869523.75</v>
      </c>
      <c r="H42" s="10">
        <v>869589.16666666663</v>
      </c>
      <c r="I42" s="8">
        <v>612267</v>
      </c>
      <c r="J42" s="11"/>
      <c r="K42" s="11"/>
      <c r="L42" s="11"/>
      <c r="M42" s="45">
        <f>SUM(M13:M41)</f>
        <v>9899</v>
      </c>
      <c r="N42" s="11" t="s">
        <v>39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2:28" ht="18" x14ac:dyDescent="0.25"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2:28" ht="18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2:28" ht="18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2:28" ht="18" x14ac:dyDescent="0.25">
      <c r="Z46" s="11"/>
    </row>
    <row r="47" spans="2:28" ht="18" x14ac:dyDescent="0.25">
      <c r="Z47" s="11" t="s">
        <v>38</v>
      </c>
    </row>
    <row r="48" spans="2:28" ht="18" x14ac:dyDescent="0.25">
      <c r="Z48" s="11" t="s">
        <v>44</v>
      </c>
      <c r="AA48" s="11"/>
    </row>
    <row r="49" spans="26:27" ht="18" x14ac:dyDescent="0.25">
      <c r="Z49" s="11" t="s">
        <v>45</v>
      </c>
      <c r="AA49" s="11"/>
    </row>
    <row r="50" spans="26:27" ht="18" x14ac:dyDescent="0.25">
      <c r="Z50" s="11" t="s">
        <v>12</v>
      </c>
      <c r="AA50" s="11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1:AB52"/>
  <sheetViews>
    <sheetView zoomScale="70" zoomScaleNormal="70" zoomScaleSheetLayoutView="85" workbookViewId="0">
      <pane ySplit="8" topLeftCell="A9" activePane="bottomLeft" state="frozen"/>
      <selection pane="bottomLeft" activeCell="H21" sqref="H2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5.7109375" customWidth="1"/>
    <col min="5" max="5" width="11.42578125" customWidth="1"/>
    <col min="7" max="7" width="12.28515625" bestFit="1" customWidth="1"/>
    <col min="16" max="16" width="13.42578125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1" spans="2:28" x14ac:dyDescent="0.25">
      <c r="D1" s="36"/>
    </row>
    <row r="2" spans="2:28" ht="15.75" customHeight="1" x14ac:dyDescent="0.25">
      <c r="G2" s="27" t="s">
        <v>29</v>
      </c>
    </row>
    <row r="3" spans="2:28" ht="15.75" customHeight="1" x14ac:dyDescent="0.25">
      <c r="G3" s="27" t="s">
        <v>28</v>
      </c>
    </row>
    <row r="4" spans="2:28" ht="15.75" customHeight="1" x14ac:dyDescent="0.35">
      <c r="G4" s="28" t="s">
        <v>30</v>
      </c>
      <c r="N4" s="37">
        <f>'Cocina C'!N4</f>
        <v>45323</v>
      </c>
    </row>
    <row r="5" spans="2:28" ht="18.75" x14ac:dyDescent="0.3">
      <c r="B5" s="16"/>
      <c r="C5" s="62" t="s">
        <v>32</v>
      </c>
      <c r="D5" s="62"/>
      <c r="E5" s="62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42</v>
      </c>
      <c r="V5" s="16" t="s">
        <v>43</v>
      </c>
      <c r="W5" s="16"/>
    </row>
    <row r="6" spans="2:28" ht="18.75" x14ac:dyDescent="0.3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4" t="s">
        <v>27</v>
      </c>
      <c r="O6" s="38">
        <f>S6*16.5%</f>
        <v>4620</v>
      </c>
      <c r="P6" s="39" t="s">
        <v>26</v>
      </c>
      <c r="Q6" s="38">
        <f>(S6*8)/100</f>
        <v>2240</v>
      </c>
      <c r="R6" s="16" t="s">
        <v>25</v>
      </c>
      <c r="S6" s="13">
        <v>28000</v>
      </c>
      <c r="T6" s="16" t="s">
        <v>41</v>
      </c>
      <c r="U6" s="50">
        <v>1083.1600000000001</v>
      </c>
      <c r="V6" s="51">
        <f>U6/30</f>
        <v>36.105333333333334</v>
      </c>
      <c r="W6" s="16"/>
    </row>
    <row r="7" spans="2:28" ht="46.5" customHeight="1" x14ac:dyDescent="0.25">
      <c r="B7" s="61" t="s">
        <v>24</v>
      </c>
      <c r="C7" s="59" t="s">
        <v>9</v>
      </c>
      <c r="D7" s="59"/>
      <c r="E7" s="59"/>
      <c r="F7" s="59"/>
      <c r="G7" s="59"/>
      <c r="H7" s="59"/>
      <c r="I7" s="59"/>
      <c r="J7" s="59" t="s">
        <v>23</v>
      </c>
      <c r="K7" s="59"/>
      <c r="L7" s="59"/>
      <c r="M7" s="59"/>
      <c r="N7" s="59" t="s">
        <v>22</v>
      </c>
      <c r="O7" s="59"/>
      <c r="P7" s="59"/>
      <c r="Q7" s="60" t="s">
        <v>21</v>
      </c>
      <c r="R7" s="59" t="s">
        <v>20</v>
      </c>
      <c r="S7" s="59"/>
      <c r="T7" s="59"/>
      <c r="U7" s="59" t="s">
        <v>10</v>
      </c>
      <c r="V7" s="59"/>
      <c r="W7" s="59"/>
      <c r="X7" s="59" t="s">
        <v>11</v>
      </c>
      <c r="Y7" s="59"/>
      <c r="Z7" s="59"/>
      <c r="AA7" s="59"/>
      <c r="AB7" s="60" t="s">
        <v>8</v>
      </c>
    </row>
    <row r="8" spans="2:28" ht="30" x14ac:dyDescent="0.25">
      <c r="B8" s="61"/>
      <c r="C8" s="15" t="s">
        <v>1</v>
      </c>
      <c r="D8" s="15" t="s">
        <v>0</v>
      </c>
      <c r="E8" s="15" t="s">
        <v>2</v>
      </c>
      <c r="F8" s="15" t="s">
        <v>19</v>
      </c>
      <c r="G8" s="15" t="s">
        <v>18</v>
      </c>
      <c r="H8" s="15" t="s">
        <v>17</v>
      </c>
      <c r="I8" s="15" t="s">
        <v>3</v>
      </c>
      <c r="J8" s="15" t="s">
        <v>1</v>
      </c>
      <c r="K8" s="15" t="s">
        <v>0</v>
      </c>
      <c r="L8" s="15" t="s">
        <v>2</v>
      </c>
      <c r="M8" s="15" t="s">
        <v>3</v>
      </c>
      <c r="N8" s="15" t="s">
        <v>4</v>
      </c>
      <c r="O8" s="15" t="s">
        <v>5</v>
      </c>
      <c r="P8" s="15" t="s">
        <v>16</v>
      </c>
      <c r="Q8" s="60"/>
      <c r="R8" s="15" t="s">
        <v>6</v>
      </c>
      <c r="S8" s="15" t="s">
        <v>15</v>
      </c>
      <c r="T8" s="15" t="s">
        <v>16</v>
      </c>
      <c r="U8" s="15" t="s">
        <v>4</v>
      </c>
      <c r="V8" s="15" t="s">
        <v>5</v>
      </c>
      <c r="W8" s="15" t="s">
        <v>16</v>
      </c>
      <c r="X8" s="15" t="s">
        <v>6</v>
      </c>
      <c r="Y8" s="15" t="s">
        <v>15</v>
      </c>
      <c r="Z8" s="32" t="s">
        <v>14</v>
      </c>
      <c r="AA8" s="15" t="s">
        <v>7</v>
      </c>
      <c r="AB8" s="60"/>
    </row>
    <row r="9" spans="2:28" x14ac:dyDescent="0.25">
      <c r="B9" s="33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7"/>
      <c r="G11" s="23"/>
      <c r="H11" s="7"/>
      <c r="I11" s="7"/>
      <c r="J11" s="6"/>
      <c r="K11" s="6"/>
      <c r="L11" s="6"/>
      <c r="M11" s="6"/>
      <c r="N11" s="5"/>
      <c r="O11" s="24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5"/>
      <c r="AB11" s="26"/>
    </row>
    <row r="12" spans="2:28" ht="18" x14ac:dyDescent="0.25">
      <c r="B12" s="3"/>
      <c r="C12" s="7"/>
      <c r="D12" s="7"/>
      <c r="E12" s="9"/>
      <c r="F12" s="8"/>
      <c r="G12" s="23"/>
      <c r="H12" s="7"/>
      <c r="I12" s="7"/>
      <c r="J12" s="6"/>
      <c r="K12" s="6"/>
      <c r="L12" s="6"/>
      <c r="M12" s="6"/>
      <c r="N12" s="5"/>
      <c r="O12" s="24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5"/>
      <c r="AB12" s="26"/>
    </row>
    <row r="13" spans="2:28" ht="18" x14ac:dyDescent="0.25">
      <c r="B13" s="3">
        <v>29</v>
      </c>
      <c r="C13" s="7">
        <v>191057</v>
      </c>
      <c r="D13" s="7">
        <v>463941</v>
      </c>
      <c r="E13" s="9">
        <v>98126</v>
      </c>
      <c r="F13" s="10">
        <f>C13+D13+E13</f>
        <v>753124</v>
      </c>
      <c r="G13" s="23">
        <f t="shared" ref="G12:G40" si="0">(C14+D14+E14)+((S13/24)*3)</f>
        <v>752970</v>
      </c>
      <c r="H13" s="7">
        <f t="shared" ref="H12:H40" si="1">G13+((K13/12)*2.5)</f>
        <v>752987.91666666663</v>
      </c>
      <c r="I13" s="7">
        <v>81991</v>
      </c>
      <c r="J13" s="6">
        <f t="shared" ref="J13:J40" si="2">C13-C14</f>
        <v>35</v>
      </c>
      <c r="K13" s="6">
        <f t="shared" ref="K13:K40" si="3">D13-D14</f>
        <v>86</v>
      </c>
      <c r="L13" s="6">
        <f t="shared" ref="L13:L40" si="4">E13-E14</f>
        <v>55</v>
      </c>
      <c r="M13" s="6">
        <f t="shared" ref="M13:M40" si="5">I13-I14</f>
        <v>7</v>
      </c>
      <c r="N13" s="5">
        <f t="shared" ref="N11:N40" si="6">N14</f>
        <v>159.31034482758622</v>
      </c>
      <c r="O13" s="24">
        <f t="shared" ref="O13:O41" si="7">L13</f>
        <v>55</v>
      </c>
      <c r="P13" s="5">
        <f t="shared" ref="P13:P41" si="8">N13-O13</f>
        <v>104.31034482758622</v>
      </c>
      <c r="Q13" s="5">
        <f t="shared" ref="Q11:Q41" si="9">H13-G13</f>
        <v>17.916666666627862</v>
      </c>
      <c r="R13" s="7">
        <f t="shared" ref="R11:R39" si="10">R14</f>
        <v>965.51724137931035</v>
      </c>
      <c r="S13" s="6">
        <f t="shared" ref="S13:S41" si="11">J13+K13+L13</f>
        <v>176</v>
      </c>
      <c r="T13" s="7">
        <f t="shared" ref="T13:T41" si="12">R13-S13</f>
        <v>789.51724137931035</v>
      </c>
      <c r="U13" s="7">
        <f t="shared" ref="U13:U40" si="13">U14+N13</f>
        <v>4619.9999999999982</v>
      </c>
      <c r="V13" s="7">
        <f t="shared" ref="V13:V40" si="14">V14+O13</f>
        <v>1718</v>
      </c>
      <c r="W13" s="7">
        <f t="shared" ref="W13:W41" si="15">U13-V13</f>
        <v>2901.9999999999982</v>
      </c>
      <c r="X13" s="7">
        <f t="shared" ref="X13:X40" si="16">X14+R13</f>
        <v>28000.000000000011</v>
      </c>
      <c r="Y13" s="7">
        <f t="shared" ref="Y13:Y40" si="17">Y14+S13</f>
        <v>11854</v>
      </c>
      <c r="Z13" s="7">
        <f t="shared" ref="Z13:Z41" si="18">X13-Y13</f>
        <v>16146.000000000011</v>
      </c>
      <c r="AA13" s="25">
        <f t="shared" ref="AA12:AA41" si="19">COS(ATAN(M13/S13))</f>
        <v>0.99921000221444078</v>
      </c>
      <c r="AB13" s="26"/>
    </row>
    <row r="14" spans="2:28" ht="18" x14ac:dyDescent="0.25">
      <c r="B14" s="3">
        <v>28</v>
      </c>
      <c r="C14" s="7">
        <v>191022</v>
      </c>
      <c r="D14" s="7">
        <f>D15+102</f>
        <v>463855</v>
      </c>
      <c r="E14" s="9">
        <f>E15+62</f>
        <v>98071</v>
      </c>
      <c r="F14" s="8">
        <f t="shared" ref="F14:F41" si="20">C14+D14+E14</f>
        <v>752948</v>
      </c>
      <c r="G14" s="23">
        <f t="shared" si="0"/>
        <v>752742.375</v>
      </c>
      <c r="H14" s="7">
        <f t="shared" si="1"/>
        <v>752763.625</v>
      </c>
      <c r="I14" s="7">
        <v>81984</v>
      </c>
      <c r="J14" s="6">
        <f t="shared" si="2"/>
        <v>71</v>
      </c>
      <c r="K14" s="6">
        <f t="shared" si="3"/>
        <v>102</v>
      </c>
      <c r="L14" s="6">
        <f t="shared" si="4"/>
        <v>62</v>
      </c>
      <c r="M14" s="6">
        <f t="shared" si="5"/>
        <v>14</v>
      </c>
      <c r="N14" s="5">
        <f t="shared" si="6"/>
        <v>159.31034482758622</v>
      </c>
      <c r="O14" s="24">
        <f t="shared" si="7"/>
        <v>62</v>
      </c>
      <c r="P14" s="5">
        <f t="shared" si="8"/>
        <v>97.310344827586221</v>
      </c>
      <c r="Q14" s="5">
        <f t="shared" si="9"/>
        <v>21.25</v>
      </c>
      <c r="R14" s="7">
        <f t="shared" si="10"/>
        <v>965.51724137931035</v>
      </c>
      <c r="S14" s="6">
        <f t="shared" si="11"/>
        <v>235</v>
      </c>
      <c r="T14" s="7">
        <f t="shared" si="12"/>
        <v>730.51724137931035</v>
      </c>
      <c r="U14" s="7">
        <f t="shared" si="13"/>
        <v>4460.6896551724121</v>
      </c>
      <c r="V14" s="7">
        <f t="shared" si="14"/>
        <v>1663</v>
      </c>
      <c r="W14" s="7">
        <f t="shared" si="15"/>
        <v>2797.6896551724121</v>
      </c>
      <c r="X14" s="7">
        <f t="shared" si="16"/>
        <v>27034.482758620699</v>
      </c>
      <c r="Y14" s="7">
        <f t="shared" si="17"/>
        <v>11678</v>
      </c>
      <c r="Z14" s="7">
        <f t="shared" si="18"/>
        <v>15356.482758620699</v>
      </c>
      <c r="AA14" s="25">
        <f t="shared" si="19"/>
        <v>0.99823015103642776</v>
      </c>
      <c r="AB14" s="26"/>
    </row>
    <row r="15" spans="2:28" ht="18" x14ac:dyDescent="0.25">
      <c r="B15" s="3">
        <v>27</v>
      </c>
      <c r="C15" s="7">
        <f>C16+259</f>
        <v>190951</v>
      </c>
      <c r="D15" s="7">
        <f>D16+316</f>
        <v>463753</v>
      </c>
      <c r="E15" s="9">
        <f>E16+72</f>
        <v>98009</v>
      </c>
      <c r="F15" s="8">
        <f t="shared" si="20"/>
        <v>752713</v>
      </c>
      <c r="G15" s="23">
        <f t="shared" si="0"/>
        <v>752146.875</v>
      </c>
      <c r="H15" s="7">
        <f t="shared" si="1"/>
        <v>752212.70833333337</v>
      </c>
      <c r="I15" s="7">
        <f>I16+19</f>
        <v>81970</v>
      </c>
      <c r="J15" s="6">
        <f t="shared" si="2"/>
        <v>259</v>
      </c>
      <c r="K15" s="6">
        <f t="shared" si="3"/>
        <v>316</v>
      </c>
      <c r="L15" s="6">
        <f t="shared" si="4"/>
        <v>72</v>
      </c>
      <c r="M15" s="7">
        <f>I15-I16</f>
        <v>19</v>
      </c>
      <c r="N15" s="5">
        <f t="shared" si="6"/>
        <v>159.31034482758622</v>
      </c>
      <c r="O15" s="24">
        <f t="shared" si="7"/>
        <v>72</v>
      </c>
      <c r="P15" s="5">
        <f t="shared" si="8"/>
        <v>87.310344827586221</v>
      </c>
      <c r="Q15" s="5">
        <f t="shared" si="9"/>
        <v>65.833333333372138</v>
      </c>
      <c r="R15" s="7">
        <f t="shared" si="10"/>
        <v>965.51724137931035</v>
      </c>
      <c r="S15" s="6">
        <f t="shared" si="11"/>
        <v>647</v>
      </c>
      <c r="T15" s="7">
        <f t="shared" si="12"/>
        <v>318.51724137931035</v>
      </c>
      <c r="U15" s="7">
        <f t="shared" si="13"/>
        <v>4301.3793103448261</v>
      </c>
      <c r="V15" s="7">
        <f t="shared" si="14"/>
        <v>1601</v>
      </c>
      <c r="W15" s="7">
        <f t="shared" si="15"/>
        <v>2700.3793103448261</v>
      </c>
      <c r="X15" s="7">
        <f t="shared" si="16"/>
        <v>26068.965517241388</v>
      </c>
      <c r="Y15" s="7">
        <f t="shared" si="17"/>
        <v>11443</v>
      </c>
      <c r="Z15" s="7">
        <f t="shared" si="18"/>
        <v>14625.965517241388</v>
      </c>
      <c r="AA15" s="25">
        <f t="shared" si="19"/>
        <v>0.99956908872204775</v>
      </c>
      <c r="AB15" s="26"/>
    </row>
    <row r="16" spans="2:28" ht="18" x14ac:dyDescent="0.25">
      <c r="B16" s="3">
        <v>26</v>
      </c>
      <c r="C16" s="7">
        <v>190692</v>
      </c>
      <c r="D16" s="7">
        <v>463437</v>
      </c>
      <c r="E16" s="9">
        <v>97937</v>
      </c>
      <c r="F16" s="8">
        <f t="shared" si="20"/>
        <v>752066</v>
      </c>
      <c r="G16" s="23">
        <f t="shared" si="0"/>
        <v>751424.625</v>
      </c>
      <c r="H16" s="7">
        <f t="shared" si="1"/>
        <v>751504.41666666663</v>
      </c>
      <c r="I16" s="7">
        <v>81951</v>
      </c>
      <c r="J16" s="6">
        <f t="shared" si="2"/>
        <v>271</v>
      </c>
      <c r="K16" s="6">
        <f t="shared" si="3"/>
        <v>383</v>
      </c>
      <c r="L16" s="6">
        <f t="shared" si="4"/>
        <v>79</v>
      </c>
      <c r="M16" s="6">
        <f t="shared" si="5"/>
        <v>28</v>
      </c>
      <c r="N16" s="5">
        <f t="shared" si="6"/>
        <v>159.31034482758622</v>
      </c>
      <c r="O16" s="24">
        <f t="shared" si="7"/>
        <v>79</v>
      </c>
      <c r="P16" s="5">
        <f t="shared" si="8"/>
        <v>80.310344827586221</v>
      </c>
      <c r="Q16" s="5">
        <f t="shared" si="9"/>
        <v>79.791666666627862</v>
      </c>
      <c r="R16" s="7">
        <f t="shared" si="10"/>
        <v>965.51724137931035</v>
      </c>
      <c r="S16" s="6">
        <f t="shared" si="11"/>
        <v>733</v>
      </c>
      <c r="T16" s="7">
        <f t="shared" si="12"/>
        <v>232.51724137931035</v>
      </c>
      <c r="U16" s="7">
        <f t="shared" si="13"/>
        <v>4142.06896551724</v>
      </c>
      <c r="V16" s="7">
        <f t="shared" si="14"/>
        <v>1529</v>
      </c>
      <c r="W16" s="7">
        <f t="shared" si="15"/>
        <v>2613.06896551724</v>
      </c>
      <c r="X16" s="7">
        <f t="shared" si="16"/>
        <v>25103.448275862076</v>
      </c>
      <c r="Y16" s="7">
        <f t="shared" si="17"/>
        <v>10796</v>
      </c>
      <c r="Z16" s="7">
        <f t="shared" si="18"/>
        <v>14307.448275862076</v>
      </c>
      <c r="AA16" s="25">
        <f t="shared" si="19"/>
        <v>0.99927120874833764</v>
      </c>
      <c r="AB16" s="26"/>
    </row>
    <row r="17" spans="2:28" ht="18" x14ac:dyDescent="0.25">
      <c r="B17" s="3">
        <v>25</v>
      </c>
      <c r="C17" s="7">
        <f>C18+221</f>
        <v>190421</v>
      </c>
      <c r="D17" s="7">
        <f>D18+210</f>
        <v>463054</v>
      </c>
      <c r="E17" s="9">
        <f>E18+99</f>
        <v>97858</v>
      </c>
      <c r="F17" s="8">
        <f t="shared" si="20"/>
        <v>751333</v>
      </c>
      <c r="G17" s="23">
        <f t="shared" si="0"/>
        <v>750869.25</v>
      </c>
      <c r="H17" s="7">
        <f t="shared" si="1"/>
        <v>750913</v>
      </c>
      <c r="I17" s="7">
        <v>81923</v>
      </c>
      <c r="J17" s="6">
        <f t="shared" si="2"/>
        <v>221</v>
      </c>
      <c r="K17" s="6">
        <f t="shared" si="3"/>
        <v>210</v>
      </c>
      <c r="L17" s="6">
        <f t="shared" si="4"/>
        <v>99</v>
      </c>
      <c r="M17" s="6">
        <f t="shared" si="5"/>
        <v>8</v>
      </c>
      <c r="N17" s="5">
        <f t="shared" si="6"/>
        <v>159.31034482758622</v>
      </c>
      <c r="O17" s="24">
        <f t="shared" si="7"/>
        <v>99</v>
      </c>
      <c r="P17" s="5">
        <f t="shared" si="8"/>
        <v>60.310344827586221</v>
      </c>
      <c r="Q17" s="5">
        <f t="shared" si="9"/>
        <v>43.75</v>
      </c>
      <c r="R17" s="7">
        <f t="shared" si="10"/>
        <v>965.51724137931035</v>
      </c>
      <c r="S17" s="6">
        <f t="shared" si="11"/>
        <v>530</v>
      </c>
      <c r="T17" s="7">
        <f t="shared" si="12"/>
        <v>435.51724137931035</v>
      </c>
      <c r="U17" s="7">
        <f t="shared" si="13"/>
        <v>3982.758620689654</v>
      </c>
      <c r="V17" s="7">
        <f t="shared" si="14"/>
        <v>1450</v>
      </c>
      <c r="W17" s="7">
        <f t="shared" si="15"/>
        <v>2532.758620689654</v>
      </c>
      <c r="X17" s="7">
        <f t="shared" si="16"/>
        <v>24137.931034482765</v>
      </c>
      <c r="Y17" s="7">
        <f t="shared" si="17"/>
        <v>10063</v>
      </c>
      <c r="Z17" s="7">
        <f t="shared" si="18"/>
        <v>14074.931034482765</v>
      </c>
      <c r="AA17" s="25">
        <f t="shared" si="19"/>
        <v>0.99988609991847677</v>
      </c>
      <c r="AB17" s="26"/>
    </row>
    <row r="18" spans="2:28" ht="18" x14ac:dyDescent="0.25">
      <c r="B18" s="3">
        <v>24</v>
      </c>
      <c r="C18" s="7">
        <f>C19+21</f>
        <v>190200</v>
      </c>
      <c r="D18" s="7">
        <f>D19+19</f>
        <v>462844</v>
      </c>
      <c r="E18" s="9">
        <f>E19+86</f>
        <v>97759</v>
      </c>
      <c r="F18" s="8">
        <f t="shared" si="20"/>
        <v>750803</v>
      </c>
      <c r="G18" s="23">
        <f t="shared" si="0"/>
        <v>750692.75</v>
      </c>
      <c r="H18" s="7">
        <f t="shared" si="1"/>
        <v>750696.70833333337</v>
      </c>
      <c r="I18" s="7">
        <f>I19+4</f>
        <v>81915</v>
      </c>
      <c r="J18" s="6">
        <f t="shared" si="2"/>
        <v>21</v>
      </c>
      <c r="K18" s="6">
        <f t="shared" si="3"/>
        <v>19</v>
      </c>
      <c r="L18" s="6">
        <f t="shared" si="4"/>
        <v>86</v>
      </c>
      <c r="M18" s="6">
        <f t="shared" si="5"/>
        <v>4</v>
      </c>
      <c r="N18" s="5">
        <f t="shared" si="6"/>
        <v>159.31034482758622</v>
      </c>
      <c r="O18" s="24">
        <f t="shared" si="7"/>
        <v>86</v>
      </c>
      <c r="P18" s="5">
        <f t="shared" si="8"/>
        <v>73.310344827586221</v>
      </c>
      <c r="Q18" s="5">
        <f t="shared" si="9"/>
        <v>3.9583333333721384</v>
      </c>
      <c r="R18" s="7">
        <f t="shared" si="10"/>
        <v>965.51724137931035</v>
      </c>
      <c r="S18" s="6">
        <f t="shared" si="11"/>
        <v>126</v>
      </c>
      <c r="T18" s="7">
        <f t="shared" si="12"/>
        <v>839.51724137931035</v>
      </c>
      <c r="U18" s="7">
        <f t="shared" si="13"/>
        <v>3823.4482758620679</v>
      </c>
      <c r="V18" s="7">
        <f t="shared" si="14"/>
        <v>1351</v>
      </c>
      <c r="W18" s="7">
        <f t="shared" si="15"/>
        <v>2472.4482758620679</v>
      </c>
      <c r="X18" s="7">
        <f t="shared" si="16"/>
        <v>23172.413793103453</v>
      </c>
      <c r="Y18" s="7">
        <f t="shared" si="17"/>
        <v>9533</v>
      </c>
      <c r="Z18" s="7">
        <f t="shared" si="18"/>
        <v>13639.413793103453</v>
      </c>
      <c r="AA18" s="25">
        <f t="shared" si="19"/>
        <v>0.99949647529536745</v>
      </c>
      <c r="AB18" s="26"/>
    </row>
    <row r="19" spans="2:28" ht="18" x14ac:dyDescent="0.25">
      <c r="B19" s="3">
        <v>23</v>
      </c>
      <c r="C19" s="7">
        <f>C20+33</f>
        <v>190179</v>
      </c>
      <c r="D19" s="7">
        <f>D20+48</f>
        <v>462825</v>
      </c>
      <c r="E19" s="9">
        <f>E20+6</f>
        <v>97673</v>
      </c>
      <c r="F19" s="8">
        <f t="shared" si="20"/>
        <v>750677</v>
      </c>
      <c r="G19" s="23">
        <f t="shared" si="0"/>
        <v>750600.875</v>
      </c>
      <c r="H19" s="7">
        <f t="shared" si="1"/>
        <v>750610.875</v>
      </c>
      <c r="I19" s="7">
        <f>I20+9</f>
        <v>81911</v>
      </c>
      <c r="J19" s="6">
        <f t="shared" si="2"/>
        <v>33</v>
      </c>
      <c r="K19" s="6">
        <f t="shared" si="3"/>
        <v>48</v>
      </c>
      <c r="L19" s="6">
        <f t="shared" si="4"/>
        <v>6</v>
      </c>
      <c r="M19" s="6">
        <f t="shared" si="5"/>
        <v>9</v>
      </c>
      <c r="N19" s="5">
        <f t="shared" si="6"/>
        <v>159.31034482758622</v>
      </c>
      <c r="O19" s="3">
        <f t="shared" si="7"/>
        <v>6</v>
      </c>
      <c r="P19" s="5">
        <f t="shared" si="8"/>
        <v>153.31034482758622</v>
      </c>
      <c r="Q19" s="5">
        <f t="shared" si="9"/>
        <v>10</v>
      </c>
      <c r="R19" s="7">
        <f t="shared" si="10"/>
        <v>965.51724137931035</v>
      </c>
      <c r="S19" s="6">
        <f t="shared" si="11"/>
        <v>87</v>
      </c>
      <c r="T19" s="7">
        <f t="shared" si="12"/>
        <v>878.51724137931035</v>
      </c>
      <c r="U19" s="7">
        <f t="shared" si="13"/>
        <v>3664.1379310344819</v>
      </c>
      <c r="V19" s="7">
        <f t="shared" si="14"/>
        <v>1265</v>
      </c>
      <c r="W19" s="7">
        <f t="shared" si="15"/>
        <v>2399.1379310344819</v>
      </c>
      <c r="X19" s="7">
        <f t="shared" si="16"/>
        <v>22206.896551724141</v>
      </c>
      <c r="Y19" s="7">
        <f t="shared" si="17"/>
        <v>9407</v>
      </c>
      <c r="Z19" s="7">
        <f t="shared" si="18"/>
        <v>12799.896551724141</v>
      </c>
      <c r="AA19" s="25">
        <f t="shared" si="19"/>
        <v>0.99469179382655126</v>
      </c>
      <c r="AB19" s="1"/>
    </row>
    <row r="20" spans="2:28" ht="18" x14ac:dyDescent="0.25">
      <c r="B20" s="3">
        <v>22</v>
      </c>
      <c r="C20" s="7">
        <v>190146</v>
      </c>
      <c r="D20" s="7">
        <v>462777</v>
      </c>
      <c r="E20" s="9">
        <v>97667</v>
      </c>
      <c r="F20" s="8">
        <f t="shared" si="20"/>
        <v>750590</v>
      </c>
      <c r="G20" s="23">
        <f t="shared" si="0"/>
        <v>750264.5</v>
      </c>
      <c r="H20" s="7">
        <f t="shared" si="1"/>
        <v>750321.375</v>
      </c>
      <c r="I20" s="7">
        <v>81902</v>
      </c>
      <c r="J20" s="6">
        <f t="shared" si="2"/>
        <v>57</v>
      </c>
      <c r="K20" s="6">
        <f t="shared" si="3"/>
        <v>273</v>
      </c>
      <c r="L20" s="6">
        <f t="shared" si="4"/>
        <v>42</v>
      </c>
      <c r="M20" s="6">
        <f t="shared" si="5"/>
        <v>8</v>
      </c>
      <c r="N20" s="5">
        <f t="shared" si="6"/>
        <v>159.31034482758622</v>
      </c>
      <c r="O20" s="3">
        <f t="shared" si="7"/>
        <v>42</v>
      </c>
      <c r="P20" s="5">
        <f t="shared" si="8"/>
        <v>117.31034482758622</v>
      </c>
      <c r="Q20" s="5">
        <f t="shared" si="9"/>
        <v>56.875</v>
      </c>
      <c r="R20" s="7">
        <f t="shared" si="10"/>
        <v>965.51724137931035</v>
      </c>
      <c r="S20" s="6">
        <f t="shared" si="11"/>
        <v>372</v>
      </c>
      <c r="T20" s="7">
        <f t="shared" si="12"/>
        <v>593.51724137931035</v>
      </c>
      <c r="U20" s="7">
        <f t="shared" si="13"/>
        <v>3504.8275862068958</v>
      </c>
      <c r="V20" s="7">
        <f t="shared" si="14"/>
        <v>1259</v>
      </c>
      <c r="W20" s="7">
        <f t="shared" si="15"/>
        <v>2245.8275862068958</v>
      </c>
      <c r="X20" s="7">
        <f t="shared" si="16"/>
        <v>21241.37931034483</v>
      </c>
      <c r="Y20" s="7">
        <f t="shared" si="17"/>
        <v>9320</v>
      </c>
      <c r="Z20" s="7">
        <f t="shared" si="18"/>
        <v>11921.37931034483</v>
      </c>
      <c r="AA20" s="25">
        <f t="shared" si="19"/>
        <v>0.99976883957157647</v>
      </c>
      <c r="AB20" s="1"/>
    </row>
    <row r="21" spans="2:28" ht="18" x14ac:dyDescent="0.25">
      <c r="B21" s="3">
        <v>21</v>
      </c>
      <c r="C21" s="7">
        <v>190089</v>
      </c>
      <c r="D21" s="7">
        <v>462504</v>
      </c>
      <c r="E21" s="9">
        <v>97625</v>
      </c>
      <c r="F21" s="8">
        <f t="shared" si="20"/>
        <v>750218</v>
      </c>
      <c r="G21" s="23">
        <f t="shared" si="0"/>
        <v>749798</v>
      </c>
      <c r="H21" s="7">
        <f t="shared" si="1"/>
        <v>749852.79166666663</v>
      </c>
      <c r="I21" s="7">
        <v>81894</v>
      </c>
      <c r="J21" s="6">
        <f t="shared" si="2"/>
        <v>146</v>
      </c>
      <c r="K21" s="6">
        <f t="shared" si="3"/>
        <v>263</v>
      </c>
      <c r="L21" s="6">
        <f t="shared" si="4"/>
        <v>71</v>
      </c>
      <c r="M21" s="6">
        <f t="shared" si="5"/>
        <v>38</v>
      </c>
      <c r="N21" s="5">
        <f t="shared" si="6"/>
        <v>159.31034482758622</v>
      </c>
      <c r="O21" s="3">
        <f t="shared" si="7"/>
        <v>71</v>
      </c>
      <c r="P21" s="5">
        <f t="shared" si="8"/>
        <v>88.310344827586221</v>
      </c>
      <c r="Q21" s="5">
        <f t="shared" si="9"/>
        <v>54.791666666627862</v>
      </c>
      <c r="R21" s="7">
        <f t="shared" si="10"/>
        <v>965.51724137931035</v>
      </c>
      <c r="S21" s="6">
        <f t="shared" si="11"/>
        <v>480</v>
      </c>
      <c r="T21" s="7">
        <f t="shared" si="12"/>
        <v>485.51724137931035</v>
      </c>
      <c r="U21" s="7">
        <f t="shared" si="13"/>
        <v>3345.5172413793098</v>
      </c>
      <c r="V21" s="7">
        <f t="shared" si="14"/>
        <v>1217</v>
      </c>
      <c r="W21" s="7">
        <f t="shared" si="15"/>
        <v>2128.5172413793098</v>
      </c>
      <c r="X21" s="7">
        <f t="shared" si="16"/>
        <v>20275.862068965518</v>
      </c>
      <c r="Y21" s="7">
        <f t="shared" si="17"/>
        <v>8948</v>
      </c>
      <c r="Z21" s="7">
        <f t="shared" si="18"/>
        <v>11327.862068965518</v>
      </c>
      <c r="AA21" s="25">
        <f t="shared" si="19"/>
        <v>0.99688097286320665</v>
      </c>
      <c r="AB21" s="1"/>
    </row>
    <row r="22" spans="2:28" ht="18" x14ac:dyDescent="0.25">
      <c r="B22" s="3">
        <v>20</v>
      </c>
      <c r="C22" s="7">
        <v>189943</v>
      </c>
      <c r="D22" s="7">
        <v>462241</v>
      </c>
      <c r="E22" s="9">
        <v>97554</v>
      </c>
      <c r="F22" s="8">
        <f t="shared" si="20"/>
        <v>749738</v>
      </c>
      <c r="G22" s="23">
        <f t="shared" si="0"/>
        <v>749142.125</v>
      </c>
      <c r="H22" s="7">
        <f t="shared" si="1"/>
        <v>749227.125</v>
      </c>
      <c r="I22" s="7">
        <v>81856</v>
      </c>
      <c r="J22" s="6">
        <f t="shared" si="2"/>
        <v>176</v>
      </c>
      <c r="K22" s="6">
        <f t="shared" si="3"/>
        <v>408</v>
      </c>
      <c r="L22" s="6">
        <f t="shared" si="4"/>
        <v>97</v>
      </c>
      <c r="M22" s="6">
        <f t="shared" si="5"/>
        <v>6</v>
      </c>
      <c r="N22" s="5">
        <f t="shared" si="6"/>
        <v>159.31034482758622</v>
      </c>
      <c r="O22" s="3">
        <f t="shared" si="7"/>
        <v>97</v>
      </c>
      <c r="P22" s="5">
        <f t="shared" si="8"/>
        <v>62.310344827586221</v>
      </c>
      <c r="Q22" s="5">
        <f t="shared" si="9"/>
        <v>85</v>
      </c>
      <c r="R22" s="7">
        <f t="shared" si="10"/>
        <v>965.51724137931035</v>
      </c>
      <c r="S22" s="6">
        <f t="shared" si="11"/>
        <v>681</v>
      </c>
      <c r="T22" s="7">
        <f t="shared" si="12"/>
        <v>284.51724137931035</v>
      </c>
      <c r="U22" s="7">
        <f t="shared" si="13"/>
        <v>3186.2068965517237</v>
      </c>
      <c r="V22" s="7">
        <f t="shared" si="14"/>
        <v>1146</v>
      </c>
      <c r="W22" s="7">
        <f t="shared" si="15"/>
        <v>2040.2068965517237</v>
      </c>
      <c r="X22" s="7">
        <f t="shared" si="16"/>
        <v>19310.344827586207</v>
      </c>
      <c r="Y22" s="7">
        <f t="shared" si="17"/>
        <v>8468</v>
      </c>
      <c r="Z22" s="7">
        <f t="shared" si="18"/>
        <v>10842.344827586207</v>
      </c>
      <c r="AA22" s="25">
        <f t="shared" si="19"/>
        <v>0.99996118916400001</v>
      </c>
      <c r="AB22" s="1"/>
    </row>
    <row r="23" spans="2:28" ht="18" x14ac:dyDescent="0.25">
      <c r="B23" s="3">
        <v>19</v>
      </c>
      <c r="C23" s="7">
        <v>189767</v>
      </c>
      <c r="D23" s="7">
        <v>461833</v>
      </c>
      <c r="E23" s="9">
        <v>97457</v>
      </c>
      <c r="F23" s="8">
        <f t="shared" si="20"/>
        <v>749057</v>
      </c>
      <c r="G23" s="23">
        <f t="shared" si="0"/>
        <v>748420</v>
      </c>
      <c r="H23" s="7">
        <f t="shared" si="1"/>
        <v>748510</v>
      </c>
      <c r="I23" s="7">
        <v>81850</v>
      </c>
      <c r="J23" s="6">
        <f t="shared" si="2"/>
        <v>189</v>
      </c>
      <c r="K23" s="6">
        <f t="shared" si="3"/>
        <v>432</v>
      </c>
      <c r="L23" s="6">
        <f t="shared" si="4"/>
        <v>107</v>
      </c>
      <c r="M23" s="6">
        <f t="shared" si="5"/>
        <v>8</v>
      </c>
      <c r="N23" s="5">
        <f t="shared" si="6"/>
        <v>159.31034482758622</v>
      </c>
      <c r="O23" s="3">
        <f t="shared" si="7"/>
        <v>107</v>
      </c>
      <c r="P23" s="5">
        <f t="shared" si="8"/>
        <v>52.310344827586221</v>
      </c>
      <c r="Q23" s="5">
        <f t="shared" si="9"/>
        <v>90</v>
      </c>
      <c r="R23" s="7">
        <f t="shared" si="10"/>
        <v>965.51724137931035</v>
      </c>
      <c r="S23" s="6">
        <f t="shared" si="11"/>
        <v>728</v>
      </c>
      <c r="T23" s="7">
        <f t="shared" si="12"/>
        <v>237.51724137931035</v>
      </c>
      <c r="U23" s="7">
        <f t="shared" si="13"/>
        <v>3026.8965517241377</v>
      </c>
      <c r="V23" s="7">
        <f t="shared" si="14"/>
        <v>1049</v>
      </c>
      <c r="W23" s="7">
        <f t="shared" si="15"/>
        <v>1977.8965517241377</v>
      </c>
      <c r="X23" s="7">
        <f t="shared" si="16"/>
        <v>18344.827586206895</v>
      </c>
      <c r="Y23" s="7">
        <f t="shared" si="17"/>
        <v>7787</v>
      </c>
      <c r="Z23" s="7">
        <f t="shared" si="18"/>
        <v>10557.827586206895</v>
      </c>
      <c r="AA23" s="25">
        <f t="shared" si="19"/>
        <v>0.99993962628665978</v>
      </c>
      <c r="AB23" s="1"/>
    </row>
    <row r="24" spans="2:28" ht="18" x14ac:dyDescent="0.25">
      <c r="B24" s="3">
        <v>18</v>
      </c>
      <c r="C24" s="7">
        <v>189578</v>
      </c>
      <c r="D24" s="7">
        <v>461401</v>
      </c>
      <c r="E24" s="9">
        <v>97350</v>
      </c>
      <c r="F24" s="8">
        <f t="shared" si="20"/>
        <v>748329</v>
      </c>
      <c r="G24" s="23">
        <f t="shared" si="0"/>
        <v>747896.75</v>
      </c>
      <c r="H24" s="7">
        <f t="shared" si="1"/>
        <v>747954.04166666663</v>
      </c>
      <c r="I24" s="7">
        <v>81842</v>
      </c>
      <c r="J24" s="6">
        <f t="shared" si="2"/>
        <v>157</v>
      </c>
      <c r="K24" s="6">
        <f t="shared" si="3"/>
        <v>275</v>
      </c>
      <c r="L24" s="6">
        <f t="shared" si="4"/>
        <v>62</v>
      </c>
      <c r="M24" s="6">
        <f t="shared" si="5"/>
        <v>20</v>
      </c>
      <c r="N24" s="5">
        <f t="shared" si="6"/>
        <v>159.31034482758622</v>
      </c>
      <c r="O24" s="3">
        <f t="shared" si="7"/>
        <v>62</v>
      </c>
      <c r="P24" s="5">
        <f t="shared" si="8"/>
        <v>97.310344827586221</v>
      </c>
      <c r="Q24" s="5">
        <f t="shared" si="9"/>
        <v>57.291666666627862</v>
      </c>
      <c r="R24" s="7">
        <f t="shared" si="10"/>
        <v>965.51724137931035</v>
      </c>
      <c r="S24" s="6">
        <f t="shared" si="11"/>
        <v>494</v>
      </c>
      <c r="T24" s="7">
        <f t="shared" si="12"/>
        <v>471.51724137931035</v>
      </c>
      <c r="U24" s="7">
        <f t="shared" si="13"/>
        <v>2867.5862068965516</v>
      </c>
      <c r="V24" s="7">
        <f t="shared" si="14"/>
        <v>942</v>
      </c>
      <c r="W24" s="7">
        <f t="shared" si="15"/>
        <v>1925.5862068965516</v>
      </c>
      <c r="X24" s="7">
        <f t="shared" si="16"/>
        <v>17379.310344827583</v>
      </c>
      <c r="Y24" s="7">
        <f t="shared" si="17"/>
        <v>7059</v>
      </c>
      <c r="Z24" s="7">
        <f t="shared" si="18"/>
        <v>10320.310344827583</v>
      </c>
      <c r="AA24" s="25">
        <f t="shared" si="19"/>
        <v>0.99918145490834542</v>
      </c>
      <c r="AB24" s="1"/>
    </row>
    <row r="25" spans="2:28" ht="18" x14ac:dyDescent="0.25">
      <c r="B25" s="3">
        <v>17</v>
      </c>
      <c r="C25" s="7">
        <f>C26+142</f>
        <v>189421</v>
      </c>
      <c r="D25" s="7">
        <f>D26+242</f>
        <v>461126</v>
      </c>
      <c r="E25" s="9">
        <f>E26+54</f>
        <v>97288</v>
      </c>
      <c r="F25" s="8">
        <f t="shared" si="20"/>
        <v>747835</v>
      </c>
      <c r="G25" s="23">
        <f>(C26+D26+E26)+((S25/24)*3)</f>
        <v>747451.75</v>
      </c>
      <c r="H25" s="7">
        <f t="shared" si="1"/>
        <v>747502.16666666663</v>
      </c>
      <c r="I25" s="7">
        <f>I26+17</f>
        <v>81822</v>
      </c>
      <c r="J25" s="6">
        <f t="shared" ref="J25:L27" si="21">C25-C26</f>
        <v>142</v>
      </c>
      <c r="K25" s="6">
        <f t="shared" si="21"/>
        <v>242</v>
      </c>
      <c r="L25" s="6">
        <f t="shared" si="21"/>
        <v>54</v>
      </c>
      <c r="M25" s="7">
        <f t="shared" si="5"/>
        <v>17</v>
      </c>
      <c r="N25" s="5">
        <f t="shared" si="6"/>
        <v>159.31034482758622</v>
      </c>
      <c r="O25" s="3">
        <f t="shared" si="7"/>
        <v>54</v>
      </c>
      <c r="P25" s="5">
        <f t="shared" si="8"/>
        <v>105.31034482758622</v>
      </c>
      <c r="Q25" s="5">
        <f t="shared" si="9"/>
        <v>50.416666666627862</v>
      </c>
      <c r="R25" s="7">
        <f t="shared" si="10"/>
        <v>965.51724137931035</v>
      </c>
      <c r="S25" s="6">
        <f t="shared" si="11"/>
        <v>438</v>
      </c>
      <c r="T25" s="7">
        <f t="shared" si="12"/>
        <v>527.51724137931035</v>
      </c>
      <c r="U25" s="7">
        <f t="shared" si="13"/>
        <v>2708.2758620689656</v>
      </c>
      <c r="V25" s="6">
        <f t="shared" si="14"/>
        <v>880</v>
      </c>
      <c r="W25" s="7">
        <f t="shared" si="15"/>
        <v>1828.2758620689656</v>
      </c>
      <c r="X25" s="7">
        <f t="shared" si="16"/>
        <v>16413.793103448272</v>
      </c>
      <c r="Y25" s="7">
        <f t="shared" si="17"/>
        <v>6565</v>
      </c>
      <c r="Z25" s="7">
        <f t="shared" si="18"/>
        <v>9848.7931034482717</v>
      </c>
      <c r="AA25" s="25">
        <f t="shared" si="19"/>
        <v>0.99924763378016368</v>
      </c>
      <c r="AB25" s="1"/>
    </row>
    <row r="26" spans="2:28" ht="18" x14ac:dyDescent="0.25">
      <c r="B26" s="3">
        <v>16</v>
      </c>
      <c r="C26" s="7">
        <f>C27+138</f>
        <v>189279</v>
      </c>
      <c r="D26" s="7">
        <f>D27+231</f>
        <v>460884</v>
      </c>
      <c r="E26" s="9">
        <f>E27+50</f>
        <v>97234</v>
      </c>
      <c r="F26" s="8">
        <f>C26+D26+E26</f>
        <v>747397</v>
      </c>
      <c r="G26" s="23">
        <f>(C27+D27+E27)+((S26/24)*3)</f>
        <v>747030.375</v>
      </c>
      <c r="H26" s="7">
        <f t="shared" si="1"/>
        <v>747078.5</v>
      </c>
      <c r="I26" s="7">
        <f>I27+17</f>
        <v>81805</v>
      </c>
      <c r="J26" s="6">
        <f t="shared" si="21"/>
        <v>138</v>
      </c>
      <c r="K26" s="6">
        <f t="shared" si="21"/>
        <v>231</v>
      </c>
      <c r="L26" s="6">
        <f t="shared" si="21"/>
        <v>50</v>
      </c>
      <c r="M26" s="7">
        <f t="shared" si="5"/>
        <v>17</v>
      </c>
      <c r="N26" s="5">
        <f t="shared" si="6"/>
        <v>159.31034482758622</v>
      </c>
      <c r="O26" s="3">
        <f t="shared" si="7"/>
        <v>50</v>
      </c>
      <c r="P26" s="5">
        <f t="shared" si="8"/>
        <v>109.31034482758622</v>
      </c>
      <c r="Q26" s="5">
        <f t="shared" si="9"/>
        <v>48.125</v>
      </c>
      <c r="R26" s="7">
        <f t="shared" si="10"/>
        <v>965.51724137931035</v>
      </c>
      <c r="S26" s="6">
        <f t="shared" si="11"/>
        <v>419</v>
      </c>
      <c r="T26" s="7">
        <f t="shared" si="12"/>
        <v>546.51724137931035</v>
      </c>
      <c r="U26" s="7">
        <f t="shared" si="13"/>
        <v>2548.9655172413795</v>
      </c>
      <c r="V26" s="6">
        <f t="shared" si="14"/>
        <v>826</v>
      </c>
      <c r="W26" s="7">
        <f t="shared" si="15"/>
        <v>1722.9655172413795</v>
      </c>
      <c r="X26" s="7">
        <f t="shared" si="16"/>
        <v>15448.275862068962</v>
      </c>
      <c r="Y26" s="7">
        <f t="shared" si="17"/>
        <v>6127</v>
      </c>
      <c r="Z26" s="7">
        <f t="shared" si="18"/>
        <v>9321.2758620689619</v>
      </c>
      <c r="AA26" s="25">
        <f t="shared" si="19"/>
        <v>0.9991779390484703</v>
      </c>
      <c r="AB26" s="1"/>
    </row>
    <row r="27" spans="2:28" ht="18" x14ac:dyDescent="0.25">
      <c r="B27" s="3">
        <v>15</v>
      </c>
      <c r="C27" s="7">
        <f>C28+110</f>
        <v>189141</v>
      </c>
      <c r="D27" s="7">
        <f>D28+220</f>
        <v>460653</v>
      </c>
      <c r="E27" s="9">
        <f>E28+42</f>
        <v>97184</v>
      </c>
      <c r="F27" s="8">
        <f t="shared" si="20"/>
        <v>746978</v>
      </c>
      <c r="G27" s="23">
        <f t="shared" si="0"/>
        <v>746652.5</v>
      </c>
      <c r="H27" s="7">
        <f t="shared" si="1"/>
        <v>746698.33333333337</v>
      </c>
      <c r="I27" s="7">
        <f>I28+15</f>
        <v>81788</v>
      </c>
      <c r="J27" s="6">
        <f t="shared" si="21"/>
        <v>110</v>
      </c>
      <c r="K27" s="6">
        <f t="shared" si="21"/>
        <v>220</v>
      </c>
      <c r="L27" s="6">
        <f t="shared" si="21"/>
        <v>42</v>
      </c>
      <c r="M27" s="7">
        <f t="shared" si="5"/>
        <v>15</v>
      </c>
      <c r="N27" s="5">
        <f t="shared" si="6"/>
        <v>159.31034482758622</v>
      </c>
      <c r="O27" s="3">
        <f t="shared" si="7"/>
        <v>42</v>
      </c>
      <c r="P27" s="5">
        <f t="shared" si="8"/>
        <v>117.31034482758622</v>
      </c>
      <c r="Q27" s="5">
        <f t="shared" si="9"/>
        <v>45.833333333372138</v>
      </c>
      <c r="R27" s="7">
        <f t="shared" si="10"/>
        <v>965.51724137931035</v>
      </c>
      <c r="S27" s="6">
        <f>J27+K27+L27</f>
        <v>372</v>
      </c>
      <c r="T27" s="7">
        <f t="shared" si="12"/>
        <v>593.51724137931035</v>
      </c>
      <c r="U27" s="7">
        <f t="shared" si="13"/>
        <v>2389.6551724137935</v>
      </c>
      <c r="V27" s="6">
        <f t="shared" si="14"/>
        <v>776</v>
      </c>
      <c r="W27" s="7">
        <f t="shared" si="15"/>
        <v>1613.6551724137935</v>
      </c>
      <c r="X27" s="7">
        <f t="shared" si="16"/>
        <v>14482.758620689652</v>
      </c>
      <c r="Y27" s="7">
        <f t="shared" si="17"/>
        <v>5708</v>
      </c>
      <c r="Z27" s="7">
        <f t="shared" si="18"/>
        <v>8774.7586206896522</v>
      </c>
      <c r="AA27" s="25">
        <f t="shared" si="19"/>
        <v>0.99918803474813744</v>
      </c>
      <c r="AB27" s="1"/>
    </row>
    <row r="28" spans="2:28" ht="18" x14ac:dyDescent="0.25">
      <c r="B28" s="3">
        <v>14</v>
      </c>
      <c r="C28" s="7">
        <v>189031</v>
      </c>
      <c r="D28" s="7">
        <v>460433</v>
      </c>
      <c r="E28" s="9">
        <v>97142</v>
      </c>
      <c r="F28" s="8">
        <f t="shared" si="20"/>
        <v>746606</v>
      </c>
      <c r="G28" s="23">
        <f t="shared" si="0"/>
        <v>746451.125</v>
      </c>
      <c r="H28" s="7">
        <f t="shared" si="1"/>
        <v>746473</v>
      </c>
      <c r="I28" s="7">
        <v>81773</v>
      </c>
      <c r="J28" s="6">
        <f t="shared" si="2"/>
        <v>60</v>
      </c>
      <c r="K28" s="6">
        <f t="shared" si="3"/>
        <v>105</v>
      </c>
      <c r="L28" s="6">
        <f t="shared" si="4"/>
        <v>12</v>
      </c>
      <c r="M28" s="7">
        <f t="shared" si="5"/>
        <v>9</v>
      </c>
      <c r="N28" s="5">
        <f t="shared" si="6"/>
        <v>159.31034482758622</v>
      </c>
      <c r="O28" s="3">
        <f t="shared" si="7"/>
        <v>12</v>
      </c>
      <c r="P28" s="5">
        <f t="shared" si="8"/>
        <v>147.31034482758622</v>
      </c>
      <c r="Q28" s="5">
        <f t="shared" si="9"/>
        <v>21.875</v>
      </c>
      <c r="R28" s="7">
        <f t="shared" si="10"/>
        <v>965.51724137931035</v>
      </c>
      <c r="S28" s="6">
        <f t="shared" si="11"/>
        <v>177</v>
      </c>
      <c r="T28" s="7">
        <f t="shared" si="12"/>
        <v>788.51724137931035</v>
      </c>
      <c r="U28" s="7">
        <f t="shared" si="13"/>
        <v>2230.3448275862074</v>
      </c>
      <c r="V28" s="6">
        <f t="shared" si="14"/>
        <v>734</v>
      </c>
      <c r="W28" s="7">
        <f t="shared" si="15"/>
        <v>1496.3448275862074</v>
      </c>
      <c r="X28" s="7">
        <f t="shared" si="16"/>
        <v>13517.241379310342</v>
      </c>
      <c r="Y28" s="7">
        <f t="shared" si="17"/>
        <v>5336</v>
      </c>
      <c r="Z28" s="7">
        <f t="shared" si="18"/>
        <v>8181.2413793103424</v>
      </c>
      <c r="AA28" s="25">
        <f t="shared" si="19"/>
        <v>0.99870976937166056</v>
      </c>
      <c r="AB28" s="1"/>
    </row>
    <row r="29" spans="2:28" ht="18" x14ac:dyDescent="0.25">
      <c r="B29" s="3">
        <v>13</v>
      </c>
      <c r="C29" s="7">
        <v>188971</v>
      </c>
      <c r="D29" s="7">
        <v>460328</v>
      </c>
      <c r="E29" s="9">
        <v>97130</v>
      </c>
      <c r="F29" s="8">
        <f t="shared" si="20"/>
        <v>746429</v>
      </c>
      <c r="G29" s="23">
        <f t="shared" si="0"/>
        <v>745776.25</v>
      </c>
      <c r="H29" s="7">
        <f t="shared" si="1"/>
        <v>745864.79166666663</v>
      </c>
      <c r="I29" s="7">
        <v>81764</v>
      </c>
      <c r="J29" s="6">
        <f t="shared" si="2"/>
        <v>236</v>
      </c>
      <c r="K29" s="6">
        <f t="shared" si="3"/>
        <v>425</v>
      </c>
      <c r="L29" s="6">
        <f t="shared" si="4"/>
        <v>85</v>
      </c>
      <c r="M29" s="6">
        <f t="shared" si="5"/>
        <v>41</v>
      </c>
      <c r="N29" s="5">
        <f t="shared" si="6"/>
        <v>159.31034482758622</v>
      </c>
      <c r="O29" s="3">
        <f t="shared" si="7"/>
        <v>85</v>
      </c>
      <c r="P29" s="5">
        <f t="shared" si="8"/>
        <v>74.310344827586221</v>
      </c>
      <c r="Q29" s="5">
        <f t="shared" si="9"/>
        <v>88.541666666627862</v>
      </c>
      <c r="R29" s="7">
        <f t="shared" si="10"/>
        <v>965.51724137931035</v>
      </c>
      <c r="S29" s="6">
        <f t="shared" si="11"/>
        <v>746</v>
      </c>
      <c r="T29" s="7">
        <f t="shared" si="12"/>
        <v>219.51724137931035</v>
      </c>
      <c r="U29" s="7">
        <f t="shared" si="13"/>
        <v>2071.0344827586214</v>
      </c>
      <c r="V29" s="6">
        <f t="shared" si="14"/>
        <v>722</v>
      </c>
      <c r="W29" s="7">
        <f t="shared" si="15"/>
        <v>1349.0344827586214</v>
      </c>
      <c r="X29" s="7">
        <f t="shared" si="16"/>
        <v>12551.724137931033</v>
      </c>
      <c r="Y29" s="7">
        <f t="shared" si="17"/>
        <v>5159</v>
      </c>
      <c r="Z29" s="7">
        <f t="shared" si="18"/>
        <v>7392.7241379310326</v>
      </c>
      <c r="AA29" s="25">
        <f t="shared" si="19"/>
        <v>0.99849312385737576</v>
      </c>
      <c r="AB29" s="1"/>
    </row>
    <row r="30" spans="2:28" ht="18" x14ac:dyDescent="0.25">
      <c r="B30" s="3">
        <v>12</v>
      </c>
      <c r="C30" s="7">
        <v>188735</v>
      </c>
      <c r="D30" s="7">
        <v>459903</v>
      </c>
      <c r="E30" s="9">
        <v>97045</v>
      </c>
      <c r="F30" s="8">
        <f t="shared" si="20"/>
        <v>745683</v>
      </c>
      <c r="G30" s="23">
        <f t="shared" si="0"/>
        <v>745583.25</v>
      </c>
      <c r="H30" s="7">
        <f t="shared" si="1"/>
        <v>745589.5</v>
      </c>
      <c r="I30" s="7">
        <v>81723</v>
      </c>
      <c r="J30" s="6">
        <f t="shared" si="2"/>
        <v>72</v>
      </c>
      <c r="K30" s="6">
        <f t="shared" si="3"/>
        <v>30</v>
      </c>
      <c r="L30" s="6">
        <f t="shared" si="4"/>
        <v>12</v>
      </c>
      <c r="M30" s="6">
        <f t="shared" si="5"/>
        <v>4</v>
      </c>
      <c r="N30" s="5">
        <f t="shared" si="6"/>
        <v>159.31034482758622</v>
      </c>
      <c r="O30" s="3">
        <f t="shared" si="7"/>
        <v>12</v>
      </c>
      <c r="P30" s="5">
        <f t="shared" si="8"/>
        <v>147.31034482758622</v>
      </c>
      <c r="Q30" s="5">
        <f t="shared" si="9"/>
        <v>6.25</v>
      </c>
      <c r="R30" s="7">
        <f t="shared" si="10"/>
        <v>965.51724137931035</v>
      </c>
      <c r="S30" s="6">
        <f t="shared" si="11"/>
        <v>114</v>
      </c>
      <c r="T30" s="7">
        <f t="shared" si="12"/>
        <v>851.51724137931035</v>
      </c>
      <c r="U30" s="7">
        <f t="shared" si="13"/>
        <v>1911.7241379310351</v>
      </c>
      <c r="V30" s="6">
        <f t="shared" si="14"/>
        <v>637</v>
      </c>
      <c r="W30" s="7">
        <f t="shared" si="15"/>
        <v>1274.7241379310351</v>
      </c>
      <c r="X30" s="7">
        <f t="shared" si="16"/>
        <v>11586.206896551723</v>
      </c>
      <c r="Y30" s="7">
        <f t="shared" si="17"/>
        <v>4413</v>
      </c>
      <c r="Z30" s="7">
        <f t="shared" si="18"/>
        <v>7173.2068965517228</v>
      </c>
      <c r="AA30" s="25">
        <f t="shared" si="19"/>
        <v>0.99938499379176671</v>
      </c>
      <c r="AB30" s="1"/>
    </row>
    <row r="31" spans="2:28" ht="18" x14ac:dyDescent="0.25">
      <c r="B31" s="3">
        <v>11</v>
      </c>
      <c r="C31" s="7">
        <v>188663</v>
      </c>
      <c r="D31" s="7">
        <v>459873</v>
      </c>
      <c r="E31" s="9">
        <v>97033</v>
      </c>
      <c r="F31" s="8">
        <f t="shared" si="20"/>
        <v>745569</v>
      </c>
      <c r="G31" s="23">
        <f t="shared" si="0"/>
        <v>745201.5</v>
      </c>
      <c r="H31" s="7">
        <f t="shared" si="1"/>
        <v>745253.375</v>
      </c>
      <c r="I31" s="7">
        <v>81719</v>
      </c>
      <c r="J31" s="6">
        <f t="shared" si="2"/>
        <v>113</v>
      </c>
      <c r="K31" s="6">
        <f t="shared" si="3"/>
        <v>249</v>
      </c>
      <c r="L31" s="6">
        <f t="shared" si="4"/>
        <v>58</v>
      </c>
      <c r="M31" s="6">
        <f t="shared" si="5"/>
        <v>30</v>
      </c>
      <c r="N31" s="5">
        <f t="shared" si="6"/>
        <v>159.31034482758622</v>
      </c>
      <c r="O31" s="3">
        <f t="shared" si="7"/>
        <v>58</v>
      </c>
      <c r="P31" s="5">
        <f t="shared" si="8"/>
        <v>101.31034482758622</v>
      </c>
      <c r="Q31" s="5">
        <f t="shared" si="9"/>
        <v>51.875</v>
      </c>
      <c r="R31" s="7">
        <f t="shared" si="10"/>
        <v>965.51724137931035</v>
      </c>
      <c r="S31" s="6">
        <f t="shared" si="11"/>
        <v>420</v>
      </c>
      <c r="T31" s="7">
        <f t="shared" si="12"/>
        <v>545.51724137931035</v>
      </c>
      <c r="U31" s="7">
        <f t="shared" si="13"/>
        <v>1752.4137931034488</v>
      </c>
      <c r="V31" s="6">
        <f t="shared" si="14"/>
        <v>625</v>
      </c>
      <c r="W31" s="7">
        <f t="shared" si="15"/>
        <v>1127.4137931034488</v>
      </c>
      <c r="X31" s="7">
        <f t="shared" si="16"/>
        <v>10620.689655172413</v>
      </c>
      <c r="Y31" s="7">
        <f t="shared" si="17"/>
        <v>4299</v>
      </c>
      <c r="Z31" s="7">
        <f t="shared" si="18"/>
        <v>6321.689655172413</v>
      </c>
      <c r="AA31" s="25">
        <f t="shared" si="19"/>
        <v>0.99745869983073498</v>
      </c>
      <c r="AB31" s="1"/>
    </row>
    <row r="32" spans="2:28" ht="18" x14ac:dyDescent="0.25">
      <c r="B32" s="3">
        <v>10</v>
      </c>
      <c r="C32" s="7">
        <f>C33+115</f>
        <v>188550</v>
      </c>
      <c r="D32" s="7">
        <f>D33+263</f>
        <v>459624</v>
      </c>
      <c r="E32" s="9">
        <f>E33+64</f>
        <v>96975</v>
      </c>
      <c r="F32" s="8">
        <f t="shared" si="20"/>
        <v>745149</v>
      </c>
      <c r="G32" s="23">
        <f t="shared" si="0"/>
        <v>744762.25</v>
      </c>
      <c r="H32" s="7">
        <f t="shared" si="1"/>
        <v>744817.04166666663</v>
      </c>
      <c r="I32" s="7">
        <f>I33+24</f>
        <v>81689</v>
      </c>
      <c r="J32" s="6">
        <f t="shared" si="2"/>
        <v>115</v>
      </c>
      <c r="K32" s="6">
        <f t="shared" si="3"/>
        <v>263</v>
      </c>
      <c r="L32" s="6">
        <f t="shared" si="4"/>
        <v>64</v>
      </c>
      <c r="M32" s="6">
        <f t="shared" si="5"/>
        <v>24</v>
      </c>
      <c r="N32" s="5">
        <f t="shared" si="6"/>
        <v>159.31034482758622</v>
      </c>
      <c r="O32" s="3">
        <f t="shared" si="7"/>
        <v>64</v>
      </c>
      <c r="P32" s="5">
        <f t="shared" si="8"/>
        <v>95.310344827586221</v>
      </c>
      <c r="Q32" s="5">
        <f t="shared" si="9"/>
        <v>54.791666666627862</v>
      </c>
      <c r="R32" s="7">
        <f t="shared" si="10"/>
        <v>965.51724137931035</v>
      </c>
      <c r="S32" s="6">
        <f t="shared" si="11"/>
        <v>442</v>
      </c>
      <c r="T32" s="7">
        <f t="shared" si="12"/>
        <v>523.51724137931035</v>
      </c>
      <c r="U32" s="7">
        <f t="shared" si="13"/>
        <v>1593.1034482758625</v>
      </c>
      <c r="V32" s="6">
        <f t="shared" si="14"/>
        <v>567</v>
      </c>
      <c r="W32" s="7">
        <f t="shared" si="15"/>
        <v>1026.1034482758625</v>
      </c>
      <c r="X32" s="7">
        <f t="shared" si="16"/>
        <v>9655.1724137931033</v>
      </c>
      <c r="Y32" s="7">
        <f t="shared" si="17"/>
        <v>3879</v>
      </c>
      <c r="Z32" s="7">
        <f t="shared" si="18"/>
        <v>5776.1724137931033</v>
      </c>
      <c r="AA32" s="25">
        <f t="shared" si="19"/>
        <v>0.99852908049248112</v>
      </c>
      <c r="AB32" s="1"/>
    </row>
    <row r="33" spans="2:28" ht="18" x14ac:dyDescent="0.25">
      <c r="B33" s="3">
        <v>9</v>
      </c>
      <c r="C33" s="7">
        <f>C34+110</f>
        <v>188435</v>
      </c>
      <c r="D33" s="7">
        <f>D34+257</f>
        <v>459361</v>
      </c>
      <c r="E33" s="9">
        <f>E34+59</f>
        <v>96911</v>
      </c>
      <c r="F33" s="8">
        <f t="shared" si="20"/>
        <v>744707</v>
      </c>
      <c r="G33" s="23">
        <f t="shared" si="0"/>
        <v>744334.25</v>
      </c>
      <c r="H33" s="7">
        <f t="shared" si="1"/>
        <v>744387.79166666663</v>
      </c>
      <c r="I33" s="7">
        <f>I34+21</f>
        <v>81665</v>
      </c>
      <c r="J33" s="6">
        <f t="shared" si="2"/>
        <v>110</v>
      </c>
      <c r="K33" s="6">
        <f t="shared" si="3"/>
        <v>257</v>
      </c>
      <c r="L33" s="6">
        <f t="shared" si="4"/>
        <v>59</v>
      </c>
      <c r="M33" s="6">
        <f t="shared" si="5"/>
        <v>21</v>
      </c>
      <c r="N33" s="5">
        <f t="shared" si="6"/>
        <v>159.31034482758622</v>
      </c>
      <c r="O33" s="3">
        <f t="shared" si="7"/>
        <v>59</v>
      </c>
      <c r="P33" s="5">
        <f t="shared" si="8"/>
        <v>100.31034482758622</v>
      </c>
      <c r="Q33" s="5">
        <f t="shared" si="9"/>
        <v>53.541666666627862</v>
      </c>
      <c r="R33" s="7">
        <f t="shared" si="10"/>
        <v>965.51724137931035</v>
      </c>
      <c r="S33" s="6">
        <f t="shared" si="11"/>
        <v>426</v>
      </c>
      <c r="T33" s="7">
        <f t="shared" si="12"/>
        <v>539.51724137931035</v>
      </c>
      <c r="U33" s="7">
        <f t="shared" si="13"/>
        <v>1433.7931034482763</v>
      </c>
      <c r="V33" s="6">
        <f t="shared" si="14"/>
        <v>503</v>
      </c>
      <c r="W33" s="7">
        <f t="shared" si="15"/>
        <v>930.79310344827627</v>
      </c>
      <c r="X33" s="7">
        <f t="shared" si="16"/>
        <v>8689.6551724137935</v>
      </c>
      <c r="Y33" s="7">
        <f t="shared" si="17"/>
        <v>3437</v>
      </c>
      <c r="Z33" s="7">
        <f t="shared" si="18"/>
        <v>5252.6551724137935</v>
      </c>
      <c r="AA33" s="25">
        <f t="shared" si="19"/>
        <v>0.99878717329727718</v>
      </c>
      <c r="AB33" s="1"/>
    </row>
    <row r="34" spans="2:28" ht="18" x14ac:dyDescent="0.25">
      <c r="B34" s="3">
        <v>8</v>
      </c>
      <c r="C34" s="7">
        <v>188325</v>
      </c>
      <c r="D34" s="7">
        <v>459104</v>
      </c>
      <c r="E34" s="9">
        <v>96852</v>
      </c>
      <c r="F34" s="8">
        <f t="shared" si="20"/>
        <v>744281</v>
      </c>
      <c r="G34" s="23">
        <f t="shared" si="0"/>
        <v>744128.75</v>
      </c>
      <c r="H34" s="7">
        <f t="shared" si="1"/>
        <v>744148.33333333337</v>
      </c>
      <c r="I34" s="7">
        <v>81644</v>
      </c>
      <c r="J34" s="6">
        <f t="shared" si="2"/>
        <v>69</v>
      </c>
      <c r="K34" s="6">
        <f t="shared" si="3"/>
        <v>94</v>
      </c>
      <c r="L34" s="6">
        <f t="shared" si="4"/>
        <v>11</v>
      </c>
      <c r="M34" s="6">
        <f t="shared" si="5"/>
        <v>5</v>
      </c>
      <c r="N34" s="5">
        <f t="shared" si="6"/>
        <v>159.31034482758622</v>
      </c>
      <c r="O34" s="3">
        <f t="shared" si="7"/>
        <v>11</v>
      </c>
      <c r="P34" s="5">
        <f t="shared" si="8"/>
        <v>148.31034482758622</v>
      </c>
      <c r="Q34" s="5">
        <f t="shared" si="9"/>
        <v>19.583333333372138</v>
      </c>
      <c r="R34" s="7">
        <f t="shared" si="10"/>
        <v>965.51724137931035</v>
      </c>
      <c r="S34" s="6">
        <f t="shared" si="11"/>
        <v>174</v>
      </c>
      <c r="T34" s="7">
        <f t="shared" si="12"/>
        <v>791.51724137931035</v>
      </c>
      <c r="U34" s="7">
        <f t="shared" si="13"/>
        <v>1274.48275862069</v>
      </c>
      <c r="V34" s="6">
        <f t="shared" si="14"/>
        <v>444</v>
      </c>
      <c r="W34" s="7">
        <f t="shared" si="15"/>
        <v>830.48275862068999</v>
      </c>
      <c r="X34" s="7">
        <f t="shared" si="16"/>
        <v>7724.1379310344837</v>
      </c>
      <c r="Y34" s="46">
        <f t="shared" si="17"/>
        <v>3011</v>
      </c>
      <c r="Z34" s="46">
        <f t="shared" si="18"/>
        <v>4713.1379310344837</v>
      </c>
      <c r="AA34" s="25">
        <f t="shared" si="19"/>
        <v>0.9995873872360016</v>
      </c>
      <c r="AB34" s="1"/>
    </row>
    <row r="35" spans="2:28" ht="18" x14ac:dyDescent="0.25">
      <c r="B35" s="3">
        <v>7</v>
      </c>
      <c r="C35" s="7">
        <v>188256</v>
      </c>
      <c r="D35" s="7">
        <v>459010</v>
      </c>
      <c r="E35" s="9">
        <v>96841</v>
      </c>
      <c r="F35" s="8">
        <f t="shared" si="20"/>
        <v>744107</v>
      </c>
      <c r="G35" s="23">
        <f t="shared" si="0"/>
        <v>743772.75</v>
      </c>
      <c r="H35" s="7">
        <f t="shared" si="1"/>
        <v>743832.75</v>
      </c>
      <c r="I35" s="7">
        <v>81639</v>
      </c>
      <c r="J35" s="6">
        <f t="shared" si="2"/>
        <v>33</v>
      </c>
      <c r="K35" s="6">
        <f t="shared" si="3"/>
        <v>288</v>
      </c>
      <c r="L35" s="6">
        <f t="shared" si="4"/>
        <v>61</v>
      </c>
      <c r="M35" s="6">
        <f t="shared" si="5"/>
        <v>9</v>
      </c>
      <c r="N35" s="5">
        <f t="shared" si="6"/>
        <v>159.31034482758622</v>
      </c>
      <c r="O35" s="3">
        <f t="shared" si="7"/>
        <v>61</v>
      </c>
      <c r="P35" s="5">
        <f t="shared" si="8"/>
        <v>98.310344827586221</v>
      </c>
      <c r="Q35" s="5">
        <f t="shared" si="9"/>
        <v>60</v>
      </c>
      <c r="R35" s="7">
        <f t="shared" si="10"/>
        <v>965.51724137931035</v>
      </c>
      <c r="S35" s="6">
        <f t="shared" si="11"/>
        <v>382</v>
      </c>
      <c r="T35" s="7">
        <f t="shared" si="12"/>
        <v>583.51724137931035</v>
      </c>
      <c r="U35" s="7">
        <f t="shared" si="13"/>
        <v>1115.1724137931037</v>
      </c>
      <c r="V35" s="6">
        <f t="shared" si="14"/>
        <v>433</v>
      </c>
      <c r="W35" s="7">
        <f t="shared" si="15"/>
        <v>682.17241379310371</v>
      </c>
      <c r="X35" s="7">
        <f t="shared" si="16"/>
        <v>6758.620689655173</v>
      </c>
      <c r="Y35" s="7">
        <f t="shared" si="17"/>
        <v>2837</v>
      </c>
      <c r="Z35" s="7">
        <f t="shared" si="18"/>
        <v>3921.620689655173</v>
      </c>
      <c r="AA35" s="25">
        <f t="shared" si="19"/>
        <v>0.99972257375664664</v>
      </c>
      <c r="AB35" s="1"/>
    </row>
    <row r="36" spans="2:28" ht="18" x14ac:dyDescent="0.25">
      <c r="B36" s="3">
        <v>6</v>
      </c>
      <c r="C36" s="7">
        <v>188223</v>
      </c>
      <c r="D36" s="7">
        <v>458722</v>
      </c>
      <c r="E36" s="9">
        <f>E37+52</f>
        <v>96780</v>
      </c>
      <c r="F36" s="8">
        <f t="shared" si="20"/>
        <v>743725</v>
      </c>
      <c r="G36" s="23">
        <f t="shared" si="0"/>
        <v>743345.25</v>
      </c>
      <c r="H36" s="7">
        <f t="shared" si="1"/>
        <v>743383.79166666663</v>
      </c>
      <c r="I36" s="7">
        <v>81630</v>
      </c>
      <c r="J36" s="6">
        <f t="shared" si="2"/>
        <v>197</v>
      </c>
      <c r="K36" s="6">
        <f t="shared" si="3"/>
        <v>185</v>
      </c>
      <c r="L36" s="6">
        <f t="shared" si="4"/>
        <v>52</v>
      </c>
      <c r="M36" s="6">
        <f t="shared" si="5"/>
        <v>38</v>
      </c>
      <c r="N36" s="5">
        <f t="shared" si="6"/>
        <v>159.31034482758622</v>
      </c>
      <c r="O36" s="3">
        <f t="shared" si="7"/>
        <v>52</v>
      </c>
      <c r="P36" s="5">
        <f t="shared" si="8"/>
        <v>107.31034482758622</v>
      </c>
      <c r="Q36" s="5">
        <f t="shared" si="9"/>
        <v>38.541666666627862</v>
      </c>
      <c r="R36" s="7">
        <f t="shared" si="10"/>
        <v>965.51724137931035</v>
      </c>
      <c r="S36" s="6">
        <f t="shared" si="11"/>
        <v>434</v>
      </c>
      <c r="T36" s="7">
        <f t="shared" si="12"/>
        <v>531.51724137931035</v>
      </c>
      <c r="U36" s="7">
        <f t="shared" si="13"/>
        <v>955.86206896551744</v>
      </c>
      <c r="V36" s="6">
        <f t="shared" si="14"/>
        <v>372</v>
      </c>
      <c r="W36" s="7">
        <f t="shared" si="15"/>
        <v>583.86206896551744</v>
      </c>
      <c r="X36" s="7">
        <f t="shared" si="16"/>
        <v>5793.1034482758623</v>
      </c>
      <c r="Y36" s="7">
        <f t="shared" si="17"/>
        <v>2455</v>
      </c>
      <c r="Z36" s="7">
        <f t="shared" si="18"/>
        <v>3338.1034482758623</v>
      </c>
      <c r="AA36" s="25">
        <f t="shared" si="19"/>
        <v>0.99618873290660825</v>
      </c>
      <c r="AB36" s="1"/>
    </row>
    <row r="37" spans="2:28" ht="18" x14ac:dyDescent="0.25">
      <c r="B37" s="3">
        <v>5</v>
      </c>
      <c r="C37" s="7">
        <v>188026</v>
      </c>
      <c r="D37" s="7">
        <v>458537</v>
      </c>
      <c r="E37" s="9">
        <v>96728</v>
      </c>
      <c r="F37" s="8">
        <f t="shared" si="20"/>
        <v>743291</v>
      </c>
      <c r="G37" s="23">
        <f t="shared" si="0"/>
        <v>742921.75</v>
      </c>
      <c r="H37" s="7">
        <f t="shared" si="1"/>
        <v>742972.16666666663</v>
      </c>
      <c r="I37" s="7">
        <v>81592</v>
      </c>
      <c r="J37" s="6">
        <f t="shared" si="2"/>
        <v>106</v>
      </c>
      <c r="K37" s="6">
        <f t="shared" si="3"/>
        <v>242</v>
      </c>
      <c r="L37" s="6">
        <f t="shared" si="4"/>
        <v>74</v>
      </c>
      <c r="M37" s="6">
        <f t="shared" si="5"/>
        <v>31</v>
      </c>
      <c r="N37" s="5">
        <f t="shared" si="6"/>
        <v>159.31034482758622</v>
      </c>
      <c r="O37" s="3">
        <f t="shared" si="7"/>
        <v>74</v>
      </c>
      <c r="P37" s="5">
        <f t="shared" si="8"/>
        <v>85.310344827586221</v>
      </c>
      <c r="Q37" s="5">
        <f t="shared" si="9"/>
        <v>50.416666666627862</v>
      </c>
      <c r="R37" s="7">
        <f t="shared" si="10"/>
        <v>965.51724137931035</v>
      </c>
      <c r="S37" s="6">
        <f t="shared" si="11"/>
        <v>422</v>
      </c>
      <c r="T37" s="7">
        <f t="shared" si="12"/>
        <v>543.51724137931035</v>
      </c>
      <c r="U37" s="7">
        <f t="shared" si="13"/>
        <v>796.55172413793116</v>
      </c>
      <c r="V37" s="6">
        <f t="shared" si="14"/>
        <v>320</v>
      </c>
      <c r="W37" s="7">
        <f t="shared" si="15"/>
        <v>476.55172413793116</v>
      </c>
      <c r="X37" s="7">
        <f t="shared" si="16"/>
        <v>4827.5862068965516</v>
      </c>
      <c r="Y37" s="7">
        <f t="shared" si="17"/>
        <v>2021</v>
      </c>
      <c r="Z37" s="7">
        <f t="shared" si="18"/>
        <v>2806.5862068965516</v>
      </c>
      <c r="AA37" s="25">
        <f t="shared" si="19"/>
        <v>0.99731270635340774</v>
      </c>
      <c r="AB37" s="1"/>
    </row>
    <row r="38" spans="2:28" ht="18" x14ac:dyDescent="0.25">
      <c r="B38" s="3">
        <v>4</v>
      </c>
      <c r="C38" s="7">
        <f>C39+105</f>
        <v>187920</v>
      </c>
      <c r="D38" s="7">
        <f>D39+234</f>
        <v>458295</v>
      </c>
      <c r="E38" s="9">
        <f>E39+66</f>
        <v>96654</v>
      </c>
      <c r="F38" s="8">
        <f t="shared" si="20"/>
        <v>742869</v>
      </c>
      <c r="G38" s="23">
        <f t="shared" si="0"/>
        <v>742514.625</v>
      </c>
      <c r="H38" s="7">
        <f t="shared" si="1"/>
        <v>742563.375</v>
      </c>
      <c r="I38" s="7">
        <f>I39+26</f>
        <v>81561</v>
      </c>
      <c r="J38" s="6">
        <f t="shared" si="2"/>
        <v>105</v>
      </c>
      <c r="K38" s="6">
        <f t="shared" si="3"/>
        <v>234</v>
      </c>
      <c r="L38" s="6">
        <f t="shared" si="4"/>
        <v>66</v>
      </c>
      <c r="M38" s="6">
        <f t="shared" si="5"/>
        <v>26</v>
      </c>
      <c r="N38" s="5">
        <f t="shared" si="6"/>
        <v>159.31034482758622</v>
      </c>
      <c r="O38" s="3">
        <f t="shared" si="7"/>
        <v>66</v>
      </c>
      <c r="P38" s="5">
        <f t="shared" si="8"/>
        <v>93.310344827586221</v>
      </c>
      <c r="Q38" s="5">
        <f t="shared" si="9"/>
        <v>48.75</v>
      </c>
      <c r="R38" s="7">
        <f t="shared" si="10"/>
        <v>965.51724137931035</v>
      </c>
      <c r="S38" s="6">
        <f t="shared" si="11"/>
        <v>405</v>
      </c>
      <c r="T38" s="7">
        <f t="shared" si="12"/>
        <v>560.51724137931035</v>
      </c>
      <c r="U38" s="7">
        <f t="shared" si="13"/>
        <v>637.24137931034488</v>
      </c>
      <c r="V38" s="6">
        <f t="shared" si="14"/>
        <v>246</v>
      </c>
      <c r="W38" s="7">
        <f t="shared" si="15"/>
        <v>391.24137931034488</v>
      </c>
      <c r="X38" s="7">
        <f t="shared" si="16"/>
        <v>3862.0689655172414</v>
      </c>
      <c r="Y38" s="7">
        <f t="shared" si="17"/>
        <v>1599</v>
      </c>
      <c r="Z38" s="7">
        <f t="shared" si="18"/>
        <v>2263.0689655172414</v>
      </c>
      <c r="AA38" s="25">
        <f t="shared" si="19"/>
        <v>0.99794568620709645</v>
      </c>
      <c r="AB38" s="1"/>
    </row>
    <row r="39" spans="2:28" ht="18" x14ac:dyDescent="0.25">
      <c r="B39" s="3">
        <v>3</v>
      </c>
      <c r="C39" s="7">
        <f>C40+103</f>
        <v>187815</v>
      </c>
      <c r="D39" s="7">
        <f>D40+241</f>
        <v>458061</v>
      </c>
      <c r="E39" s="9">
        <f>E40+58</f>
        <v>96588</v>
      </c>
      <c r="F39" s="8">
        <f t="shared" si="20"/>
        <v>742464</v>
      </c>
      <c r="G39" s="23">
        <f t="shared" si="0"/>
        <v>742112.25</v>
      </c>
      <c r="H39" s="7">
        <f t="shared" si="1"/>
        <v>742162.45833333337</v>
      </c>
      <c r="I39" s="7">
        <f>I40+19</f>
        <v>81535</v>
      </c>
      <c r="J39" s="6">
        <f t="shared" si="2"/>
        <v>103</v>
      </c>
      <c r="K39" s="6">
        <f t="shared" si="3"/>
        <v>241</v>
      </c>
      <c r="L39" s="6">
        <f t="shared" si="4"/>
        <v>58</v>
      </c>
      <c r="M39" s="6">
        <f t="shared" si="5"/>
        <v>19</v>
      </c>
      <c r="N39" s="5">
        <f t="shared" si="6"/>
        <v>159.31034482758622</v>
      </c>
      <c r="O39" s="3">
        <f t="shared" si="7"/>
        <v>58</v>
      </c>
      <c r="P39" s="5">
        <f t="shared" si="8"/>
        <v>101.31034482758622</v>
      </c>
      <c r="Q39" s="5">
        <f t="shared" si="9"/>
        <v>50.208333333372138</v>
      </c>
      <c r="R39" s="7">
        <f t="shared" si="10"/>
        <v>965.51724137931035</v>
      </c>
      <c r="S39" s="6">
        <f t="shared" si="11"/>
        <v>402</v>
      </c>
      <c r="T39" s="7">
        <f t="shared" si="12"/>
        <v>563.51724137931035</v>
      </c>
      <c r="U39" s="7">
        <f t="shared" si="13"/>
        <v>477.93103448275866</v>
      </c>
      <c r="V39" s="6">
        <f t="shared" si="14"/>
        <v>180</v>
      </c>
      <c r="W39" s="7">
        <f t="shared" si="15"/>
        <v>297.93103448275866</v>
      </c>
      <c r="X39" s="7">
        <f t="shared" si="16"/>
        <v>2896.5517241379312</v>
      </c>
      <c r="Y39" s="7">
        <f t="shared" si="17"/>
        <v>1194</v>
      </c>
      <c r="Z39" s="7">
        <f t="shared" si="18"/>
        <v>1702.5517241379312</v>
      </c>
      <c r="AA39" s="25">
        <f t="shared" si="19"/>
        <v>0.99888494001604411</v>
      </c>
      <c r="AB39" s="1"/>
    </row>
    <row r="40" spans="2:28" ht="18" x14ac:dyDescent="0.25">
      <c r="B40" s="3">
        <v>2</v>
      </c>
      <c r="C40" s="7">
        <f>C41+100</f>
        <v>187712</v>
      </c>
      <c r="D40" s="7">
        <f>D41+235</f>
        <v>457820</v>
      </c>
      <c r="E40" s="9">
        <f>E41+62</f>
        <v>96530</v>
      </c>
      <c r="F40" s="8">
        <f t="shared" si="20"/>
        <v>742062</v>
      </c>
      <c r="G40" s="23">
        <f t="shared" si="0"/>
        <v>741714.625</v>
      </c>
      <c r="H40" s="7">
        <f t="shared" si="1"/>
        <v>741763.58333333337</v>
      </c>
      <c r="I40" s="7">
        <f>I41+24</f>
        <v>81516</v>
      </c>
      <c r="J40" s="6">
        <f t="shared" si="2"/>
        <v>100</v>
      </c>
      <c r="K40" s="6">
        <f t="shared" si="3"/>
        <v>235</v>
      </c>
      <c r="L40" s="6">
        <f t="shared" si="4"/>
        <v>62</v>
      </c>
      <c r="M40" s="6">
        <f t="shared" si="5"/>
        <v>24</v>
      </c>
      <c r="N40" s="5">
        <f t="shared" si="6"/>
        <v>159.31034482758622</v>
      </c>
      <c r="O40" s="3">
        <f t="shared" si="7"/>
        <v>62</v>
      </c>
      <c r="P40" s="5">
        <f t="shared" si="8"/>
        <v>97.310344827586221</v>
      </c>
      <c r="Q40" s="5">
        <f t="shared" si="9"/>
        <v>48.958333333372138</v>
      </c>
      <c r="R40" s="7">
        <f>R41</f>
        <v>965.51724137931035</v>
      </c>
      <c r="S40" s="6">
        <f t="shared" si="11"/>
        <v>397</v>
      </c>
      <c r="T40" s="7">
        <f t="shared" si="12"/>
        <v>568.51724137931035</v>
      </c>
      <c r="U40" s="7">
        <f t="shared" si="13"/>
        <v>318.62068965517244</v>
      </c>
      <c r="V40" s="6">
        <f t="shared" si="14"/>
        <v>122</v>
      </c>
      <c r="W40" s="7">
        <f t="shared" si="15"/>
        <v>196.62068965517244</v>
      </c>
      <c r="X40" s="7">
        <f t="shared" si="16"/>
        <v>1931.0344827586207</v>
      </c>
      <c r="Y40" s="7">
        <f t="shared" si="17"/>
        <v>792</v>
      </c>
      <c r="Z40" s="7">
        <f t="shared" si="18"/>
        <v>1139.0344827586207</v>
      </c>
      <c r="AA40" s="25">
        <f t="shared" si="19"/>
        <v>0.99817768655401096</v>
      </c>
      <c r="AB40" s="1"/>
    </row>
    <row r="41" spans="2:28" ht="18" x14ac:dyDescent="0.25">
      <c r="B41" s="3">
        <v>1</v>
      </c>
      <c r="C41" s="7">
        <f>C42+102</f>
        <v>187612</v>
      </c>
      <c r="D41" s="7">
        <f>D42+233</f>
        <v>457585</v>
      </c>
      <c r="E41" s="9">
        <f>E42+60</f>
        <v>96468</v>
      </c>
      <c r="F41" s="8">
        <f t="shared" si="20"/>
        <v>741665</v>
      </c>
      <c r="G41" s="23">
        <f>(C42+D42+E42)+((S41/24)*3)</f>
        <v>741319.375</v>
      </c>
      <c r="H41" s="7">
        <f>G41+((K41/12)*2.5)</f>
        <v>741367.91666666663</v>
      </c>
      <c r="I41" s="7">
        <f>I42+21</f>
        <v>81492</v>
      </c>
      <c r="J41" s="6">
        <f>C41-C42</f>
        <v>102</v>
      </c>
      <c r="K41" s="6">
        <f>D41-D42</f>
        <v>233</v>
      </c>
      <c r="L41" s="6">
        <f>E41-E42</f>
        <v>60</v>
      </c>
      <c r="M41" s="6">
        <f>I41-I42</f>
        <v>21</v>
      </c>
      <c r="N41" s="44">
        <f>O6/29</f>
        <v>159.31034482758622</v>
      </c>
      <c r="O41" s="3">
        <f t="shared" si="7"/>
        <v>60</v>
      </c>
      <c r="P41" s="5">
        <f t="shared" si="8"/>
        <v>99.310344827586221</v>
      </c>
      <c r="Q41" s="5">
        <f t="shared" si="9"/>
        <v>48.541666666627862</v>
      </c>
      <c r="R41" s="46">
        <f>S6/29</f>
        <v>965.51724137931035</v>
      </c>
      <c r="S41" s="6">
        <f t="shared" si="11"/>
        <v>395</v>
      </c>
      <c r="T41" s="7">
        <f t="shared" si="12"/>
        <v>570.51724137931035</v>
      </c>
      <c r="U41" s="7">
        <f>N41</f>
        <v>159.31034482758622</v>
      </c>
      <c r="V41" s="6">
        <f>O41</f>
        <v>60</v>
      </c>
      <c r="W41" s="7">
        <f t="shared" si="15"/>
        <v>99.310344827586221</v>
      </c>
      <c r="X41" s="7">
        <f>R41</f>
        <v>965.51724137931035</v>
      </c>
      <c r="Y41" s="7">
        <f>S41</f>
        <v>395</v>
      </c>
      <c r="Z41" s="7">
        <f t="shared" si="18"/>
        <v>570.51724137931035</v>
      </c>
      <c r="AA41" s="25">
        <f t="shared" si="19"/>
        <v>0.99858975375251846</v>
      </c>
      <c r="AB41" s="1"/>
    </row>
    <row r="42" spans="2:28" ht="54" x14ac:dyDescent="0.25">
      <c r="B42" s="34" t="s">
        <v>13</v>
      </c>
      <c r="C42" s="8">
        <v>187510</v>
      </c>
      <c r="D42" s="8">
        <v>457352</v>
      </c>
      <c r="E42" s="8">
        <v>96408</v>
      </c>
      <c r="F42" s="8">
        <v>741270</v>
      </c>
      <c r="G42" s="10">
        <v>740929.625</v>
      </c>
      <c r="H42" s="10">
        <v>740986.29166666663</v>
      </c>
      <c r="I42" s="8">
        <v>81471</v>
      </c>
      <c r="J42" s="11"/>
      <c r="K42" s="11"/>
      <c r="L42" s="11"/>
      <c r="M42" s="47">
        <f>SUM(M13:M41)</f>
        <v>520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2:28" ht="18" x14ac:dyDescent="0.25"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2:28" ht="18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2:28" ht="18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9" spans="26:27" ht="18" x14ac:dyDescent="0.25">
      <c r="Z49" s="11" t="s">
        <v>38</v>
      </c>
    </row>
    <row r="50" spans="26:27" ht="18" x14ac:dyDescent="0.25">
      <c r="Z50" s="11" t="s">
        <v>44</v>
      </c>
      <c r="AA50" s="11"/>
    </row>
    <row r="51" spans="26:27" ht="18" x14ac:dyDescent="0.25">
      <c r="Z51" s="11" t="s">
        <v>45</v>
      </c>
      <c r="AA51" s="11"/>
    </row>
    <row r="52" spans="26:27" ht="18" x14ac:dyDescent="0.25">
      <c r="Z52" s="11" t="s">
        <v>12</v>
      </c>
      <c r="AA52" s="11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B2:AB54"/>
  <sheetViews>
    <sheetView zoomScale="70" zoomScaleNormal="70" zoomScaleSheetLayoutView="70" workbookViewId="0">
      <pane ySplit="8" topLeftCell="A9" activePane="bottomLeft" state="frozen"/>
      <selection pane="bottomLeft" activeCell="A11" sqref="A11:XFD12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7" t="s">
        <v>29</v>
      </c>
    </row>
    <row r="3" spans="2:28" ht="15.75" customHeight="1" x14ac:dyDescent="0.25">
      <c r="G3" s="27" t="s">
        <v>28</v>
      </c>
    </row>
    <row r="4" spans="2:28" ht="15.75" customHeight="1" x14ac:dyDescent="0.35">
      <c r="G4" s="28" t="s">
        <v>30</v>
      </c>
      <c r="N4" s="37">
        <f>'Ciencia A'!N4</f>
        <v>45323</v>
      </c>
    </row>
    <row r="5" spans="2:28" x14ac:dyDescent="0.25">
      <c r="C5" s="64" t="s">
        <v>31</v>
      </c>
      <c r="D5" s="64"/>
      <c r="T5" s="53"/>
      <c r="U5" s="53" t="s">
        <v>42</v>
      </c>
      <c r="V5" s="53" t="s">
        <v>43</v>
      </c>
    </row>
    <row r="6" spans="2:28" ht="18.75" x14ac:dyDescent="0.3">
      <c r="N6" s="14" t="s">
        <v>27</v>
      </c>
      <c r="O6" s="30">
        <f>S6*16.5%</f>
        <v>1980</v>
      </c>
      <c r="P6" s="31" t="s">
        <v>26</v>
      </c>
      <c r="Q6" s="12">
        <f>(S6*8)/100</f>
        <v>960</v>
      </c>
      <c r="R6" s="14" t="s">
        <v>25</v>
      </c>
      <c r="S6" s="13">
        <v>12000</v>
      </c>
      <c r="T6" s="53" t="s">
        <v>41</v>
      </c>
      <c r="U6" s="53">
        <v>365.79</v>
      </c>
      <c r="V6" s="52">
        <f>U6/30</f>
        <v>12.193000000000001</v>
      </c>
    </row>
    <row r="7" spans="2:28" ht="46.5" customHeight="1" x14ac:dyDescent="0.25">
      <c r="B7" s="61" t="s">
        <v>24</v>
      </c>
      <c r="C7" s="59" t="s">
        <v>9</v>
      </c>
      <c r="D7" s="59"/>
      <c r="E7" s="59"/>
      <c r="F7" s="59"/>
      <c r="G7" s="59"/>
      <c r="H7" s="59"/>
      <c r="I7" s="59"/>
      <c r="J7" s="59" t="s">
        <v>23</v>
      </c>
      <c r="K7" s="59"/>
      <c r="L7" s="59"/>
      <c r="M7" s="59"/>
      <c r="N7" s="59" t="s">
        <v>22</v>
      </c>
      <c r="O7" s="59"/>
      <c r="P7" s="59"/>
      <c r="Q7" s="60" t="s">
        <v>21</v>
      </c>
      <c r="R7" s="59" t="s">
        <v>20</v>
      </c>
      <c r="S7" s="59"/>
      <c r="T7" s="59"/>
      <c r="U7" s="59" t="s">
        <v>10</v>
      </c>
      <c r="V7" s="59"/>
      <c r="W7" s="59"/>
      <c r="X7" s="59" t="s">
        <v>11</v>
      </c>
      <c r="Y7" s="59"/>
      <c r="Z7" s="59"/>
      <c r="AA7" s="59"/>
      <c r="AB7" s="60" t="s">
        <v>8</v>
      </c>
    </row>
    <row r="8" spans="2:28" ht="30" x14ac:dyDescent="0.25">
      <c r="B8" s="61"/>
      <c r="C8" s="15" t="s">
        <v>1</v>
      </c>
      <c r="D8" s="15" t="s">
        <v>0</v>
      </c>
      <c r="E8" s="15" t="s">
        <v>2</v>
      </c>
      <c r="F8" s="15" t="s">
        <v>19</v>
      </c>
      <c r="G8" s="15" t="s">
        <v>18</v>
      </c>
      <c r="H8" s="15" t="s">
        <v>17</v>
      </c>
      <c r="I8" s="15" t="s">
        <v>3</v>
      </c>
      <c r="J8" s="15" t="s">
        <v>1</v>
      </c>
      <c r="K8" s="15" t="s">
        <v>0</v>
      </c>
      <c r="L8" s="15" t="s">
        <v>2</v>
      </c>
      <c r="M8" s="15" t="s">
        <v>3</v>
      </c>
      <c r="N8" s="15" t="s">
        <v>4</v>
      </c>
      <c r="O8" s="15" t="s">
        <v>5</v>
      </c>
      <c r="P8" s="15" t="s">
        <v>16</v>
      </c>
      <c r="Q8" s="60"/>
      <c r="R8" s="15" t="s">
        <v>6</v>
      </c>
      <c r="S8" s="15" t="s">
        <v>15</v>
      </c>
      <c r="T8" s="15" t="s">
        <v>16</v>
      </c>
      <c r="U8" s="15" t="s">
        <v>4</v>
      </c>
      <c r="V8" s="15" t="s">
        <v>5</v>
      </c>
      <c r="W8" s="15" t="s">
        <v>16</v>
      </c>
      <c r="X8" s="15" t="s">
        <v>6</v>
      </c>
      <c r="Y8" s="15" t="s">
        <v>15</v>
      </c>
      <c r="Z8" s="32" t="s">
        <v>14</v>
      </c>
      <c r="AA8" s="15" t="s">
        <v>7</v>
      </c>
      <c r="AB8" s="60"/>
    </row>
    <row r="9" spans="2:28" x14ac:dyDescent="0.25">
      <c r="B9" s="33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3"/>
      <c r="H11" s="7"/>
      <c r="I11" s="7"/>
      <c r="J11" s="6"/>
      <c r="K11" s="6"/>
      <c r="L11" s="6"/>
      <c r="M11" s="6"/>
      <c r="N11" s="5"/>
      <c r="O11" s="24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5"/>
      <c r="AB11" s="26"/>
    </row>
    <row r="12" spans="2:28" ht="18" x14ac:dyDescent="0.25">
      <c r="B12" s="3"/>
      <c r="C12" s="7"/>
      <c r="D12" s="7"/>
      <c r="E12" s="9"/>
      <c r="F12" s="8"/>
      <c r="G12" s="23"/>
      <c r="H12" s="7"/>
      <c r="I12" s="7"/>
      <c r="J12" s="6"/>
      <c r="K12" s="6"/>
      <c r="L12" s="6"/>
      <c r="M12" s="6"/>
      <c r="N12" s="5"/>
      <c r="O12" s="24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5"/>
      <c r="AB12" s="26"/>
    </row>
    <row r="13" spans="2:28" ht="18" x14ac:dyDescent="0.25">
      <c r="B13" s="3">
        <v>29</v>
      </c>
      <c r="C13" s="7">
        <v>240461</v>
      </c>
      <c r="D13" s="7">
        <v>484168</v>
      </c>
      <c r="E13" s="9">
        <v>159392</v>
      </c>
      <c r="F13" s="8">
        <f t="shared" ref="F11:F40" si="0">C13+D13+E13</f>
        <v>884021</v>
      </c>
      <c r="G13" s="23">
        <f t="shared" ref="G12:G40" si="1">(C14+D14+E14)+((S13/24)*7.5)</f>
        <v>883933</v>
      </c>
      <c r="H13" s="7">
        <f t="shared" ref="H12:H40" si="2">G13+((K13/12)*2.5)</f>
        <v>883940.5</v>
      </c>
      <c r="I13" s="7">
        <v>283574</v>
      </c>
      <c r="J13" s="6">
        <f t="shared" ref="J13:L41" si="3">C13-C14</f>
        <v>29</v>
      </c>
      <c r="K13" s="6">
        <f t="shared" si="3"/>
        <v>36</v>
      </c>
      <c r="L13" s="6">
        <f t="shared" si="3"/>
        <v>63</v>
      </c>
      <c r="M13" s="6">
        <f>I13-I14</f>
        <v>26</v>
      </c>
      <c r="N13" s="5">
        <f t="shared" ref="N11:N40" si="4">N14</f>
        <v>68.275862068965523</v>
      </c>
      <c r="O13" s="24">
        <f t="shared" ref="O13:O41" si="5">L13</f>
        <v>63</v>
      </c>
      <c r="P13" s="5">
        <f t="shared" ref="P13:P41" si="6">N13-O13</f>
        <v>5.2758620689655231</v>
      </c>
      <c r="Q13" s="5">
        <f t="shared" ref="Q13:Q41" si="7">H13-G13</f>
        <v>7.5</v>
      </c>
      <c r="R13" s="7">
        <f t="shared" ref="R11:R39" si="8">R14</f>
        <v>413.79310344827587</v>
      </c>
      <c r="S13" s="6">
        <f t="shared" ref="S13:S41" si="9">J13+K13+L13</f>
        <v>128</v>
      </c>
      <c r="T13" s="7">
        <f t="shared" ref="T13:T41" si="10">R13-S13</f>
        <v>285.79310344827587</v>
      </c>
      <c r="U13" s="7">
        <f t="shared" ref="U13:V40" si="11">U14+N13</f>
        <v>1980.0000000000014</v>
      </c>
      <c r="V13" s="7">
        <f t="shared" si="11"/>
        <v>1235</v>
      </c>
      <c r="W13" s="7">
        <f t="shared" ref="W13:W41" si="12">U13-V13</f>
        <v>745.00000000000136</v>
      </c>
      <c r="X13" s="7">
        <f t="shared" ref="X13:Y40" si="13">X14+R13</f>
        <v>12000</v>
      </c>
      <c r="Y13" s="7">
        <f t="shared" si="13"/>
        <v>5054</v>
      </c>
      <c r="Z13" s="7">
        <f t="shared" ref="Z13:Z41" si="14">X13-Y13</f>
        <v>6946</v>
      </c>
      <c r="AA13" s="25">
        <f t="shared" ref="AA12:AA41" si="15">COS(ATAN(M13/S13))</f>
        <v>0.97998731958205343</v>
      </c>
      <c r="AB13" s="26"/>
    </row>
    <row r="14" spans="2:28" ht="18" x14ac:dyDescent="0.25">
      <c r="B14" s="3">
        <v>28</v>
      </c>
      <c r="C14" s="7">
        <f>C15+43</f>
        <v>240432</v>
      </c>
      <c r="D14" s="7">
        <f>D15+76</f>
        <v>484132</v>
      </c>
      <c r="E14" s="9">
        <f>E15+81</f>
        <v>159329</v>
      </c>
      <c r="F14" s="8">
        <f t="shared" si="0"/>
        <v>883893</v>
      </c>
      <c r="G14" s="23">
        <f t="shared" si="1"/>
        <v>883755.5</v>
      </c>
      <c r="H14" s="7">
        <f t="shared" si="2"/>
        <v>883771.33333333337</v>
      </c>
      <c r="I14" s="7">
        <f>I15+29</f>
        <v>283548</v>
      </c>
      <c r="J14" s="6">
        <f t="shared" si="3"/>
        <v>43</v>
      </c>
      <c r="K14" s="6">
        <f t="shared" si="3"/>
        <v>76</v>
      </c>
      <c r="L14" s="6">
        <f t="shared" si="3"/>
        <v>81</v>
      </c>
      <c r="M14" s="6">
        <f>I14-I15</f>
        <v>29</v>
      </c>
      <c r="N14" s="5">
        <f t="shared" si="4"/>
        <v>68.275862068965523</v>
      </c>
      <c r="O14" s="24">
        <f t="shared" si="5"/>
        <v>81</v>
      </c>
      <c r="P14" s="5">
        <f t="shared" si="6"/>
        <v>-12.724137931034477</v>
      </c>
      <c r="Q14" s="5">
        <f t="shared" si="7"/>
        <v>15.833333333372138</v>
      </c>
      <c r="R14" s="7">
        <f t="shared" si="8"/>
        <v>413.79310344827587</v>
      </c>
      <c r="S14" s="6">
        <f t="shared" si="9"/>
        <v>200</v>
      </c>
      <c r="T14" s="7">
        <f t="shared" si="10"/>
        <v>213.79310344827587</v>
      </c>
      <c r="U14" s="7">
        <f t="shared" si="11"/>
        <v>1911.7241379310358</v>
      </c>
      <c r="V14" s="7">
        <f t="shared" si="11"/>
        <v>1172</v>
      </c>
      <c r="W14" s="7">
        <f t="shared" si="12"/>
        <v>739.72413793103578</v>
      </c>
      <c r="X14" s="7">
        <f t="shared" si="13"/>
        <v>11586.206896551725</v>
      </c>
      <c r="Y14" s="7">
        <f t="shared" si="13"/>
        <v>4926</v>
      </c>
      <c r="Z14" s="7">
        <f t="shared" si="14"/>
        <v>6660.2068965517246</v>
      </c>
      <c r="AA14" s="25">
        <f t="shared" si="15"/>
        <v>0.989650417013754</v>
      </c>
      <c r="AB14" s="26"/>
    </row>
    <row r="15" spans="2:28" ht="18" x14ac:dyDescent="0.25">
      <c r="B15" s="3">
        <v>27</v>
      </c>
      <c r="C15" s="7">
        <f>C16+79</f>
        <v>240389</v>
      </c>
      <c r="D15" s="7">
        <f>D16+98</f>
        <v>484056</v>
      </c>
      <c r="E15" s="9">
        <f>E16+56</f>
        <v>159248</v>
      </c>
      <c r="F15" s="8">
        <f t="shared" si="0"/>
        <v>883693</v>
      </c>
      <c r="G15" s="23">
        <f t="shared" si="1"/>
        <v>883532.8125</v>
      </c>
      <c r="H15" s="7">
        <f t="shared" si="2"/>
        <v>883553.22916666663</v>
      </c>
      <c r="I15" s="7">
        <f>I16+34</f>
        <v>283519</v>
      </c>
      <c r="J15" s="6">
        <f t="shared" si="3"/>
        <v>79</v>
      </c>
      <c r="K15" s="6">
        <f t="shared" si="3"/>
        <v>98</v>
      </c>
      <c r="L15" s="6">
        <f t="shared" si="3"/>
        <v>56</v>
      </c>
      <c r="M15" s="6">
        <f t="shared" ref="M15:M41" si="16">I15-I16</f>
        <v>34</v>
      </c>
      <c r="N15" s="5">
        <f t="shared" si="4"/>
        <v>68.275862068965523</v>
      </c>
      <c r="O15" s="24">
        <f t="shared" si="5"/>
        <v>56</v>
      </c>
      <c r="P15" s="5">
        <f t="shared" si="6"/>
        <v>12.275862068965523</v>
      </c>
      <c r="Q15" s="5">
        <f t="shared" si="7"/>
        <v>20.416666666627862</v>
      </c>
      <c r="R15" s="7">
        <f t="shared" si="8"/>
        <v>413.79310344827587</v>
      </c>
      <c r="S15" s="6">
        <f t="shared" si="9"/>
        <v>233</v>
      </c>
      <c r="T15" s="7">
        <f t="shared" si="10"/>
        <v>180.79310344827587</v>
      </c>
      <c r="U15" s="7">
        <f t="shared" si="11"/>
        <v>1843.4482758620702</v>
      </c>
      <c r="V15" s="7">
        <f t="shared" si="11"/>
        <v>1091</v>
      </c>
      <c r="W15" s="7">
        <f t="shared" si="12"/>
        <v>752.4482758620702</v>
      </c>
      <c r="X15" s="7">
        <f t="shared" si="13"/>
        <v>11172.413793103449</v>
      </c>
      <c r="Y15" s="7">
        <f t="shared" si="13"/>
        <v>4726</v>
      </c>
      <c r="Z15" s="7">
        <f t="shared" si="14"/>
        <v>6446.4137931034493</v>
      </c>
      <c r="AA15" s="25">
        <f t="shared" si="15"/>
        <v>0.98952034315315252</v>
      </c>
      <c r="AB15" s="26"/>
    </row>
    <row r="16" spans="2:28" ht="18" x14ac:dyDescent="0.25">
      <c r="B16" s="3">
        <v>26</v>
      </c>
      <c r="C16" s="7">
        <v>240310</v>
      </c>
      <c r="D16" s="7">
        <v>483958</v>
      </c>
      <c r="E16" s="9">
        <v>159192</v>
      </c>
      <c r="F16" s="8">
        <f t="shared" si="0"/>
        <v>883460</v>
      </c>
      <c r="G16" s="23">
        <f t="shared" si="1"/>
        <v>883266.8125</v>
      </c>
      <c r="H16" s="7">
        <f t="shared" si="2"/>
        <v>883291.39583333337</v>
      </c>
      <c r="I16" s="7">
        <v>283485</v>
      </c>
      <c r="J16" s="6">
        <f t="shared" si="3"/>
        <v>74</v>
      </c>
      <c r="K16" s="6">
        <f t="shared" si="3"/>
        <v>118</v>
      </c>
      <c r="L16" s="6">
        <f t="shared" si="3"/>
        <v>89</v>
      </c>
      <c r="M16" s="6">
        <f t="shared" si="16"/>
        <v>15</v>
      </c>
      <c r="N16" s="5">
        <f t="shared" si="4"/>
        <v>68.275862068965523</v>
      </c>
      <c r="O16" s="24">
        <f t="shared" si="5"/>
        <v>89</v>
      </c>
      <c r="P16" s="5">
        <f t="shared" si="6"/>
        <v>-20.724137931034477</v>
      </c>
      <c r="Q16" s="5">
        <f t="shared" si="7"/>
        <v>24.583333333372138</v>
      </c>
      <c r="R16" s="7">
        <f t="shared" si="8"/>
        <v>413.79310344827587</v>
      </c>
      <c r="S16" s="6">
        <f t="shared" si="9"/>
        <v>281</v>
      </c>
      <c r="T16" s="7">
        <f t="shared" si="10"/>
        <v>132.79310344827587</v>
      </c>
      <c r="U16" s="7">
        <f t="shared" si="11"/>
        <v>1775.1724137931046</v>
      </c>
      <c r="V16" s="7">
        <f t="shared" si="11"/>
        <v>1035</v>
      </c>
      <c r="W16" s="7">
        <f t="shared" si="12"/>
        <v>740.17241379310462</v>
      </c>
      <c r="X16" s="7">
        <f t="shared" si="13"/>
        <v>10758.620689655174</v>
      </c>
      <c r="Y16" s="7">
        <f t="shared" si="13"/>
        <v>4493</v>
      </c>
      <c r="Z16" s="7">
        <f t="shared" si="14"/>
        <v>6265.6206896551739</v>
      </c>
      <c r="AA16" s="25">
        <f t="shared" si="15"/>
        <v>0.99857828368105717</v>
      </c>
      <c r="AB16" s="26"/>
    </row>
    <row r="17" spans="2:28" ht="18" x14ac:dyDescent="0.25">
      <c r="B17" s="3">
        <v>25</v>
      </c>
      <c r="C17" s="7">
        <v>240236</v>
      </c>
      <c r="D17" s="7">
        <v>483840</v>
      </c>
      <c r="E17" s="9">
        <v>159103</v>
      </c>
      <c r="F17" s="8">
        <f t="shared" si="0"/>
        <v>883179</v>
      </c>
      <c r="G17" s="23">
        <f t="shared" si="1"/>
        <v>883088.9375</v>
      </c>
      <c r="H17" s="7">
        <f t="shared" si="2"/>
        <v>883099.14583333337</v>
      </c>
      <c r="I17" s="7">
        <v>283470</v>
      </c>
      <c r="J17" s="6">
        <f t="shared" si="3"/>
        <v>42</v>
      </c>
      <c r="K17" s="6">
        <f t="shared" si="3"/>
        <v>49</v>
      </c>
      <c r="L17" s="6">
        <f t="shared" si="3"/>
        <v>40</v>
      </c>
      <c r="M17" s="6">
        <f t="shared" si="16"/>
        <v>50</v>
      </c>
      <c r="N17" s="5">
        <f t="shared" si="4"/>
        <v>68.275862068965523</v>
      </c>
      <c r="O17" s="24">
        <f t="shared" si="5"/>
        <v>40</v>
      </c>
      <c r="P17" s="5">
        <f t="shared" si="6"/>
        <v>28.275862068965523</v>
      </c>
      <c r="Q17" s="5">
        <f t="shared" si="7"/>
        <v>10.208333333372138</v>
      </c>
      <c r="R17" s="7">
        <f t="shared" si="8"/>
        <v>413.79310344827587</v>
      </c>
      <c r="S17" s="6">
        <f t="shared" si="9"/>
        <v>131</v>
      </c>
      <c r="T17" s="7">
        <f t="shared" si="10"/>
        <v>282.79310344827587</v>
      </c>
      <c r="U17" s="7">
        <f t="shared" si="11"/>
        <v>1706.896551724139</v>
      </c>
      <c r="V17" s="7">
        <f t="shared" si="11"/>
        <v>946</v>
      </c>
      <c r="W17" s="7">
        <f t="shared" si="12"/>
        <v>760.89655172413904</v>
      </c>
      <c r="X17" s="7">
        <f t="shared" si="13"/>
        <v>10344.827586206899</v>
      </c>
      <c r="Y17" s="7">
        <f t="shared" si="13"/>
        <v>4212</v>
      </c>
      <c r="Z17" s="7">
        <f t="shared" si="14"/>
        <v>6132.8275862068986</v>
      </c>
      <c r="AA17" s="25">
        <f t="shared" si="15"/>
        <v>0.93426158968973161</v>
      </c>
      <c r="AB17" s="26"/>
    </row>
    <row r="18" spans="2:28" ht="18" x14ac:dyDescent="0.25">
      <c r="B18" s="3">
        <v>24</v>
      </c>
      <c r="C18" s="7">
        <f>C19+33</f>
        <v>240194</v>
      </c>
      <c r="D18" s="7">
        <f>D19+21</f>
        <v>483791</v>
      </c>
      <c r="E18" s="9">
        <f>E19+16</f>
        <v>159063</v>
      </c>
      <c r="F18" s="8">
        <f t="shared" si="0"/>
        <v>883048</v>
      </c>
      <c r="G18" s="23">
        <f t="shared" si="1"/>
        <v>882999.875</v>
      </c>
      <c r="H18" s="7">
        <f t="shared" si="2"/>
        <v>883004.25</v>
      </c>
      <c r="I18" s="7">
        <f>I19+37</f>
        <v>283420</v>
      </c>
      <c r="J18" s="6">
        <f t="shared" si="3"/>
        <v>33</v>
      </c>
      <c r="K18" s="6">
        <f t="shared" si="3"/>
        <v>21</v>
      </c>
      <c r="L18" s="6">
        <f t="shared" si="3"/>
        <v>16</v>
      </c>
      <c r="M18" s="6">
        <f t="shared" si="16"/>
        <v>37</v>
      </c>
      <c r="N18" s="5">
        <f t="shared" si="4"/>
        <v>68.275862068965523</v>
      </c>
      <c r="O18" s="24">
        <f t="shared" si="5"/>
        <v>16</v>
      </c>
      <c r="P18" s="5">
        <f t="shared" si="6"/>
        <v>52.275862068965523</v>
      </c>
      <c r="Q18" s="5">
        <f t="shared" si="7"/>
        <v>4.375</v>
      </c>
      <c r="R18" s="7">
        <f t="shared" si="8"/>
        <v>413.79310344827587</v>
      </c>
      <c r="S18" s="6">
        <f t="shared" si="9"/>
        <v>70</v>
      </c>
      <c r="T18" s="7">
        <f t="shared" si="10"/>
        <v>343.79310344827587</v>
      </c>
      <c r="U18" s="7">
        <f t="shared" si="11"/>
        <v>1638.6206896551735</v>
      </c>
      <c r="V18" s="7">
        <f t="shared" si="11"/>
        <v>906</v>
      </c>
      <c r="W18" s="7">
        <f t="shared" si="12"/>
        <v>732.62068965517346</v>
      </c>
      <c r="X18" s="7">
        <f t="shared" si="13"/>
        <v>9931.0344827586232</v>
      </c>
      <c r="Y18" s="7">
        <f t="shared" si="13"/>
        <v>4081</v>
      </c>
      <c r="Z18" s="7">
        <f t="shared" si="14"/>
        <v>5850.0344827586232</v>
      </c>
      <c r="AA18" s="25">
        <f t="shared" si="15"/>
        <v>0.88409494029493041</v>
      </c>
      <c r="AB18" s="26"/>
    </row>
    <row r="19" spans="2:28" ht="18" x14ac:dyDescent="0.25">
      <c r="B19" s="3">
        <v>23</v>
      </c>
      <c r="C19" s="7">
        <f>C20+36</f>
        <v>240161</v>
      </c>
      <c r="D19" s="7">
        <f>D20+40</f>
        <v>483770</v>
      </c>
      <c r="E19" s="9">
        <f>E20+37</f>
        <v>159047</v>
      </c>
      <c r="F19" s="8">
        <f t="shared" si="0"/>
        <v>882978</v>
      </c>
      <c r="G19" s="23">
        <f t="shared" si="1"/>
        <v>882900.3125</v>
      </c>
      <c r="H19" s="7">
        <f t="shared" si="2"/>
        <v>882908.64583333337</v>
      </c>
      <c r="I19" s="7">
        <f>I20+43</f>
        <v>283383</v>
      </c>
      <c r="J19" s="7">
        <f>C19-C20</f>
        <v>36</v>
      </c>
      <c r="K19" s="6">
        <f t="shared" si="3"/>
        <v>40</v>
      </c>
      <c r="L19" s="6">
        <f t="shared" si="3"/>
        <v>37</v>
      </c>
      <c r="M19" s="6">
        <f t="shared" si="16"/>
        <v>43</v>
      </c>
      <c r="N19" s="5">
        <f t="shared" si="4"/>
        <v>68.275862068965523</v>
      </c>
      <c r="O19" s="3">
        <f t="shared" si="5"/>
        <v>37</v>
      </c>
      <c r="P19" s="5">
        <f t="shared" si="6"/>
        <v>31.275862068965523</v>
      </c>
      <c r="Q19" s="5">
        <f t="shared" si="7"/>
        <v>8.3333333333721384</v>
      </c>
      <c r="R19" s="7">
        <f t="shared" si="8"/>
        <v>413.79310344827587</v>
      </c>
      <c r="S19" s="6">
        <f t="shared" si="9"/>
        <v>113</v>
      </c>
      <c r="T19" s="7">
        <f t="shared" si="10"/>
        <v>300.79310344827587</v>
      </c>
      <c r="U19" s="7">
        <f t="shared" si="11"/>
        <v>1570.3448275862079</v>
      </c>
      <c r="V19" s="7">
        <f t="shared" si="11"/>
        <v>890</v>
      </c>
      <c r="W19" s="7">
        <f t="shared" si="12"/>
        <v>680.34482758620788</v>
      </c>
      <c r="X19" s="7">
        <f t="shared" si="13"/>
        <v>9517.2413793103478</v>
      </c>
      <c r="Y19" s="7">
        <f t="shared" si="13"/>
        <v>4011</v>
      </c>
      <c r="Z19" s="7">
        <f t="shared" si="14"/>
        <v>5506.2413793103478</v>
      </c>
      <c r="AA19" s="25">
        <f t="shared" si="15"/>
        <v>0.93461869677401421</v>
      </c>
      <c r="AB19" s="1"/>
    </row>
    <row r="20" spans="2:28" ht="18" x14ac:dyDescent="0.25">
      <c r="B20" s="3">
        <v>22</v>
      </c>
      <c r="C20" s="7">
        <v>240125</v>
      </c>
      <c r="D20" s="7">
        <v>483730</v>
      </c>
      <c r="E20" s="9">
        <v>159010</v>
      </c>
      <c r="F20" s="8">
        <f t="shared" si="0"/>
        <v>882865</v>
      </c>
      <c r="G20" s="23">
        <f t="shared" si="1"/>
        <v>882770.125</v>
      </c>
      <c r="H20" s="7">
        <f t="shared" si="2"/>
        <v>882784.5</v>
      </c>
      <c r="I20" s="7">
        <v>283340</v>
      </c>
      <c r="J20" s="6">
        <f t="shared" si="3"/>
        <v>29</v>
      </c>
      <c r="K20" s="6">
        <f t="shared" si="3"/>
        <v>69</v>
      </c>
      <c r="L20" s="6">
        <f t="shared" si="3"/>
        <v>40</v>
      </c>
      <c r="M20" s="6">
        <f t="shared" si="16"/>
        <v>29</v>
      </c>
      <c r="N20" s="5">
        <f t="shared" si="4"/>
        <v>68.275862068965523</v>
      </c>
      <c r="O20" s="3">
        <f t="shared" si="5"/>
        <v>40</v>
      </c>
      <c r="P20" s="5">
        <f t="shared" si="6"/>
        <v>28.275862068965523</v>
      </c>
      <c r="Q20" s="5">
        <f t="shared" si="7"/>
        <v>14.375</v>
      </c>
      <c r="R20" s="7">
        <f t="shared" si="8"/>
        <v>413.79310344827587</v>
      </c>
      <c r="S20" s="6">
        <f t="shared" si="9"/>
        <v>138</v>
      </c>
      <c r="T20" s="7">
        <f t="shared" si="10"/>
        <v>275.79310344827587</v>
      </c>
      <c r="U20" s="7">
        <f t="shared" si="11"/>
        <v>1502.0689655172423</v>
      </c>
      <c r="V20" s="7">
        <f t="shared" si="11"/>
        <v>853</v>
      </c>
      <c r="W20" s="7">
        <f t="shared" si="12"/>
        <v>649.0689655172423</v>
      </c>
      <c r="X20" s="7">
        <f t="shared" si="13"/>
        <v>9103.4482758620725</v>
      </c>
      <c r="Y20" s="7">
        <f t="shared" si="13"/>
        <v>3898</v>
      </c>
      <c r="Z20" s="7">
        <f t="shared" si="14"/>
        <v>5205.4482758620725</v>
      </c>
      <c r="AA20" s="25">
        <f t="shared" si="15"/>
        <v>0.97862496094343709</v>
      </c>
      <c r="AB20" s="1"/>
    </row>
    <row r="21" spans="2:28" ht="18" x14ac:dyDescent="0.25">
      <c r="B21" s="3">
        <v>21</v>
      </c>
      <c r="C21" s="7">
        <v>240096</v>
      </c>
      <c r="D21" s="7">
        <v>483661</v>
      </c>
      <c r="E21" s="9">
        <v>158970</v>
      </c>
      <c r="F21" s="8">
        <f t="shared" si="0"/>
        <v>882727</v>
      </c>
      <c r="G21" s="23">
        <f t="shared" si="1"/>
        <v>882544.125</v>
      </c>
      <c r="H21" s="7">
        <f t="shared" si="2"/>
        <v>882571.83333333337</v>
      </c>
      <c r="I21" s="7">
        <v>283311</v>
      </c>
      <c r="J21" s="6">
        <f t="shared" si="3"/>
        <v>64</v>
      </c>
      <c r="K21" s="6">
        <f t="shared" si="3"/>
        <v>133</v>
      </c>
      <c r="L21" s="6">
        <f t="shared" si="3"/>
        <v>69</v>
      </c>
      <c r="M21" s="6">
        <f t="shared" si="16"/>
        <v>33</v>
      </c>
      <c r="N21" s="5">
        <f t="shared" si="4"/>
        <v>68.275862068965523</v>
      </c>
      <c r="O21" s="3">
        <f t="shared" si="5"/>
        <v>69</v>
      </c>
      <c r="P21" s="5">
        <f t="shared" si="6"/>
        <v>-0.72413793103447688</v>
      </c>
      <c r="Q21" s="5">
        <f t="shared" si="7"/>
        <v>27.708333333372138</v>
      </c>
      <c r="R21" s="7">
        <f t="shared" si="8"/>
        <v>413.79310344827587</v>
      </c>
      <c r="S21" s="6">
        <f t="shared" si="9"/>
        <v>266</v>
      </c>
      <c r="T21" s="7">
        <f t="shared" si="10"/>
        <v>147.79310344827587</v>
      </c>
      <c r="U21" s="7">
        <f t="shared" si="11"/>
        <v>1433.7931034482767</v>
      </c>
      <c r="V21" s="7">
        <f t="shared" si="11"/>
        <v>813</v>
      </c>
      <c r="W21" s="7">
        <f t="shared" si="12"/>
        <v>620.79310344827672</v>
      </c>
      <c r="X21" s="7">
        <f t="shared" si="13"/>
        <v>8689.6551724137971</v>
      </c>
      <c r="Y21" s="7">
        <f t="shared" si="13"/>
        <v>3760</v>
      </c>
      <c r="Z21" s="7">
        <f t="shared" si="14"/>
        <v>4929.6551724137971</v>
      </c>
      <c r="AA21" s="25">
        <f t="shared" si="15"/>
        <v>0.99239224553036254</v>
      </c>
      <c r="AB21" s="1"/>
    </row>
    <row r="22" spans="2:28" ht="18" x14ac:dyDescent="0.25">
      <c r="B22" s="3">
        <v>20</v>
      </c>
      <c r="C22" s="7">
        <v>240032</v>
      </c>
      <c r="D22" s="7">
        <v>483528</v>
      </c>
      <c r="E22" s="9">
        <v>158901</v>
      </c>
      <c r="F22" s="8">
        <f t="shared" si="0"/>
        <v>882461</v>
      </c>
      <c r="G22" s="23">
        <f t="shared" si="1"/>
        <v>882280.875</v>
      </c>
      <c r="H22" s="7">
        <f t="shared" si="2"/>
        <v>882303.375</v>
      </c>
      <c r="I22" s="7">
        <v>283278</v>
      </c>
      <c r="J22" s="6">
        <f t="shared" si="3"/>
        <v>76</v>
      </c>
      <c r="K22" s="6">
        <f t="shared" si="3"/>
        <v>108</v>
      </c>
      <c r="L22" s="6">
        <f t="shared" si="3"/>
        <v>78</v>
      </c>
      <c r="M22" s="6">
        <f t="shared" si="16"/>
        <v>35</v>
      </c>
      <c r="N22" s="5">
        <f t="shared" si="4"/>
        <v>68.275862068965523</v>
      </c>
      <c r="O22" s="3">
        <f t="shared" si="5"/>
        <v>78</v>
      </c>
      <c r="P22" s="5">
        <f t="shared" si="6"/>
        <v>-9.7241379310344769</v>
      </c>
      <c r="Q22" s="5">
        <f t="shared" si="7"/>
        <v>22.5</v>
      </c>
      <c r="R22" s="7">
        <f t="shared" si="8"/>
        <v>413.79310344827587</v>
      </c>
      <c r="S22" s="6">
        <f t="shared" si="9"/>
        <v>262</v>
      </c>
      <c r="T22" s="7">
        <f t="shared" si="10"/>
        <v>151.79310344827587</v>
      </c>
      <c r="U22" s="7">
        <f t="shared" si="11"/>
        <v>1365.5172413793111</v>
      </c>
      <c r="V22" s="7">
        <f t="shared" si="11"/>
        <v>744</v>
      </c>
      <c r="W22" s="7">
        <f t="shared" si="12"/>
        <v>621.51724137931114</v>
      </c>
      <c r="X22" s="7">
        <f t="shared" si="13"/>
        <v>8275.8620689655218</v>
      </c>
      <c r="Y22" s="7">
        <f t="shared" si="13"/>
        <v>3494</v>
      </c>
      <c r="Z22" s="7">
        <f t="shared" si="14"/>
        <v>4781.8620689655218</v>
      </c>
      <c r="AA22" s="25">
        <f t="shared" si="15"/>
        <v>0.99119482877777398</v>
      </c>
      <c r="AB22" s="1"/>
    </row>
    <row r="23" spans="2:28" ht="18" x14ac:dyDescent="0.25">
      <c r="B23" s="3">
        <v>19</v>
      </c>
      <c r="C23" s="7">
        <v>239956</v>
      </c>
      <c r="D23" s="7">
        <v>483420</v>
      </c>
      <c r="E23" s="9">
        <v>158823</v>
      </c>
      <c r="F23" s="8">
        <f t="shared" si="0"/>
        <v>882199</v>
      </c>
      <c r="G23" s="23">
        <f t="shared" si="1"/>
        <v>881941.875</v>
      </c>
      <c r="H23" s="7">
        <f t="shared" si="2"/>
        <v>881982.91666666663</v>
      </c>
      <c r="I23" s="7">
        <v>283243</v>
      </c>
      <c r="J23" s="6">
        <f t="shared" si="3"/>
        <v>89</v>
      </c>
      <c r="K23" s="6">
        <f t="shared" si="3"/>
        <v>197</v>
      </c>
      <c r="L23" s="6">
        <f t="shared" si="3"/>
        <v>88</v>
      </c>
      <c r="M23" s="6">
        <f t="shared" si="16"/>
        <v>75</v>
      </c>
      <c r="N23" s="5">
        <f t="shared" si="4"/>
        <v>68.275862068965523</v>
      </c>
      <c r="O23" s="3">
        <f t="shared" si="5"/>
        <v>88</v>
      </c>
      <c r="P23" s="5">
        <f t="shared" si="6"/>
        <v>-19.724137931034477</v>
      </c>
      <c r="Q23" s="5">
        <v>9</v>
      </c>
      <c r="R23" s="7">
        <f t="shared" si="8"/>
        <v>413.79310344827587</v>
      </c>
      <c r="S23" s="6">
        <f t="shared" si="9"/>
        <v>374</v>
      </c>
      <c r="T23" s="7">
        <f t="shared" si="10"/>
        <v>39.793103448275872</v>
      </c>
      <c r="U23" s="7">
        <f t="shared" si="11"/>
        <v>1297.2413793103456</v>
      </c>
      <c r="V23" s="7">
        <f t="shared" si="11"/>
        <v>666</v>
      </c>
      <c r="W23" s="7">
        <f t="shared" si="12"/>
        <v>631.24137931034556</v>
      </c>
      <c r="X23" s="7">
        <f t="shared" si="13"/>
        <v>7862.0689655172455</v>
      </c>
      <c r="Y23" s="7">
        <f t="shared" si="13"/>
        <v>3232</v>
      </c>
      <c r="Z23" s="7">
        <f t="shared" si="14"/>
        <v>4630.0689655172455</v>
      </c>
      <c r="AA23" s="25">
        <f t="shared" si="15"/>
        <v>0.98047971518374166</v>
      </c>
      <c r="AB23" s="1"/>
    </row>
    <row r="24" spans="2:28" ht="18" x14ac:dyDescent="0.25">
      <c r="B24" s="3">
        <v>18</v>
      </c>
      <c r="C24" s="7">
        <v>239867</v>
      </c>
      <c r="D24" s="7">
        <v>483223</v>
      </c>
      <c r="E24" s="9">
        <v>158735</v>
      </c>
      <c r="F24" s="8">
        <f t="shared" si="0"/>
        <v>881825</v>
      </c>
      <c r="G24" s="23">
        <f t="shared" si="1"/>
        <v>881690.25</v>
      </c>
      <c r="H24" s="7">
        <f>G24+((K24/12)*2.5)</f>
        <v>881714.83333333337</v>
      </c>
      <c r="I24" s="7">
        <v>283168</v>
      </c>
      <c r="J24" s="6">
        <f t="shared" si="3"/>
        <v>49</v>
      </c>
      <c r="K24" s="6">
        <f t="shared" si="3"/>
        <v>118</v>
      </c>
      <c r="L24" s="6">
        <f t="shared" si="3"/>
        <v>29</v>
      </c>
      <c r="M24" s="6">
        <f t="shared" si="16"/>
        <v>21</v>
      </c>
      <c r="N24" s="5">
        <f t="shared" si="4"/>
        <v>68.275862068965523</v>
      </c>
      <c r="O24" s="3">
        <f t="shared" si="5"/>
        <v>29</v>
      </c>
      <c r="P24" s="5">
        <f t="shared" si="6"/>
        <v>39.275862068965523</v>
      </c>
      <c r="Q24" s="5">
        <v>7</v>
      </c>
      <c r="R24" s="7">
        <f t="shared" si="8"/>
        <v>413.79310344827587</v>
      </c>
      <c r="S24" s="6">
        <f t="shared" si="9"/>
        <v>196</v>
      </c>
      <c r="T24" s="7">
        <f t="shared" si="10"/>
        <v>217.79310344827587</v>
      </c>
      <c r="U24" s="7">
        <f t="shared" si="11"/>
        <v>1228.96551724138</v>
      </c>
      <c r="V24" s="7">
        <f t="shared" si="11"/>
        <v>578</v>
      </c>
      <c r="W24" s="7">
        <f t="shared" si="12"/>
        <v>650.96551724137998</v>
      </c>
      <c r="X24" s="7">
        <f t="shared" si="13"/>
        <v>7448.2758620689692</v>
      </c>
      <c r="Y24" s="7">
        <f t="shared" si="13"/>
        <v>2858</v>
      </c>
      <c r="Z24" s="7">
        <f t="shared" si="14"/>
        <v>4590.2758620689692</v>
      </c>
      <c r="AA24" s="25">
        <f t="shared" si="15"/>
        <v>0.99430915391980901</v>
      </c>
      <c r="AB24" s="1"/>
    </row>
    <row r="25" spans="2:28" ht="18" x14ac:dyDescent="0.25">
      <c r="B25" s="3">
        <v>17</v>
      </c>
      <c r="C25" s="7">
        <f>C26+40</f>
        <v>239818</v>
      </c>
      <c r="D25" s="7">
        <f>D26+108</f>
        <v>483105</v>
      </c>
      <c r="E25" s="9">
        <f>E26+25</f>
        <v>158706</v>
      </c>
      <c r="F25" s="8">
        <f t="shared" si="0"/>
        <v>881629</v>
      </c>
      <c r="G25" s="23">
        <f t="shared" si="1"/>
        <v>881510.0625</v>
      </c>
      <c r="H25" s="7">
        <f t="shared" si="2"/>
        <v>881532.5625</v>
      </c>
      <c r="I25" s="7">
        <f>I26+24</f>
        <v>283147</v>
      </c>
      <c r="J25" s="6">
        <f t="shared" si="3"/>
        <v>40</v>
      </c>
      <c r="K25" s="6">
        <f t="shared" si="3"/>
        <v>108</v>
      </c>
      <c r="L25" s="6">
        <f t="shared" si="3"/>
        <v>25</v>
      </c>
      <c r="M25" s="7">
        <f t="shared" si="16"/>
        <v>24</v>
      </c>
      <c r="N25" s="5">
        <f t="shared" si="4"/>
        <v>68.275862068965523</v>
      </c>
      <c r="O25" s="3">
        <f t="shared" si="5"/>
        <v>25</v>
      </c>
      <c r="P25" s="5">
        <f t="shared" si="6"/>
        <v>43.275862068965523</v>
      </c>
      <c r="Q25" s="5">
        <f t="shared" si="7"/>
        <v>22.5</v>
      </c>
      <c r="R25" s="7">
        <f t="shared" si="8"/>
        <v>413.79310344827587</v>
      </c>
      <c r="S25" s="6">
        <f t="shared" si="9"/>
        <v>173</v>
      </c>
      <c r="T25" s="7">
        <f t="shared" si="10"/>
        <v>240.79310344827587</v>
      </c>
      <c r="U25" s="7">
        <f t="shared" si="11"/>
        <v>1160.6896551724144</v>
      </c>
      <c r="V25" s="6">
        <f t="shared" si="11"/>
        <v>549</v>
      </c>
      <c r="W25" s="7">
        <f t="shared" si="12"/>
        <v>611.6896551724144</v>
      </c>
      <c r="X25" s="7">
        <f t="shared" si="13"/>
        <v>7034.4827586206929</v>
      </c>
      <c r="Y25" s="7">
        <f t="shared" si="13"/>
        <v>2662</v>
      </c>
      <c r="Z25" s="7">
        <f t="shared" si="14"/>
        <v>4372.4827586206929</v>
      </c>
      <c r="AA25" s="25">
        <f t="shared" si="15"/>
        <v>0.99051393202360538</v>
      </c>
      <c r="AB25" s="1"/>
    </row>
    <row r="26" spans="2:28" ht="18" x14ac:dyDescent="0.25">
      <c r="B26" s="3">
        <v>16</v>
      </c>
      <c r="C26" s="7">
        <f>C27+32</f>
        <v>239778</v>
      </c>
      <c r="D26" s="7">
        <f>D27+92</f>
        <v>482997</v>
      </c>
      <c r="E26" s="9">
        <f>E27+21</f>
        <v>158681</v>
      </c>
      <c r="F26" s="8">
        <f t="shared" si="0"/>
        <v>881456</v>
      </c>
      <c r="G26" s="23">
        <f t="shared" si="1"/>
        <v>881356.3125</v>
      </c>
      <c r="H26" s="7">
        <f t="shared" si="2"/>
        <v>881375.47916666663</v>
      </c>
      <c r="I26" s="7">
        <f>I27+22</f>
        <v>283123</v>
      </c>
      <c r="J26" s="6">
        <f t="shared" si="3"/>
        <v>32</v>
      </c>
      <c r="K26" s="6">
        <f t="shared" si="3"/>
        <v>92</v>
      </c>
      <c r="L26" s="6">
        <f t="shared" si="3"/>
        <v>21</v>
      </c>
      <c r="M26" s="7">
        <f t="shared" si="16"/>
        <v>22</v>
      </c>
      <c r="N26" s="5">
        <f t="shared" si="4"/>
        <v>68.275862068965523</v>
      </c>
      <c r="O26" s="3">
        <f t="shared" si="5"/>
        <v>21</v>
      </c>
      <c r="P26" s="5">
        <f t="shared" si="6"/>
        <v>47.275862068965523</v>
      </c>
      <c r="Q26" s="5">
        <f t="shared" si="7"/>
        <v>19.166666666627862</v>
      </c>
      <c r="R26" s="7">
        <f t="shared" si="8"/>
        <v>413.79310344827587</v>
      </c>
      <c r="S26" s="6">
        <f t="shared" si="9"/>
        <v>145</v>
      </c>
      <c r="T26" s="7">
        <f t="shared" si="10"/>
        <v>268.79310344827587</v>
      </c>
      <c r="U26" s="7">
        <f t="shared" si="11"/>
        <v>1092.4137931034488</v>
      </c>
      <c r="V26" s="6">
        <f t="shared" si="11"/>
        <v>524</v>
      </c>
      <c r="W26" s="7">
        <f t="shared" si="12"/>
        <v>568.41379310344882</v>
      </c>
      <c r="X26" s="7">
        <f t="shared" si="13"/>
        <v>6620.6896551724167</v>
      </c>
      <c r="Y26" s="7">
        <f t="shared" si="13"/>
        <v>2489</v>
      </c>
      <c r="Z26" s="7">
        <f t="shared" si="14"/>
        <v>4131.6896551724167</v>
      </c>
      <c r="AA26" s="25">
        <f t="shared" si="15"/>
        <v>0.98868487983892606</v>
      </c>
      <c r="AB26" s="1"/>
    </row>
    <row r="27" spans="2:28" ht="18" x14ac:dyDescent="0.25">
      <c r="B27" s="3">
        <v>15</v>
      </c>
      <c r="C27" s="7">
        <f>C28+44</f>
        <v>239746</v>
      </c>
      <c r="D27" s="7">
        <f>D28+81</f>
        <v>482905</v>
      </c>
      <c r="E27" s="9">
        <f>E28+19</f>
        <v>158660</v>
      </c>
      <c r="F27" s="8">
        <f t="shared" si="0"/>
        <v>881311</v>
      </c>
      <c r="G27" s="23">
        <f t="shared" si="1"/>
        <v>881212</v>
      </c>
      <c r="H27" s="7">
        <f t="shared" si="2"/>
        <v>881228.875</v>
      </c>
      <c r="I27" s="7">
        <f>I28+20</f>
        <v>283101</v>
      </c>
      <c r="J27" s="6">
        <f t="shared" si="3"/>
        <v>44</v>
      </c>
      <c r="K27" s="6">
        <f t="shared" si="3"/>
        <v>81</v>
      </c>
      <c r="L27" s="6">
        <f t="shared" si="3"/>
        <v>19</v>
      </c>
      <c r="M27" s="7">
        <f t="shared" si="16"/>
        <v>20</v>
      </c>
      <c r="N27" s="5">
        <f t="shared" si="4"/>
        <v>68.275862068965523</v>
      </c>
      <c r="O27" s="3">
        <f t="shared" si="5"/>
        <v>19</v>
      </c>
      <c r="P27" s="5">
        <f t="shared" si="6"/>
        <v>49.275862068965523</v>
      </c>
      <c r="Q27" s="5">
        <f t="shared" si="7"/>
        <v>16.875</v>
      </c>
      <c r="R27" s="7">
        <f t="shared" si="8"/>
        <v>413.79310344827587</v>
      </c>
      <c r="S27" s="6">
        <f t="shared" si="9"/>
        <v>144</v>
      </c>
      <c r="T27" s="7">
        <f t="shared" si="10"/>
        <v>269.79310344827587</v>
      </c>
      <c r="U27" s="7">
        <f t="shared" si="11"/>
        <v>1024.1379310344832</v>
      </c>
      <c r="V27" s="6">
        <f t="shared" si="11"/>
        <v>503</v>
      </c>
      <c r="W27" s="7">
        <f t="shared" si="12"/>
        <v>521.13793103448324</v>
      </c>
      <c r="X27" s="7">
        <f t="shared" si="13"/>
        <v>6206.8965517241404</v>
      </c>
      <c r="Y27" s="7">
        <f t="shared" si="13"/>
        <v>2344</v>
      </c>
      <c r="Z27" s="7">
        <f t="shared" si="14"/>
        <v>3862.8965517241404</v>
      </c>
      <c r="AA27" s="25">
        <f t="shared" si="15"/>
        <v>0.99049227317775157</v>
      </c>
      <c r="AB27" s="1"/>
    </row>
    <row r="28" spans="2:28" ht="18" x14ac:dyDescent="0.25">
      <c r="B28" s="3">
        <v>14</v>
      </c>
      <c r="C28" s="7">
        <v>239702</v>
      </c>
      <c r="D28" s="7">
        <v>482824</v>
      </c>
      <c r="E28" s="9">
        <f>E29+12</f>
        <v>158641</v>
      </c>
      <c r="F28" s="8">
        <f t="shared" si="0"/>
        <v>881167</v>
      </c>
      <c r="G28" s="23">
        <f t="shared" si="1"/>
        <v>881071.4375</v>
      </c>
      <c r="H28" s="7">
        <f t="shared" si="2"/>
        <v>881079.5625</v>
      </c>
      <c r="I28" s="7">
        <f>I29+44</f>
        <v>283081</v>
      </c>
      <c r="J28" s="6">
        <f t="shared" si="3"/>
        <v>88</v>
      </c>
      <c r="K28" s="6">
        <f t="shared" si="3"/>
        <v>39</v>
      </c>
      <c r="L28" s="6">
        <f t="shared" si="3"/>
        <v>12</v>
      </c>
      <c r="M28" s="7">
        <f t="shared" si="16"/>
        <v>44</v>
      </c>
      <c r="N28" s="5">
        <f t="shared" si="4"/>
        <v>68.275862068965523</v>
      </c>
      <c r="O28" s="3">
        <f t="shared" si="5"/>
        <v>12</v>
      </c>
      <c r="P28" s="5">
        <f t="shared" si="6"/>
        <v>56.275862068965523</v>
      </c>
      <c r="Q28" s="5">
        <f t="shared" si="7"/>
        <v>8.125</v>
      </c>
      <c r="R28" s="7">
        <f t="shared" si="8"/>
        <v>413.79310344827587</v>
      </c>
      <c r="S28" s="6">
        <f t="shared" si="9"/>
        <v>139</v>
      </c>
      <c r="T28" s="7">
        <f t="shared" si="10"/>
        <v>274.79310344827587</v>
      </c>
      <c r="U28" s="7">
        <f t="shared" si="11"/>
        <v>955.86206896551766</v>
      </c>
      <c r="V28" s="6">
        <f t="shared" si="11"/>
        <v>484</v>
      </c>
      <c r="W28" s="7">
        <f t="shared" si="12"/>
        <v>471.86206896551766</v>
      </c>
      <c r="X28" s="7">
        <f t="shared" si="13"/>
        <v>5793.1034482758641</v>
      </c>
      <c r="Y28" s="7">
        <f t="shared" si="13"/>
        <v>2200</v>
      </c>
      <c r="Z28" s="7">
        <f t="shared" si="14"/>
        <v>3593.1034482758641</v>
      </c>
      <c r="AA28" s="25">
        <f t="shared" si="15"/>
        <v>0.95337511983148782</v>
      </c>
      <c r="AB28" s="1"/>
    </row>
    <row r="29" spans="2:28" ht="18" x14ac:dyDescent="0.25">
      <c r="B29" s="3">
        <v>13</v>
      </c>
      <c r="C29" s="7">
        <v>239614</v>
      </c>
      <c r="D29" s="7">
        <v>482785</v>
      </c>
      <c r="E29" s="9">
        <f>E30+10</f>
        <v>158629</v>
      </c>
      <c r="F29" s="8">
        <f t="shared" si="0"/>
        <v>881028</v>
      </c>
      <c r="G29" s="23">
        <f t="shared" si="1"/>
        <v>880915.25</v>
      </c>
      <c r="H29" s="7">
        <f t="shared" si="2"/>
        <v>880929.83333333337</v>
      </c>
      <c r="I29" s="7">
        <f>I30+52</f>
        <v>283037</v>
      </c>
      <c r="J29" s="6">
        <f t="shared" si="3"/>
        <v>84</v>
      </c>
      <c r="K29" s="6">
        <f t="shared" si="3"/>
        <v>70</v>
      </c>
      <c r="L29" s="6">
        <f t="shared" si="3"/>
        <v>10</v>
      </c>
      <c r="M29" s="6">
        <f t="shared" si="16"/>
        <v>52</v>
      </c>
      <c r="N29" s="5">
        <f t="shared" si="4"/>
        <v>68.275862068965523</v>
      </c>
      <c r="O29" s="3">
        <f t="shared" si="5"/>
        <v>10</v>
      </c>
      <c r="P29" s="5">
        <f t="shared" si="6"/>
        <v>58.275862068965523</v>
      </c>
      <c r="Q29" s="5">
        <f t="shared" si="7"/>
        <v>14.583333333372138</v>
      </c>
      <c r="R29" s="7">
        <f t="shared" si="8"/>
        <v>413.79310344827587</v>
      </c>
      <c r="S29" s="6">
        <f t="shared" si="9"/>
        <v>164</v>
      </c>
      <c r="T29" s="7">
        <f t="shared" si="10"/>
        <v>249.79310344827587</v>
      </c>
      <c r="U29" s="7">
        <f t="shared" si="11"/>
        <v>887.58620689655208</v>
      </c>
      <c r="V29" s="6">
        <f t="shared" si="11"/>
        <v>472</v>
      </c>
      <c r="W29" s="7">
        <f t="shared" si="12"/>
        <v>415.58620689655208</v>
      </c>
      <c r="X29" s="7">
        <f t="shared" si="13"/>
        <v>5379.3103448275879</v>
      </c>
      <c r="Y29" s="7">
        <f t="shared" si="13"/>
        <v>2061</v>
      </c>
      <c r="Z29" s="7">
        <f t="shared" si="14"/>
        <v>3318.3103448275879</v>
      </c>
      <c r="AA29" s="25">
        <f t="shared" si="15"/>
        <v>0.95323063769931815</v>
      </c>
      <c r="AB29" s="1"/>
    </row>
    <row r="30" spans="2:28" ht="18" x14ac:dyDescent="0.25">
      <c r="B30" s="3">
        <v>12</v>
      </c>
      <c r="C30" s="7">
        <v>239530</v>
      </c>
      <c r="D30" s="7">
        <v>482715</v>
      </c>
      <c r="E30" s="9">
        <f>E31+14</f>
        <v>158619</v>
      </c>
      <c r="F30" s="8">
        <f t="shared" si="0"/>
        <v>880864</v>
      </c>
      <c r="G30" s="23">
        <f t="shared" si="1"/>
        <v>880764.3125</v>
      </c>
      <c r="H30" s="7">
        <f t="shared" si="2"/>
        <v>880784.9375</v>
      </c>
      <c r="I30" s="7">
        <f>I31+46</f>
        <v>282985</v>
      </c>
      <c r="J30" s="6">
        <f t="shared" si="3"/>
        <v>32</v>
      </c>
      <c r="K30" s="6">
        <f t="shared" si="3"/>
        <v>99</v>
      </c>
      <c r="L30" s="6">
        <f t="shared" si="3"/>
        <v>14</v>
      </c>
      <c r="M30" s="6">
        <f t="shared" si="16"/>
        <v>46</v>
      </c>
      <c r="N30" s="5">
        <f t="shared" si="4"/>
        <v>68.275862068965523</v>
      </c>
      <c r="O30" s="3">
        <f t="shared" si="5"/>
        <v>14</v>
      </c>
      <c r="P30" s="5">
        <f t="shared" si="6"/>
        <v>54.275862068965523</v>
      </c>
      <c r="Q30" s="5">
        <f t="shared" si="7"/>
        <v>20.625</v>
      </c>
      <c r="R30" s="7">
        <f t="shared" si="8"/>
        <v>413.79310344827587</v>
      </c>
      <c r="S30" s="6">
        <f t="shared" si="9"/>
        <v>145</v>
      </c>
      <c r="T30" s="7">
        <f t="shared" si="10"/>
        <v>268.79310344827587</v>
      </c>
      <c r="U30" s="7">
        <f t="shared" si="11"/>
        <v>819.3103448275865</v>
      </c>
      <c r="V30" s="6">
        <f t="shared" si="11"/>
        <v>462</v>
      </c>
      <c r="W30" s="7">
        <f t="shared" si="12"/>
        <v>357.3103448275865</v>
      </c>
      <c r="X30" s="7">
        <f t="shared" si="13"/>
        <v>4965.5172413793116</v>
      </c>
      <c r="Y30" s="7">
        <f t="shared" si="13"/>
        <v>1897</v>
      </c>
      <c r="Z30" s="7">
        <f t="shared" si="14"/>
        <v>3068.5172413793116</v>
      </c>
      <c r="AA30" s="25">
        <f t="shared" si="15"/>
        <v>0.95318443309886747</v>
      </c>
      <c r="AB30" s="1"/>
    </row>
    <row r="31" spans="2:28" ht="18" x14ac:dyDescent="0.25">
      <c r="B31" s="3">
        <v>11</v>
      </c>
      <c r="C31" s="7">
        <v>239498</v>
      </c>
      <c r="D31" s="7">
        <v>482616</v>
      </c>
      <c r="E31" s="9">
        <f>E32+11</f>
        <v>158605</v>
      </c>
      <c r="F31" s="8">
        <f t="shared" si="0"/>
        <v>880719</v>
      </c>
      <c r="G31" s="23">
        <f t="shared" si="1"/>
        <v>880661.25</v>
      </c>
      <c r="H31" s="7">
        <f t="shared" si="2"/>
        <v>880674.58333333337</v>
      </c>
      <c r="I31" s="7">
        <v>282939</v>
      </c>
      <c r="J31" s="6">
        <f t="shared" si="3"/>
        <v>9</v>
      </c>
      <c r="K31" s="6">
        <f t="shared" si="3"/>
        <v>64</v>
      </c>
      <c r="L31" s="6">
        <f t="shared" si="3"/>
        <v>11</v>
      </c>
      <c r="M31" s="6">
        <f t="shared" si="16"/>
        <v>18</v>
      </c>
      <c r="N31" s="5">
        <f t="shared" si="4"/>
        <v>68.275862068965523</v>
      </c>
      <c r="O31" s="3">
        <f t="shared" si="5"/>
        <v>11</v>
      </c>
      <c r="P31" s="5">
        <f t="shared" si="6"/>
        <v>57.275862068965523</v>
      </c>
      <c r="Q31" s="5">
        <f t="shared" si="7"/>
        <v>13.333333333372138</v>
      </c>
      <c r="R31" s="7">
        <f t="shared" si="8"/>
        <v>413.79310344827587</v>
      </c>
      <c r="S31" s="6">
        <f t="shared" si="9"/>
        <v>84</v>
      </c>
      <c r="T31" s="7">
        <f t="shared" si="10"/>
        <v>329.79310344827587</v>
      </c>
      <c r="U31" s="7">
        <f t="shared" si="11"/>
        <v>751.03448275862092</v>
      </c>
      <c r="V31" s="6">
        <f t="shared" si="11"/>
        <v>448</v>
      </c>
      <c r="W31" s="7">
        <f t="shared" si="12"/>
        <v>303.03448275862092</v>
      </c>
      <c r="X31" s="7">
        <f t="shared" si="13"/>
        <v>4551.7241379310353</v>
      </c>
      <c r="Y31" s="7">
        <f t="shared" si="13"/>
        <v>1752</v>
      </c>
      <c r="Z31" s="7">
        <f t="shared" si="14"/>
        <v>2799.7241379310353</v>
      </c>
      <c r="AA31" s="25">
        <f t="shared" si="15"/>
        <v>0.97780241407740953</v>
      </c>
      <c r="AB31" s="1"/>
    </row>
    <row r="32" spans="2:28" ht="18" x14ac:dyDescent="0.25">
      <c r="B32" s="3">
        <v>10</v>
      </c>
      <c r="C32" s="7">
        <f>C33+8</f>
        <v>239489</v>
      </c>
      <c r="D32" s="7">
        <f>D33+59</f>
        <v>482552</v>
      </c>
      <c r="E32" s="9">
        <f>E33+54</f>
        <v>158594</v>
      </c>
      <c r="F32" s="8">
        <f t="shared" si="0"/>
        <v>880635</v>
      </c>
      <c r="G32" s="23">
        <f t="shared" si="1"/>
        <v>880551.8125</v>
      </c>
      <c r="H32" s="7">
        <f t="shared" si="2"/>
        <v>880564.10416666663</v>
      </c>
      <c r="I32" s="7">
        <f>I33+16</f>
        <v>282921</v>
      </c>
      <c r="J32" s="6">
        <f t="shared" si="3"/>
        <v>8</v>
      </c>
      <c r="K32" s="6">
        <f t="shared" si="3"/>
        <v>59</v>
      </c>
      <c r="L32" s="6">
        <f t="shared" si="3"/>
        <v>54</v>
      </c>
      <c r="M32" s="6">
        <f t="shared" si="16"/>
        <v>16</v>
      </c>
      <c r="N32" s="5">
        <f t="shared" si="4"/>
        <v>68.275862068965523</v>
      </c>
      <c r="O32" s="3">
        <f t="shared" si="5"/>
        <v>54</v>
      </c>
      <c r="P32" s="5">
        <f t="shared" si="6"/>
        <v>14.275862068965523</v>
      </c>
      <c r="Q32" s="5">
        <f t="shared" si="7"/>
        <v>12.291666666627862</v>
      </c>
      <c r="R32" s="7">
        <f t="shared" si="8"/>
        <v>413.79310344827587</v>
      </c>
      <c r="S32" s="6">
        <f t="shared" si="9"/>
        <v>121</v>
      </c>
      <c r="T32" s="7">
        <f t="shared" si="10"/>
        <v>292.79310344827587</v>
      </c>
      <c r="U32" s="7">
        <f t="shared" si="11"/>
        <v>682.75862068965534</v>
      </c>
      <c r="V32" s="6">
        <f t="shared" si="11"/>
        <v>437</v>
      </c>
      <c r="W32" s="7">
        <f t="shared" si="12"/>
        <v>245.75862068965534</v>
      </c>
      <c r="X32" s="7">
        <f t="shared" si="13"/>
        <v>4137.9310344827591</v>
      </c>
      <c r="Y32" s="7">
        <f t="shared" si="13"/>
        <v>1668</v>
      </c>
      <c r="Z32" s="7">
        <f t="shared" si="14"/>
        <v>2469.9310344827591</v>
      </c>
      <c r="AA32" s="25">
        <f t="shared" si="15"/>
        <v>0.99137043124456226</v>
      </c>
      <c r="AB32" s="1"/>
    </row>
    <row r="33" spans="2:28" ht="18" x14ac:dyDescent="0.25">
      <c r="B33" s="3">
        <v>9</v>
      </c>
      <c r="C33" s="7">
        <f>C34+10</f>
        <v>239481</v>
      </c>
      <c r="D33" s="7">
        <f>D34+60</f>
        <v>482493</v>
      </c>
      <c r="E33" s="9">
        <f>E34+57</f>
        <v>158540</v>
      </c>
      <c r="F33" s="8">
        <f t="shared" si="0"/>
        <v>880514</v>
      </c>
      <c r="G33" s="23">
        <f t="shared" si="1"/>
        <v>880426.6875</v>
      </c>
      <c r="H33" s="7">
        <f t="shared" si="2"/>
        <v>880439.1875</v>
      </c>
      <c r="I33" s="7">
        <f>I34+12</f>
        <v>282905</v>
      </c>
      <c r="J33" s="6">
        <f t="shared" si="3"/>
        <v>10</v>
      </c>
      <c r="K33" s="6">
        <f t="shared" si="3"/>
        <v>60</v>
      </c>
      <c r="L33" s="6">
        <f t="shared" si="3"/>
        <v>57</v>
      </c>
      <c r="M33" s="6">
        <f t="shared" si="16"/>
        <v>12</v>
      </c>
      <c r="N33" s="5">
        <f t="shared" si="4"/>
        <v>68.275862068965523</v>
      </c>
      <c r="O33" s="3">
        <f t="shared" si="5"/>
        <v>57</v>
      </c>
      <c r="P33" s="5">
        <f t="shared" si="6"/>
        <v>11.275862068965523</v>
      </c>
      <c r="Q33" s="5">
        <f t="shared" si="7"/>
        <v>12.5</v>
      </c>
      <c r="R33" s="7">
        <f t="shared" si="8"/>
        <v>413.79310344827587</v>
      </c>
      <c r="S33" s="6">
        <f t="shared" si="9"/>
        <v>127</v>
      </c>
      <c r="T33" s="7">
        <f t="shared" si="10"/>
        <v>286.79310344827587</v>
      </c>
      <c r="U33" s="7">
        <f t="shared" si="11"/>
        <v>614.48275862068976</v>
      </c>
      <c r="V33" s="6">
        <f t="shared" si="11"/>
        <v>383</v>
      </c>
      <c r="W33" s="7">
        <f t="shared" si="12"/>
        <v>231.48275862068976</v>
      </c>
      <c r="X33" s="7">
        <f t="shared" si="13"/>
        <v>3724.1379310344828</v>
      </c>
      <c r="Y33" s="7">
        <f t="shared" si="13"/>
        <v>1547</v>
      </c>
      <c r="Z33" s="7">
        <f t="shared" si="14"/>
        <v>2177.1379310344828</v>
      </c>
      <c r="AA33" s="25">
        <f t="shared" si="15"/>
        <v>0.99556566146905601</v>
      </c>
      <c r="AB33" s="1"/>
    </row>
    <row r="34" spans="2:28" ht="18" x14ac:dyDescent="0.25">
      <c r="B34" s="3">
        <v>8</v>
      </c>
      <c r="C34" s="7">
        <v>239471</v>
      </c>
      <c r="D34" s="7">
        <v>482433</v>
      </c>
      <c r="E34" s="9">
        <f>E35+51</f>
        <v>158483</v>
      </c>
      <c r="F34" s="8">
        <f t="shared" si="0"/>
        <v>880387</v>
      </c>
      <c r="G34" s="23">
        <f t="shared" si="1"/>
        <v>880233</v>
      </c>
      <c r="H34" s="7">
        <f t="shared" si="2"/>
        <v>880252.16666666663</v>
      </c>
      <c r="I34" s="7">
        <f>I35+14</f>
        <v>282893</v>
      </c>
      <c r="J34" s="6">
        <f t="shared" si="3"/>
        <v>81</v>
      </c>
      <c r="K34" s="6">
        <f t="shared" si="3"/>
        <v>92</v>
      </c>
      <c r="L34" s="6">
        <f t="shared" si="3"/>
        <v>51</v>
      </c>
      <c r="M34" s="6">
        <f t="shared" si="16"/>
        <v>14</v>
      </c>
      <c r="N34" s="5">
        <f t="shared" si="4"/>
        <v>68.275862068965523</v>
      </c>
      <c r="O34" s="3">
        <f t="shared" si="5"/>
        <v>51</v>
      </c>
      <c r="P34" s="5">
        <f t="shared" si="6"/>
        <v>17.275862068965523</v>
      </c>
      <c r="Q34" s="5">
        <f t="shared" si="7"/>
        <v>19.166666666627862</v>
      </c>
      <c r="R34" s="7">
        <f t="shared" si="8"/>
        <v>413.79310344827587</v>
      </c>
      <c r="S34" s="6">
        <f t="shared" si="9"/>
        <v>224</v>
      </c>
      <c r="T34" s="7">
        <f t="shared" si="10"/>
        <v>189.79310344827587</v>
      </c>
      <c r="U34" s="7">
        <f t="shared" si="11"/>
        <v>546.20689655172418</v>
      </c>
      <c r="V34" s="6">
        <f t="shared" si="11"/>
        <v>326</v>
      </c>
      <c r="W34" s="7">
        <f t="shared" si="12"/>
        <v>220.20689655172418</v>
      </c>
      <c r="X34" s="7">
        <f t="shared" si="13"/>
        <v>3310.344827586207</v>
      </c>
      <c r="Y34" s="7">
        <f t="shared" si="13"/>
        <v>1420</v>
      </c>
      <c r="Z34" s="7">
        <f t="shared" si="14"/>
        <v>1890.344827586207</v>
      </c>
      <c r="AA34" s="25">
        <f t="shared" si="15"/>
        <v>0.99805257848288853</v>
      </c>
      <c r="AB34" s="1"/>
    </row>
    <row r="35" spans="2:28" ht="18" x14ac:dyDescent="0.25">
      <c r="B35" s="3">
        <v>7</v>
      </c>
      <c r="C35" s="7">
        <v>239390</v>
      </c>
      <c r="D35" s="7">
        <v>482341</v>
      </c>
      <c r="E35" s="9">
        <f>E36+17</f>
        <v>158432</v>
      </c>
      <c r="F35" s="8">
        <f t="shared" si="0"/>
        <v>880163</v>
      </c>
      <c r="G35" s="23">
        <f t="shared" si="1"/>
        <v>880099.75</v>
      </c>
      <c r="H35" s="7">
        <f t="shared" si="2"/>
        <v>880105.375</v>
      </c>
      <c r="I35" s="7">
        <v>282879</v>
      </c>
      <c r="J35" s="6">
        <f t="shared" si="3"/>
        <v>48</v>
      </c>
      <c r="K35" s="6">
        <f t="shared" si="3"/>
        <v>27</v>
      </c>
      <c r="L35" s="6">
        <f t="shared" si="3"/>
        <v>17</v>
      </c>
      <c r="M35" s="6">
        <f t="shared" si="16"/>
        <v>77</v>
      </c>
      <c r="N35" s="5">
        <f t="shared" si="4"/>
        <v>68.275862068965523</v>
      </c>
      <c r="O35" s="3">
        <f t="shared" si="5"/>
        <v>17</v>
      </c>
      <c r="P35" s="5">
        <f t="shared" si="6"/>
        <v>51.275862068965523</v>
      </c>
      <c r="Q35" s="5">
        <f t="shared" si="7"/>
        <v>5.625</v>
      </c>
      <c r="R35" s="7">
        <f t="shared" si="8"/>
        <v>413.79310344827587</v>
      </c>
      <c r="S35" s="6">
        <f t="shared" si="9"/>
        <v>92</v>
      </c>
      <c r="T35" s="7">
        <f t="shared" si="10"/>
        <v>321.79310344827587</v>
      </c>
      <c r="U35" s="7">
        <f t="shared" si="11"/>
        <v>477.93103448275866</v>
      </c>
      <c r="V35" s="6">
        <f t="shared" si="11"/>
        <v>275</v>
      </c>
      <c r="W35" s="7">
        <f t="shared" si="12"/>
        <v>202.93103448275866</v>
      </c>
      <c r="X35" s="7">
        <f t="shared" si="13"/>
        <v>2896.5517241379312</v>
      </c>
      <c r="Y35" s="7">
        <f t="shared" si="13"/>
        <v>1196</v>
      </c>
      <c r="Z35" s="7">
        <f t="shared" si="14"/>
        <v>1700.5517241379312</v>
      </c>
      <c r="AA35" s="25">
        <f t="shared" si="15"/>
        <v>0.76685307722419549</v>
      </c>
      <c r="AB35" s="1"/>
    </row>
    <row r="36" spans="2:28" ht="18" x14ac:dyDescent="0.25">
      <c r="B36" s="3">
        <v>6</v>
      </c>
      <c r="C36" s="7">
        <v>239342</v>
      </c>
      <c r="D36" s="7">
        <v>482314</v>
      </c>
      <c r="E36" s="9">
        <f>E37+37</f>
        <v>158415</v>
      </c>
      <c r="F36" s="8">
        <f t="shared" si="0"/>
        <v>880071</v>
      </c>
      <c r="G36" s="23">
        <f t="shared" si="1"/>
        <v>879864.75</v>
      </c>
      <c r="H36" s="7">
        <f t="shared" si="2"/>
        <v>879903.70833333337</v>
      </c>
      <c r="I36" s="7">
        <v>282802</v>
      </c>
      <c r="J36" s="6">
        <f t="shared" si="3"/>
        <v>76</v>
      </c>
      <c r="K36" s="6">
        <f t="shared" si="3"/>
        <v>187</v>
      </c>
      <c r="L36" s="6">
        <f t="shared" si="3"/>
        <v>37</v>
      </c>
      <c r="M36" s="6">
        <f t="shared" si="16"/>
        <v>68</v>
      </c>
      <c r="N36" s="5">
        <f t="shared" si="4"/>
        <v>68.275862068965523</v>
      </c>
      <c r="O36" s="3">
        <f t="shared" si="5"/>
        <v>37</v>
      </c>
      <c r="P36" s="5">
        <f t="shared" si="6"/>
        <v>31.275862068965523</v>
      </c>
      <c r="Q36" s="5">
        <f t="shared" si="7"/>
        <v>38.958333333372138</v>
      </c>
      <c r="R36" s="7">
        <f t="shared" si="8"/>
        <v>413.79310344827587</v>
      </c>
      <c r="S36" s="6">
        <f t="shared" si="9"/>
        <v>300</v>
      </c>
      <c r="T36" s="7">
        <f t="shared" si="10"/>
        <v>113.79310344827587</v>
      </c>
      <c r="U36" s="7">
        <f t="shared" si="11"/>
        <v>409.65517241379314</v>
      </c>
      <c r="V36" s="6">
        <f t="shared" si="11"/>
        <v>258</v>
      </c>
      <c r="W36" s="7">
        <f t="shared" si="12"/>
        <v>151.65517241379314</v>
      </c>
      <c r="X36" s="7">
        <f t="shared" si="13"/>
        <v>2482.7586206896553</v>
      </c>
      <c r="Y36" s="7">
        <f t="shared" si="13"/>
        <v>1104</v>
      </c>
      <c r="Z36" s="7">
        <f t="shared" si="14"/>
        <v>1378.7586206896553</v>
      </c>
      <c r="AA36" s="25">
        <f t="shared" si="15"/>
        <v>0.97526042930657997</v>
      </c>
      <c r="AB36" s="1"/>
    </row>
    <row r="37" spans="2:28" ht="18" x14ac:dyDescent="0.25">
      <c r="B37" s="3">
        <v>5</v>
      </c>
      <c r="C37" s="7">
        <v>239266</v>
      </c>
      <c r="D37" s="7">
        <v>482127</v>
      </c>
      <c r="E37" s="9">
        <v>158378</v>
      </c>
      <c r="F37" s="8">
        <f t="shared" si="0"/>
        <v>879771</v>
      </c>
      <c r="G37" s="23">
        <f t="shared" si="1"/>
        <v>879597.0625</v>
      </c>
      <c r="H37" s="7">
        <f t="shared" si="2"/>
        <v>879613.52083333337</v>
      </c>
      <c r="I37" s="7">
        <v>282734</v>
      </c>
      <c r="J37" s="6">
        <f t="shared" si="3"/>
        <v>79</v>
      </c>
      <c r="K37" s="6">
        <f t="shared" si="3"/>
        <v>79</v>
      </c>
      <c r="L37" s="6">
        <f t="shared" si="3"/>
        <v>95</v>
      </c>
      <c r="M37" s="6">
        <f t="shared" si="16"/>
        <v>29</v>
      </c>
      <c r="N37" s="5">
        <f t="shared" si="4"/>
        <v>68.275862068965523</v>
      </c>
      <c r="O37" s="3">
        <f t="shared" si="5"/>
        <v>95</v>
      </c>
      <c r="P37" s="5">
        <f t="shared" si="6"/>
        <v>-26.724137931034477</v>
      </c>
      <c r="Q37" s="5">
        <f t="shared" si="7"/>
        <v>16.458333333372138</v>
      </c>
      <c r="R37" s="7">
        <f t="shared" si="8"/>
        <v>413.79310344827587</v>
      </c>
      <c r="S37" s="6">
        <f t="shared" si="9"/>
        <v>253</v>
      </c>
      <c r="T37" s="7">
        <f t="shared" si="10"/>
        <v>160.79310344827587</v>
      </c>
      <c r="U37" s="7">
        <f t="shared" si="11"/>
        <v>341.37931034482762</v>
      </c>
      <c r="V37" s="6">
        <f t="shared" si="11"/>
        <v>221</v>
      </c>
      <c r="W37" s="7">
        <f t="shared" si="12"/>
        <v>120.37931034482762</v>
      </c>
      <c r="X37" s="7">
        <f t="shared" si="13"/>
        <v>2068.9655172413795</v>
      </c>
      <c r="Y37" s="7">
        <f t="shared" si="13"/>
        <v>804</v>
      </c>
      <c r="Z37" s="7">
        <f t="shared" si="14"/>
        <v>1264.9655172413795</v>
      </c>
      <c r="AA37" s="25">
        <f t="shared" si="15"/>
        <v>0.99349464588942216</v>
      </c>
      <c r="AB37" s="1"/>
    </row>
    <row r="38" spans="2:28" ht="18" x14ac:dyDescent="0.25">
      <c r="B38" s="3">
        <v>4</v>
      </c>
      <c r="C38" s="7">
        <f>C39+33</f>
        <v>239187</v>
      </c>
      <c r="D38" s="7">
        <f>D39+76</f>
        <v>482048</v>
      </c>
      <c r="E38" s="9">
        <f>E39+31</f>
        <v>158283</v>
      </c>
      <c r="F38" s="8">
        <f t="shared" si="0"/>
        <v>879518</v>
      </c>
      <c r="G38" s="23">
        <f t="shared" si="1"/>
        <v>879421.75</v>
      </c>
      <c r="H38" s="7">
        <f t="shared" si="2"/>
        <v>879437.58333333337</v>
      </c>
      <c r="I38" s="7">
        <f>I39+30</f>
        <v>282705</v>
      </c>
      <c r="J38" s="6">
        <f t="shared" si="3"/>
        <v>33</v>
      </c>
      <c r="K38" s="6">
        <f t="shared" si="3"/>
        <v>76</v>
      </c>
      <c r="L38" s="6">
        <f t="shared" si="3"/>
        <v>31</v>
      </c>
      <c r="M38" s="6">
        <f t="shared" si="16"/>
        <v>30</v>
      </c>
      <c r="N38" s="5">
        <f t="shared" si="4"/>
        <v>68.275862068965523</v>
      </c>
      <c r="O38" s="3">
        <f t="shared" si="5"/>
        <v>31</v>
      </c>
      <c r="P38" s="5">
        <f t="shared" si="6"/>
        <v>37.275862068965523</v>
      </c>
      <c r="Q38" s="5">
        <f t="shared" si="7"/>
        <v>15.833333333372138</v>
      </c>
      <c r="R38" s="7">
        <f t="shared" si="8"/>
        <v>413.79310344827587</v>
      </c>
      <c r="S38" s="6">
        <f t="shared" si="9"/>
        <v>140</v>
      </c>
      <c r="T38" s="7">
        <f t="shared" si="10"/>
        <v>273.79310344827587</v>
      </c>
      <c r="U38" s="7">
        <f t="shared" si="11"/>
        <v>273.10344827586209</v>
      </c>
      <c r="V38" s="6">
        <f t="shared" si="11"/>
        <v>126</v>
      </c>
      <c r="W38" s="7">
        <f t="shared" si="12"/>
        <v>147.10344827586209</v>
      </c>
      <c r="X38" s="7">
        <f t="shared" si="13"/>
        <v>1655.1724137931035</v>
      </c>
      <c r="Y38" s="7">
        <f t="shared" si="13"/>
        <v>551</v>
      </c>
      <c r="Z38" s="7">
        <f t="shared" si="14"/>
        <v>1104.1724137931035</v>
      </c>
      <c r="AA38" s="25">
        <f t="shared" si="15"/>
        <v>0.97780241407740953</v>
      </c>
      <c r="AB38" s="1"/>
    </row>
    <row r="39" spans="2:28" ht="18" x14ac:dyDescent="0.25">
      <c r="B39" s="3">
        <v>3</v>
      </c>
      <c r="C39" s="7">
        <f>C40+39</f>
        <v>239154</v>
      </c>
      <c r="D39" s="7">
        <f>D40+77</f>
        <v>481972</v>
      </c>
      <c r="E39" s="9">
        <f>E40+29</f>
        <v>158252</v>
      </c>
      <c r="F39" s="8">
        <f t="shared" si="0"/>
        <v>879378</v>
      </c>
      <c r="G39" s="23">
        <f t="shared" si="1"/>
        <v>879278.3125</v>
      </c>
      <c r="H39" s="7">
        <f t="shared" si="2"/>
        <v>879294.35416666663</v>
      </c>
      <c r="I39" s="7">
        <f>I40+28</f>
        <v>282675</v>
      </c>
      <c r="J39" s="6">
        <f t="shared" si="3"/>
        <v>39</v>
      </c>
      <c r="K39" s="6">
        <f t="shared" si="3"/>
        <v>77</v>
      </c>
      <c r="L39" s="6">
        <f t="shared" si="3"/>
        <v>29</v>
      </c>
      <c r="M39" s="6">
        <f t="shared" si="16"/>
        <v>28</v>
      </c>
      <c r="N39" s="5">
        <f t="shared" si="4"/>
        <v>68.275862068965523</v>
      </c>
      <c r="O39" s="3">
        <f t="shared" si="5"/>
        <v>29</v>
      </c>
      <c r="P39" s="5">
        <f t="shared" si="6"/>
        <v>39.275862068965523</v>
      </c>
      <c r="Q39" s="5">
        <f t="shared" si="7"/>
        <v>16.041666666627862</v>
      </c>
      <c r="R39" s="7">
        <f t="shared" si="8"/>
        <v>413.79310344827587</v>
      </c>
      <c r="S39" s="6">
        <f t="shared" si="9"/>
        <v>145</v>
      </c>
      <c r="T39" s="7">
        <f t="shared" si="10"/>
        <v>268.79310344827587</v>
      </c>
      <c r="U39" s="7">
        <f t="shared" si="11"/>
        <v>204.82758620689657</v>
      </c>
      <c r="V39" s="6">
        <f t="shared" si="11"/>
        <v>95</v>
      </c>
      <c r="W39" s="7">
        <f t="shared" si="12"/>
        <v>109.82758620689657</v>
      </c>
      <c r="X39" s="7">
        <f t="shared" si="13"/>
        <v>1241.3793103448277</v>
      </c>
      <c r="Y39" s="7">
        <f t="shared" si="13"/>
        <v>411</v>
      </c>
      <c r="Z39" s="7">
        <f t="shared" si="14"/>
        <v>830.37931034482767</v>
      </c>
      <c r="AA39" s="25">
        <f t="shared" si="15"/>
        <v>0.98186126227472925</v>
      </c>
      <c r="AB39" s="1"/>
    </row>
    <row r="40" spans="2:28" ht="18" x14ac:dyDescent="0.25">
      <c r="B40" s="3">
        <v>2</v>
      </c>
      <c r="C40" s="7">
        <f>C41+32</f>
        <v>239115</v>
      </c>
      <c r="D40" s="7">
        <f>D41+70</f>
        <v>481895</v>
      </c>
      <c r="E40" s="9">
        <f>E41+34</f>
        <v>158223</v>
      </c>
      <c r="F40" s="8">
        <f t="shared" si="0"/>
        <v>879233</v>
      </c>
      <c r="G40" s="23">
        <f t="shared" si="1"/>
        <v>879139.5</v>
      </c>
      <c r="H40" s="7">
        <f t="shared" si="2"/>
        <v>879154.08333333337</v>
      </c>
      <c r="I40" s="7">
        <f>I41+24</f>
        <v>282647</v>
      </c>
      <c r="J40" s="6">
        <f t="shared" si="3"/>
        <v>32</v>
      </c>
      <c r="K40" s="6">
        <f t="shared" si="3"/>
        <v>70</v>
      </c>
      <c r="L40" s="6">
        <f t="shared" si="3"/>
        <v>34</v>
      </c>
      <c r="M40" s="6">
        <f t="shared" si="16"/>
        <v>24</v>
      </c>
      <c r="N40" s="5">
        <f t="shared" si="4"/>
        <v>68.275862068965523</v>
      </c>
      <c r="O40" s="3">
        <f t="shared" si="5"/>
        <v>34</v>
      </c>
      <c r="P40" s="5">
        <f t="shared" si="6"/>
        <v>34.275862068965523</v>
      </c>
      <c r="Q40" s="5">
        <f t="shared" si="7"/>
        <v>14.583333333372138</v>
      </c>
      <c r="R40" s="7">
        <f>R41</f>
        <v>413.79310344827587</v>
      </c>
      <c r="S40" s="6">
        <f t="shared" si="9"/>
        <v>136</v>
      </c>
      <c r="T40" s="7">
        <f t="shared" si="10"/>
        <v>277.79310344827587</v>
      </c>
      <c r="U40" s="7">
        <f t="shared" si="11"/>
        <v>136.55172413793105</v>
      </c>
      <c r="V40" s="6">
        <f t="shared" si="11"/>
        <v>66</v>
      </c>
      <c r="W40" s="7">
        <f t="shared" si="12"/>
        <v>70.551724137931046</v>
      </c>
      <c r="X40" s="7">
        <f t="shared" si="13"/>
        <v>827.58620689655174</v>
      </c>
      <c r="Y40" s="7">
        <f t="shared" si="13"/>
        <v>266</v>
      </c>
      <c r="Z40" s="7">
        <f t="shared" si="14"/>
        <v>561.58620689655174</v>
      </c>
      <c r="AA40" s="25">
        <f t="shared" si="15"/>
        <v>0.98478355881793678</v>
      </c>
      <c r="AB40" s="1"/>
    </row>
    <row r="41" spans="2:28" ht="18" x14ac:dyDescent="0.25">
      <c r="B41" s="3">
        <v>1</v>
      </c>
      <c r="C41" s="7">
        <f>C42+30</f>
        <v>239083</v>
      </c>
      <c r="D41" s="7">
        <f>D42+68</f>
        <v>481825</v>
      </c>
      <c r="E41" s="9">
        <f>E42+32</f>
        <v>158189</v>
      </c>
      <c r="F41" s="8">
        <f>C41+D41+E41</f>
        <v>879097</v>
      </c>
      <c r="G41" s="23">
        <f>(C42+D42+E42)+((S41/24)*7.5)</f>
        <v>879007.625</v>
      </c>
      <c r="H41" s="7">
        <f>G41+((K41/12)*2.5)</f>
        <v>879021.79166666663</v>
      </c>
      <c r="I41" s="7">
        <f>I42+26</f>
        <v>282623</v>
      </c>
      <c r="J41" s="6">
        <f t="shared" si="3"/>
        <v>30</v>
      </c>
      <c r="K41" s="6">
        <f t="shared" si="3"/>
        <v>68</v>
      </c>
      <c r="L41" s="6">
        <f t="shared" si="3"/>
        <v>32</v>
      </c>
      <c r="M41" s="6">
        <f t="shared" si="16"/>
        <v>26</v>
      </c>
      <c r="N41" s="44">
        <f>O6/29</f>
        <v>68.275862068965523</v>
      </c>
      <c r="O41" s="3">
        <f t="shared" si="5"/>
        <v>32</v>
      </c>
      <c r="P41" s="5">
        <f t="shared" si="6"/>
        <v>36.275862068965523</v>
      </c>
      <c r="Q41" s="5">
        <f t="shared" si="7"/>
        <v>14.166666666627862</v>
      </c>
      <c r="R41" s="46">
        <f>S6/29</f>
        <v>413.79310344827587</v>
      </c>
      <c r="S41" s="6">
        <f t="shared" si="9"/>
        <v>130</v>
      </c>
      <c r="T41" s="7">
        <f t="shared" si="10"/>
        <v>283.79310344827587</v>
      </c>
      <c r="U41" s="7">
        <f>N41</f>
        <v>68.275862068965523</v>
      </c>
      <c r="V41" s="6">
        <f>O41</f>
        <v>32</v>
      </c>
      <c r="W41" s="7">
        <f t="shared" si="12"/>
        <v>36.275862068965523</v>
      </c>
      <c r="X41" s="7">
        <f>R41</f>
        <v>413.79310344827587</v>
      </c>
      <c r="Y41" s="7">
        <f>S41</f>
        <v>130</v>
      </c>
      <c r="Z41" s="7">
        <f t="shared" si="14"/>
        <v>283.79310344827587</v>
      </c>
      <c r="AA41" s="25">
        <f t="shared" si="15"/>
        <v>0.98058067569092011</v>
      </c>
      <c r="AB41" s="1"/>
    </row>
    <row r="42" spans="2:28" ht="54" x14ac:dyDescent="0.25">
      <c r="B42" s="34" t="s">
        <v>13</v>
      </c>
      <c r="C42" s="8">
        <v>239053</v>
      </c>
      <c r="D42" s="8">
        <v>481757</v>
      </c>
      <c r="E42" s="8">
        <v>158157</v>
      </c>
      <c r="F42" s="8">
        <v>878967</v>
      </c>
      <c r="G42" s="10">
        <v>878850.125</v>
      </c>
      <c r="H42" s="10">
        <v>878871.58333333337</v>
      </c>
      <c r="I42" s="8">
        <v>282597</v>
      </c>
      <c r="J42" s="11"/>
      <c r="K42" s="11"/>
      <c r="L42" s="11"/>
      <c r="M42" s="47">
        <f>SUM(M13:M41)</f>
        <v>977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2:28" ht="18" x14ac:dyDescent="0.25"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2:28" ht="18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2:28" ht="15.75" customHeight="1" x14ac:dyDescent="0.25">
      <c r="B45" s="4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40"/>
      <c r="R45" s="63"/>
      <c r="S45" s="63"/>
      <c r="T45" s="63"/>
      <c r="U45" s="63"/>
      <c r="V45" s="63"/>
      <c r="W45" s="63"/>
      <c r="X45" s="11"/>
      <c r="Y45" s="11"/>
      <c r="Z45" s="11"/>
      <c r="AA45" s="11"/>
      <c r="AB45" s="40"/>
    </row>
    <row r="51" spans="26:27" ht="18" x14ac:dyDescent="0.25">
      <c r="Z51" s="11" t="s">
        <v>38</v>
      </c>
    </row>
    <row r="52" spans="26:27" ht="18" x14ac:dyDescent="0.25">
      <c r="Z52" s="11" t="s">
        <v>44</v>
      </c>
      <c r="AA52" s="11"/>
    </row>
    <row r="53" spans="26:27" ht="18" x14ac:dyDescent="0.25">
      <c r="Z53" s="11" t="s">
        <v>45</v>
      </c>
      <c r="AA53" s="11"/>
    </row>
    <row r="54" spans="26:27" ht="18" x14ac:dyDescent="0.25">
      <c r="Z54" s="11" t="s">
        <v>12</v>
      </c>
      <c r="AA54" s="11"/>
    </row>
  </sheetData>
  <mergeCells count="15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  <mergeCell ref="C45:I45"/>
    <mergeCell ref="J45:M45"/>
    <mergeCell ref="N45:P45"/>
    <mergeCell ref="R45:T45"/>
    <mergeCell ref="U45:W45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B51"/>
  <sheetViews>
    <sheetView zoomScale="70" zoomScaleNormal="70" zoomScaleSheetLayoutView="93" workbookViewId="0">
      <pane ySplit="8" topLeftCell="A9" activePane="bottomLeft" state="frozen"/>
      <selection pane="bottomLeft" activeCell="F23" sqref="F23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3.85546875" bestFit="1" customWidth="1"/>
    <col min="5" max="5" width="11.42578125" customWidth="1"/>
    <col min="6" max="6" width="12.28515625" customWidth="1"/>
    <col min="7" max="7" width="13.28515625" customWidth="1"/>
    <col min="8" max="8" width="13.5703125" customWidth="1"/>
    <col min="9" max="9" width="12.28515625" bestFit="1" customWidth="1"/>
    <col min="16" max="16" width="13.42578125" bestFit="1" customWidth="1"/>
    <col min="17" max="17" width="13.140625" customWidth="1"/>
    <col min="19" max="19" width="13.71093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7" t="s">
        <v>29</v>
      </c>
    </row>
    <row r="3" spans="2:28" ht="15.75" customHeight="1" x14ac:dyDescent="0.25">
      <c r="G3" s="27" t="s">
        <v>28</v>
      </c>
    </row>
    <row r="4" spans="2:28" ht="15.75" customHeight="1" x14ac:dyDescent="0.3">
      <c r="G4" s="28" t="s">
        <v>30</v>
      </c>
      <c r="N4" s="29">
        <f>'Ciencia A'!N4</f>
        <v>45323</v>
      </c>
    </row>
    <row r="5" spans="2:28" x14ac:dyDescent="0.25">
      <c r="C5" s="58" t="s">
        <v>36</v>
      </c>
      <c r="D5" s="58"/>
      <c r="T5" s="53"/>
      <c r="U5" s="53" t="s">
        <v>42</v>
      </c>
      <c r="V5" s="53" t="s">
        <v>43</v>
      </c>
    </row>
    <row r="6" spans="2:28" ht="15.75" x14ac:dyDescent="0.25">
      <c r="N6" s="14" t="s">
        <v>27</v>
      </c>
      <c r="O6" s="30">
        <f>S6*16.5%</f>
        <v>4290</v>
      </c>
      <c r="P6" s="31" t="s">
        <v>26</v>
      </c>
      <c r="Q6" s="12">
        <f>(S6*8)/100</f>
        <v>2080</v>
      </c>
      <c r="R6" s="14" t="s">
        <v>25</v>
      </c>
      <c r="S6" s="12">
        <v>26000</v>
      </c>
      <c r="T6" s="53" t="s">
        <v>41</v>
      </c>
      <c r="U6" s="53">
        <v>415.38</v>
      </c>
      <c r="V6" s="52">
        <f>U6/30</f>
        <v>13.846</v>
      </c>
    </row>
    <row r="7" spans="2:28" ht="46.5" customHeight="1" x14ac:dyDescent="0.25">
      <c r="B7" s="61" t="s">
        <v>24</v>
      </c>
      <c r="C7" s="59"/>
      <c r="D7" s="59"/>
      <c r="E7" s="59"/>
      <c r="F7" s="59"/>
      <c r="G7" s="59"/>
      <c r="H7" s="59"/>
      <c r="I7" s="59"/>
      <c r="J7" s="59" t="s">
        <v>23</v>
      </c>
      <c r="K7" s="59"/>
      <c r="L7" s="59"/>
      <c r="M7" s="59"/>
      <c r="N7" s="59" t="s">
        <v>22</v>
      </c>
      <c r="O7" s="59"/>
      <c r="P7" s="59"/>
      <c r="Q7" s="60" t="s">
        <v>21</v>
      </c>
      <c r="R7" s="59" t="s">
        <v>20</v>
      </c>
      <c r="S7" s="59"/>
      <c r="T7" s="59"/>
      <c r="U7" s="59" t="s">
        <v>10</v>
      </c>
      <c r="V7" s="59"/>
      <c r="W7" s="59"/>
      <c r="X7" s="59" t="s">
        <v>11</v>
      </c>
      <c r="Y7" s="59"/>
      <c r="Z7" s="59"/>
      <c r="AA7" s="59"/>
      <c r="AB7" s="60" t="s">
        <v>8</v>
      </c>
    </row>
    <row r="8" spans="2:28" ht="30" x14ac:dyDescent="0.25">
      <c r="B8" s="61"/>
      <c r="C8" s="15" t="s">
        <v>1</v>
      </c>
      <c r="D8" s="15" t="s">
        <v>0</v>
      </c>
      <c r="E8" s="15" t="s">
        <v>2</v>
      </c>
      <c r="F8" s="15" t="s">
        <v>19</v>
      </c>
      <c r="G8" s="15" t="s">
        <v>18</v>
      </c>
      <c r="H8" s="15" t="s">
        <v>17</v>
      </c>
      <c r="I8" s="15" t="s">
        <v>3</v>
      </c>
      <c r="J8" s="15" t="s">
        <v>1</v>
      </c>
      <c r="K8" s="15" t="s">
        <v>0</v>
      </c>
      <c r="L8" s="15" t="s">
        <v>2</v>
      </c>
      <c r="M8" s="15" t="s">
        <v>3</v>
      </c>
      <c r="N8" s="15" t="s">
        <v>4</v>
      </c>
      <c r="O8" s="15" t="s">
        <v>5</v>
      </c>
      <c r="P8" s="15" t="s">
        <v>16</v>
      </c>
      <c r="Q8" s="60"/>
      <c r="R8" s="15" t="s">
        <v>6</v>
      </c>
      <c r="S8" s="15" t="s">
        <v>15</v>
      </c>
      <c r="T8" s="15" t="s">
        <v>16</v>
      </c>
      <c r="U8" s="15" t="s">
        <v>4</v>
      </c>
      <c r="V8" s="15" t="s">
        <v>5</v>
      </c>
      <c r="W8" s="15" t="s">
        <v>16</v>
      </c>
      <c r="X8" s="15" t="s">
        <v>6</v>
      </c>
      <c r="Y8" s="15" t="s">
        <v>15</v>
      </c>
      <c r="Z8" s="32" t="s">
        <v>14</v>
      </c>
      <c r="AA8" s="15" t="s">
        <v>7</v>
      </c>
      <c r="AB8" s="60"/>
    </row>
    <row r="9" spans="2:28" x14ac:dyDescent="0.25">
      <c r="B9" s="33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3"/>
      <c r="H11" s="7"/>
      <c r="I11" s="7"/>
      <c r="J11" s="6"/>
      <c r="K11" s="6"/>
      <c r="L11" s="6"/>
      <c r="M11" s="6"/>
      <c r="N11" s="5"/>
      <c r="O11" s="24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5"/>
      <c r="AB11" s="26"/>
    </row>
    <row r="12" spans="2:28" ht="18" x14ac:dyDescent="0.25">
      <c r="B12" s="3"/>
      <c r="C12" s="7"/>
      <c r="D12" s="7"/>
      <c r="E12" s="9"/>
      <c r="F12" s="8"/>
      <c r="G12" s="23"/>
      <c r="H12" s="7"/>
      <c r="I12" s="7"/>
      <c r="J12" s="6"/>
      <c r="K12" s="6"/>
      <c r="L12" s="6"/>
      <c r="M12" s="6"/>
      <c r="N12" s="5"/>
      <c r="O12" s="24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5"/>
      <c r="AB12" s="26"/>
    </row>
    <row r="13" spans="2:28" ht="18" x14ac:dyDescent="0.25">
      <c r="B13" s="3">
        <v>29</v>
      </c>
      <c r="C13" s="7">
        <v>666791</v>
      </c>
      <c r="D13" s="7">
        <v>1337348</v>
      </c>
      <c r="E13" s="9">
        <v>447685</v>
      </c>
      <c r="F13" s="8">
        <f t="shared" ref="F11:F41" si="0">C13+D13+E13</f>
        <v>2451824</v>
      </c>
      <c r="G13" s="23">
        <f t="shared" ref="G11:G40" si="1">(C14+D14+E14)+((S13/24)*7.5)</f>
        <v>2451699.5625</v>
      </c>
      <c r="H13" s="7">
        <f t="shared" ref="H11:H40" si="2">G13+((K13/12)*1.5)</f>
        <v>2451705.4375</v>
      </c>
      <c r="I13" s="7">
        <v>781228</v>
      </c>
      <c r="J13" s="6">
        <f t="shared" ref="J13:L41" si="3">C13-C14</f>
        <v>49</v>
      </c>
      <c r="K13" s="6">
        <f t="shared" si="3"/>
        <v>47</v>
      </c>
      <c r="L13" s="6">
        <f t="shared" si="3"/>
        <v>85</v>
      </c>
      <c r="M13" s="6">
        <f t="shared" ref="M12:M41" si="4">I13-I14</f>
        <v>35</v>
      </c>
      <c r="N13" s="5">
        <f t="shared" ref="N11:N40" si="5">N14</f>
        <v>147.93103448275863</v>
      </c>
      <c r="O13" s="24">
        <f t="shared" ref="O13:O41" si="6">L13</f>
        <v>85</v>
      </c>
      <c r="P13" s="5">
        <f t="shared" ref="P13:P41" si="7">N13-O13</f>
        <v>62.931034482758633</v>
      </c>
      <c r="Q13" s="5">
        <f t="shared" ref="Q11:Q41" si="8">H13-G13</f>
        <v>5.875</v>
      </c>
      <c r="R13" s="7">
        <f t="shared" ref="R11:R39" si="9">R14</f>
        <v>896.55172413793105</v>
      </c>
      <c r="S13" s="6">
        <f t="shared" ref="S13:S41" si="10">J13+K13+L13</f>
        <v>181</v>
      </c>
      <c r="T13" s="7">
        <f t="shared" ref="T13:T41" si="11">R13-S13</f>
        <v>715.55172413793105</v>
      </c>
      <c r="U13" s="7">
        <f t="shared" ref="U13:V40" si="12">U14+N13</f>
        <v>4290.0000000000009</v>
      </c>
      <c r="V13" s="7">
        <f t="shared" si="12"/>
        <v>2608</v>
      </c>
      <c r="W13" s="7">
        <f t="shared" ref="W13:W41" si="13">U13-V13</f>
        <v>1682.0000000000009</v>
      </c>
      <c r="X13" s="7">
        <f t="shared" ref="X13:Y40" si="14">X14+R13</f>
        <v>26000</v>
      </c>
      <c r="Y13" s="7">
        <f t="shared" si="14"/>
        <v>11019</v>
      </c>
      <c r="Z13" s="7">
        <f t="shared" ref="Z13:Z41" si="15">X13-Y13</f>
        <v>14981</v>
      </c>
      <c r="AA13" s="25">
        <f t="shared" ref="AA12:AA41" si="16">COS(ATAN(M13/S13))</f>
        <v>0.98181248030560619</v>
      </c>
      <c r="AB13" s="26"/>
    </row>
    <row r="14" spans="2:28" ht="18" x14ac:dyDescent="0.25">
      <c r="B14" s="3">
        <v>28</v>
      </c>
      <c r="C14" s="7">
        <f>C15+63</f>
        <v>666742</v>
      </c>
      <c r="D14" s="7">
        <v>1337301</v>
      </c>
      <c r="E14" s="9">
        <v>447600</v>
      </c>
      <c r="F14" s="8">
        <f t="shared" si="0"/>
        <v>2451643</v>
      </c>
      <c r="G14" s="23">
        <f>(C15+D15+E15)+((S14/24)*7.5)</f>
        <v>2451539.875</v>
      </c>
      <c r="H14" s="7">
        <f>G14+((K14/12)*1.5)</f>
        <v>2451541.375</v>
      </c>
      <c r="I14" s="7">
        <v>781193</v>
      </c>
      <c r="J14" s="6">
        <f t="shared" ref="J14:K19" si="17">C14-C15</f>
        <v>63</v>
      </c>
      <c r="K14" s="6">
        <f t="shared" si="17"/>
        <v>12</v>
      </c>
      <c r="L14" s="6">
        <f t="shared" si="3"/>
        <v>75</v>
      </c>
      <c r="M14" s="6">
        <f t="shared" si="4"/>
        <v>47</v>
      </c>
      <c r="N14" s="5">
        <f t="shared" si="5"/>
        <v>147.93103448275863</v>
      </c>
      <c r="O14" s="24">
        <f t="shared" si="6"/>
        <v>75</v>
      </c>
      <c r="P14" s="5">
        <f t="shared" si="7"/>
        <v>72.931034482758633</v>
      </c>
      <c r="Q14" s="5">
        <f t="shared" si="8"/>
        <v>1.5</v>
      </c>
      <c r="R14" s="7">
        <f t="shared" si="9"/>
        <v>896.55172413793105</v>
      </c>
      <c r="S14" s="6">
        <f t="shared" si="10"/>
        <v>150</v>
      </c>
      <c r="T14" s="7">
        <f t="shared" si="11"/>
        <v>746.55172413793105</v>
      </c>
      <c r="U14" s="7">
        <f t="shared" si="12"/>
        <v>4142.0689655172418</v>
      </c>
      <c r="V14" s="7">
        <f t="shared" si="12"/>
        <v>2523</v>
      </c>
      <c r="W14" s="7">
        <f t="shared" si="13"/>
        <v>1619.0689655172418</v>
      </c>
      <c r="X14" s="7">
        <f t="shared" si="14"/>
        <v>25103.448275862069</v>
      </c>
      <c r="Y14" s="7">
        <f t="shared" si="14"/>
        <v>10838</v>
      </c>
      <c r="Z14" s="7">
        <f t="shared" si="15"/>
        <v>14265.448275862069</v>
      </c>
      <c r="AA14" s="25">
        <f t="shared" si="16"/>
        <v>0.95425330848015166</v>
      </c>
      <c r="AB14" s="26"/>
    </row>
    <row r="15" spans="2:28" ht="18" x14ac:dyDescent="0.25">
      <c r="B15" s="3">
        <v>27</v>
      </c>
      <c r="C15" s="7">
        <f>C16+151</f>
        <v>666679</v>
      </c>
      <c r="D15" s="7">
        <v>1337289</v>
      </c>
      <c r="E15" s="9">
        <f>E16+129</f>
        <v>447525</v>
      </c>
      <c r="F15" s="8">
        <f t="shared" si="0"/>
        <v>2451493</v>
      </c>
      <c r="G15" s="23">
        <f t="shared" si="1"/>
        <v>2451257.1875</v>
      </c>
      <c r="H15" s="7">
        <f>G15+((K15/12)*1.5)</f>
        <v>2451265.0625</v>
      </c>
      <c r="I15" s="7">
        <f>I16+115</f>
        <v>781146</v>
      </c>
      <c r="J15" s="6">
        <f t="shared" si="17"/>
        <v>151</v>
      </c>
      <c r="K15" s="6">
        <f t="shared" si="17"/>
        <v>63</v>
      </c>
      <c r="L15" s="6">
        <f t="shared" si="3"/>
        <v>129</v>
      </c>
      <c r="M15" s="6">
        <f t="shared" si="4"/>
        <v>115</v>
      </c>
      <c r="N15" s="5">
        <f t="shared" si="5"/>
        <v>147.93103448275863</v>
      </c>
      <c r="O15" s="24">
        <f t="shared" si="6"/>
        <v>129</v>
      </c>
      <c r="P15" s="5">
        <f t="shared" si="7"/>
        <v>18.931034482758633</v>
      </c>
      <c r="Q15" s="5">
        <f t="shared" si="8"/>
        <v>7.875</v>
      </c>
      <c r="R15" s="7">
        <f t="shared" si="9"/>
        <v>896.55172413793105</v>
      </c>
      <c r="S15" s="6">
        <f t="shared" si="10"/>
        <v>343</v>
      </c>
      <c r="T15" s="7">
        <f t="shared" si="11"/>
        <v>553.55172413793105</v>
      </c>
      <c r="U15" s="7">
        <f t="shared" si="12"/>
        <v>3994.1379310344828</v>
      </c>
      <c r="V15" s="7">
        <f t="shared" si="12"/>
        <v>2448</v>
      </c>
      <c r="W15" s="7">
        <f t="shared" si="13"/>
        <v>1546.1379310344828</v>
      </c>
      <c r="X15" s="7">
        <f t="shared" si="14"/>
        <v>24206.896551724138</v>
      </c>
      <c r="Y15" s="7">
        <f t="shared" si="14"/>
        <v>10688</v>
      </c>
      <c r="Z15" s="7">
        <f t="shared" si="15"/>
        <v>13518.896551724138</v>
      </c>
      <c r="AA15" s="25">
        <f t="shared" si="16"/>
        <v>0.94812900338359518</v>
      </c>
      <c r="AB15" s="26"/>
    </row>
    <row r="16" spans="2:28" ht="18" x14ac:dyDescent="0.25">
      <c r="B16" s="3">
        <v>26</v>
      </c>
      <c r="C16" s="7">
        <v>666528</v>
      </c>
      <c r="D16" s="7">
        <v>1337226</v>
      </c>
      <c r="E16" s="9">
        <v>447396</v>
      </c>
      <c r="F16" s="10">
        <f>C16+D16+E16</f>
        <v>2451150</v>
      </c>
      <c r="G16" s="23">
        <f t="shared" si="1"/>
        <v>2450932.0625</v>
      </c>
      <c r="H16" s="7">
        <f t="shared" si="2"/>
        <v>2450936.6875</v>
      </c>
      <c r="I16" s="7">
        <v>781031</v>
      </c>
      <c r="J16" s="6">
        <f t="shared" si="17"/>
        <v>149</v>
      </c>
      <c r="K16" s="6">
        <f t="shared" si="17"/>
        <v>37</v>
      </c>
      <c r="L16" s="6">
        <f>E16-E17</f>
        <v>131</v>
      </c>
      <c r="M16" s="6">
        <f>I16-I17</f>
        <v>118</v>
      </c>
      <c r="N16" s="5">
        <f t="shared" si="5"/>
        <v>147.93103448275863</v>
      </c>
      <c r="O16" s="3">
        <f>L16</f>
        <v>131</v>
      </c>
      <c r="P16" s="5">
        <f>N16-O16</f>
        <v>16.931034482758633</v>
      </c>
      <c r="Q16" s="5">
        <f>H16-G16</f>
        <v>4.625</v>
      </c>
      <c r="R16" s="7">
        <f t="shared" si="9"/>
        <v>896.55172413793105</v>
      </c>
      <c r="S16" s="6">
        <f>J16+K16+L16</f>
        <v>317</v>
      </c>
      <c r="T16" s="7">
        <f>R16-S16</f>
        <v>579.55172413793105</v>
      </c>
      <c r="U16" s="7">
        <f t="shared" ref="U16:V19" si="18">U17+N16</f>
        <v>3846.2068965517242</v>
      </c>
      <c r="V16" s="7">
        <f t="shared" si="18"/>
        <v>2319</v>
      </c>
      <c r="W16" s="7">
        <f>U16-V16</f>
        <v>1527.2068965517242</v>
      </c>
      <c r="X16" s="7">
        <f t="shared" ref="X16:Y19" si="19">X17+R16</f>
        <v>23310.344827586207</v>
      </c>
      <c r="Y16" s="7">
        <f t="shared" si="19"/>
        <v>10345</v>
      </c>
      <c r="Z16" s="7">
        <f>X16-Y16</f>
        <v>12965.344827586207</v>
      </c>
      <c r="AA16" s="25">
        <f>COS(ATAN(M16/S16))</f>
        <v>0.9371769004678302</v>
      </c>
      <c r="AB16" s="26"/>
    </row>
    <row r="17" spans="2:28" ht="18" x14ac:dyDescent="0.25">
      <c r="B17" s="3">
        <v>25</v>
      </c>
      <c r="C17" s="7">
        <f>C18+142</f>
        <v>666379</v>
      </c>
      <c r="D17" s="7">
        <v>1337189</v>
      </c>
      <c r="E17" s="9">
        <f>E18+139</f>
        <v>447265</v>
      </c>
      <c r="F17" s="8">
        <f t="shared" si="0"/>
        <v>2450833</v>
      </c>
      <c r="G17" s="23">
        <f t="shared" si="1"/>
        <v>2450597.1875</v>
      </c>
      <c r="H17" s="7">
        <f t="shared" si="2"/>
        <v>2450604.9375</v>
      </c>
      <c r="I17" s="7">
        <f>I18+101</f>
        <v>780913</v>
      </c>
      <c r="J17" s="6">
        <f t="shared" si="17"/>
        <v>142</v>
      </c>
      <c r="K17" s="6">
        <f t="shared" si="17"/>
        <v>62</v>
      </c>
      <c r="L17" s="6">
        <f>E17-E18</f>
        <v>139</v>
      </c>
      <c r="M17" s="6">
        <f>I17-I18</f>
        <v>101</v>
      </c>
      <c r="N17" s="5">
        <f t="shared" si="5"/>
        <v>147.93103448275863</v>
      </c>
      <c r="O17" s="3">
        <f>L17</f>
        <v>139</v>
      </c>
      <c r="P17" s="5">
        <f>N17-O17</f>
        <v>8.9310344827586334</v>
      </c>
      <c r="Q17" s="5">
        <f>H17-G17</f>
        <v>7.75</v>
      </c>
      <c r="R17" s="7">
        <f t="shared" si="9"/>
        <v>896.55172413793105</v>
      </c>
      <c r="S17" s="6">
        <f>J17+K17+L17</f>
        <v>343</v>
      </c>
      <c r="T17" s="7">
        <f>R17-S17</f>
        <v>553.55172413793105</v>
      </c>
      <c r="U17" s="7">
        <f t="shared" si="18"/>
        <v>3698.2758620689656</v>
      </c>
      <c r="V17" s="7">
        <f t="shared" si="18"/>
        <v>2188</v>
      </c>
      <c r="W17" s="7">
        <f>U17-V17</f>
        <v>1510.2758620689656</v>
      </c>
      <c r="X17" s="7">
        <f t="shared" si="19"/>
        <v>22413.793103448275</v>
      </c>
      <c r="Y17" s="7">
        <f t="shared" si="19"/>
        <v>10028</v>
      </c>
      <c r="Z17" s="7">
        <f>X17-Y17</f>
        <v>12385.793103448275</v>
      </c>
      <c r="AA17" s="25">
        <f>COS(ATAN(M17/S17))</f>
        <v>0.95927638612779442</v>
      </c>
      <c r="AB17" s="26"/>
    </row>
    <row r="18" spans="2:28" ht="18" x14ac:dyDescent="0.25">
      <c r="B18" s="3">
        <v>24</v>
      </c>
      <c r="C18" s="7">
        <f>C19+24</f>
        <v>666237</v>
      </c>
      <c r="D18" s="7">
        <f>D19+362</f>
        <v>1337127</v>
      </c>
      <c r="E18" s="9">
        <f>E19+27</f>
        <v>447126</v>
      </c>
      <c r="F18" s="8">
        <f t="shared" si="0"/>
        <v>2450490</v>
      </c>
      <c r="G18" s="23">
        <f t="shared" si="1"/>
        <v>2450206.0625</v>
      </c>
      <c r="H18" s="7">
        <f t="shared" si="2"/>
        <v>2450251.3125</v>
      </c>
      <c r="I18" s="7">
        <f>I19+28</f>
        <v>780812</v>
      </c>
      <c r="J18" s="6">
        <f t="shared" si="17"/>
        <v>24</v>
      </c>
      <c r="K18" s="6">
        <f t="shared" si="17"/>
        <v>362</v>
      </c>
      <c r="L18" s="6">
        <f>E18-E19</f>
        <v>27</v>
      </c>
      <c r="M18" s="6">
        <f>I18-I19</f>
        <v>28</v>
      </c>
      <c r="N18" s="5">
        <f t="shared" si="5"/>
        <v>147.93103448275863</v>
      </c>
      <c r="O18" s="3">
        <f>L18</f>
        <v>27</v>
      </c>
      <c r="P18" s="5">
        <f>N18-O18</f>
        <v>120.93103448275863</v>
      </c>
      <c r="Q18" s="5">
        <f>H18-G18</f>
        <v>45.25</v>
      </c>
      <c r="R18" s="7">
        <f t="shared" si="9"/>
        <v>896.55172413793105</v>
      </c>
      <c r="S18" s="6">
        <f>J18+K18+L18</f>
        <v>413</v>
      </c>
      <c r="T18" s="7">
        <f>R18-S18</f>
        <v>483.55172413793105</v>
      </c>
      <c r="U18" s="7">
        <f t="shared" si="18"/>
        <v>3550.344827586207</v>
      </c>
      <c r="V18" s="7">
        <f t="shared" si="18"/>
        <v>2049</v>
      </c>
      <c r="W18" s="7">
        <f>U18-V18</f>
        <v>1501.344827586207</v>
      </c>
      <c r="X18" s="7">
        <f t="shared" si="19"/>
        <v>21517.241379310344</v>
      </c>
      <c r="Y18" s="7">
        <f t="shared" si="19"/>
        <v>9685</v>
      </c>
      <c r="Z18" s="7">
        <f>X18-Y18</f>
        <v>11832.241379310344</v>
      </c>
      <c r="AA18" s="25">
        <f>COS(ATAN(M18/S18))</f>
        <v>0.9977097021176764</v>
      </c>
      <c r="AB18" s="26"/>
    </row>
    <row r="19" spans="2:28" ht="18" x14ac:dyDescent="0.25">
      <c r="B19" s="3">
        <v>23</v>
      </c>
      <c r="C19" s="7">
        <f>C20+33</f>
        <v>666213</v>
      </c>
      <c r="D19" s="7">
        <f>D20+359</f>
        <v>1336765</v>
      </c>
      <c r="E19" s="9">
        <f>E20+30</f>
        <v>447099</v>
      </c>
      <c r="F19" s="8">
        <f t="shared" si="0"/>
        <v>2450077</v>
      </c>
      <c r="G19" s="23">
        <f t="shared" si="1"/>
        <v>2449786.875</v>
      </c>
      <c r="H19" s="7">
        <f t="shared" si="2"/>
        <v>2449831.75</v>
      </c>
      <c r="I19" s="7">
        <f>I20+34</f>
        <v>780784</v>
      </c>
      <c r="J19" s="6">
        <f t="shared" si="17"/>
        <v>33</v>
      </c>
      <c r="K19" s="6">
        <f t="shared" si="17"/>
        <v>359</v>
      </c>
      <c r="L19" s="6">
        <f>E19-E20</f>
        <v>30</v>
      </c>
      <c r="M19" s="6">
        <f>I19-I20</f>
        <v>34</v>
      </c>
      <c r="N19" s="5">
        <f t="shared" si="5"/>
        <v>147.93103448275863</v>
      </c>
      <c r="O19" s="3">
        <f>L19</f>
        <v>30</v>
      </c>
      <c r="P19" s="5">
        <f>N19-O19</f>
        <v>117.93103448275863</v>
      </c>
      <c r="Q19" s="5">
        <f>H19-G19</f>
        <v>44.875</v>
      </c>
      <c r="R19" s="7">
        <f t="shared" si="9"/>
        <v>896.55172413793105</v>
      </c>
      <c r="S19" s="6">
        <f>J19+K19+L19</f>
        <v>422</v>
      </c>
      <c r="T19" s="7">
        <f>R19-S19</f>
        <v>474.55172413793105</v>
      </c>
      <c r="U19" s="7">
        <f t="shared" si="18"/>
        <v>3402.4137931034484</v>
      </c>
      <c r="V19" s="7">
        <f t="shared" si="18"/>
        <v>2022</v>
      </c>
      <c r="W19" s="7">
        <f>U19-V19</f>
        <v>1380.4137931034484</v>
      </c>
      <c r="X19" s="7">
        <f t="shared" si="19"/>
        <v>20620.689655172413</v>
      </c>
      <c r="Y19" s="7">
        <f t="shared" si="19"/>
        <v>9272</v>
      </c>
      <c r="Z19" s="7">
        <f>X19-Y19</f>
        <v>11348.689655172413</v>
      </c>
      <c r="AA19" s="25">
        <f>COS(ATAN(M19/S19))</f>
        <v>0.99677005711094524</v>
      </c>
      <c r="AB19" s="1"/>
    </row>
    <row r="20" spans="2:28" ht="18" x14ac:dyDescent="0.25">
      <c r="B20" s="3">
        <v>22</v>
      </c>
      <c r="C20" s="7">
        <v>666180</v>
      </c>
      <c r="D20" s="7">
        <v>1336406</v>
      </c>
      <c r="E20" s="9">
        <v>447069</v>
      </c>
      <c r="F20" s="8">
        <f t="shared" si="0"/>
        <v>2449655</v>
      </c>
      <c r="G20" s="23">
        <f t="shared" si="1"/>
        <v>2449410.9375</v>
      </c>
      <c r="H20" s="7">
        <f t="shared" si="2"/>
        <v>2449439.8125</v>
      </c>
      <c r="I20" s="7">
        <v>780750</v>
      </c>
      <c r="J20" s="6">
        <f t="shared" si="3"/>
        <v>30</v>
      </c>
      <c r="K20" s="6">
        <f t="shared" si="3"/>
        <v>231</v>
      </c>
      <c r="L20" s="6">
        <f t="shared" si="3"/>
        <v>94</v>
      </c>
      <c r="M20" s="6">
        <f t="shared" si="4"/>
        <v>57</v>
      </c>
      <c r="N20" s="5">
        <f t="shared" si="5"/>
        <v>147.93103448275863</v>
      </c>
      <c r="O20" s="3">
        <f t="shared" si="6"/>
        <v>94</v>
      </c>
      <c r="P20" s="5">
        <f t="shared" si="7"/>
        <v>53.931034482758633</v>
      </c>
      <c r="Q20" s="5">
        <f t="shared" si="8"/>
        <v>28.875</v>
      </c>
      <c r="R20" s="7">
        <f t="shared" si="9"/>
        <v>896.55172413793105</v>
      </c>
      <c r="S20" s="6">
        <f t="shared" si="10"/>
        <v>355</v>
      </c>
      <c r="T20" s="7">
        <f t="shared" si="11"/>
        <v>541.55172413793105</v>
      </c>
      <c r="U20" s="7">
        <f t="shared" si="12"/>
        <v>3254.4827586206898</v>
      </c>
      <c r="V20" s="7">
        <f t="shared" si="12"/>
        <v>1992</v>
      </c>
      <c r="W20" s="7">
        <f t="shared" si="13"/>
        <v>1262.4827586206898</v>
      </c>
      <c r="X20" s="7">
        <f t="shared" si="14"/>
        <v>19724.137931034482</v>
      </c>
      <c r="Y20" s="7">
        <f t="shared" si="14"/>
        <v>8850</v>
      </c>
      <c r="Z20" s="7">
        <f t="shared" si="15"/>
        <v>10874.137931034482</v>
      </c>
      <c r="AA20" s="25">
        <f t="shared" si="16"/>
        <v>0.98735370361685382</v>
      </c>
      <c r="AB20" s="1"/>
    </row>
    <row r="21" spans="2:28" ht="18" x14ac:dyDescent="0.25">
      <c r="B21" s="3">
        <v>21</v>
      </c>
      <c r="C21" s="7">
        <v>666150</v>
      </c>
      <c r="D21" s="7">
        <v>1336175</v>
      </c>
      <c r="E21" s="9">
        <v>446975</v>
      </c>
      <c r="F21" s="8">
        <f t="shared" si="0"/>
        <v>2449300</v>
      </c>
      <c r="G21" s="23">
        <f t="shared" si="1"/>
        <v>2448869.625</v>
      </c>
      <c r="H21" s="7">
        <f t="shared" si="2"/>
        <v>2448906.875</v>
      </c>
      <c r="I21" s="7">
        <v>780693</v>
      </c>
      <c r="J21" s="6">
        <f t="shared" si="3"/>
        <v>155</v>
      </c>
      <c r="K21" s="6">
        <f t="shared" si="3"/>
        <v>298</v>
      </c>
      <c r="L21" s="6">
        <f t="shared" si="3"/>
        <v>173</v>
      </c>
      <c r="M21" s="6">
        <f t="shared" si="4"/>
        <v>140</v>
      </c>
      <c r="N21" s="5">
        <f t="shared" si="5"/>
        <v>147.93103448275863</v>
      </c>
      <c r="O21" s="3">
        <f t="shared" si="6"/>
        <v>173</v>
      </c>
      <c r="P21" s="5">
        <f t="shared" si="7"/>
        <v>-25.068965517241367</v>
      </c>
      <c r="Q21" s="5">
        <f t="shared" si="8"/>
        <v>37.25</v>
      </c>
      <c r="R21" s="7">
        <f t="shared" si="9"/>
        <v>896.55172413793105</v>
      </c>
      <c r="S21" s="6">
        <f t="shared" si="10"/>
        <v>626</v>
      </c>
      <c r="T21" s="7">
        <f t="shared" si="11"/>
        <v>270.55172413793105</v>
      </c>
      <c r="U21" s="7">
        <f t="shared" si="12"/>
        <v>3106.5517241379312</v>
      </c>
      <c r="V21" s="7">
        <f t="shared" si="12"/>
        <v>1898</v>
      </c>
      <c r="W21" s="7">
        <f t="shared" si="13"/>
        <v>1208.5517241379312</v>
      </c>
      <c r="X21" s="7">
        <f t="shared" si="14"/>
        <v>18827.586206896551</v>
      </c>
      <c r="Y21" s="7">
        <f t="shared" si="14"/>
        <v>8495</v>
      </c>
      <c r="Z21" s="7">
        <f t="shared" si="15"/>
        <v>10332.586206896551</v>
      </c>
      <c r="AA21" s="25">
        <f t="shared" si="16"/>
        <v>0.9758927206324266</v>
      </c>
      <c r="AB21" s="1"/>
    </row>
    <row r="22" spans="2:28" ht="18" x14ac:dyDescent="0.25">
      <c r="B22" s="3">
        <v>20</v>
      </c>
      <c r="C22" s="7">
        <v>665995</v>
      </c>
      <c r="D22" s="7">
        <v>1335877</v>
      </c>
      <c r="E22" s="9">
        <v>446802</v>
      </c>
      <c r="F22" s="8">
        <f t="shared" si="0"/>
        <v>2448674</v>
      </c>
      <c r="G22" s="23">
        <f t="shared" si="1"/>
        <v>2448244.3125</v>
      </c>
      <c r="H22" s="7">
        <f t="shared" si="2"/>
        <v>2448283.5625</v>
      </c>
      <c r="I22" s="7">
        <v>780553</v>
      </c>
      <c r="J22" s="6">
        <f t="shared" si="3"/>
        <v>147</v>
      </c>
      <c r="K22" s="6">
        <f t="shared" si="3"/>
        <v>314</v>
      </c>
      <c r="L22" s="6">
        <f t="shared" si="3"/>
        <v>164</v>
      </c>
      <c r="M22" s="6">
        <f t="shared" si="4"/>
        <v>158</v>
      </c>
      <c r="N22" s="5">
        <f t="shared" si="5"/>
        <v>147.93103448275863</v>
      </c>
      <c r="O22" s="3">
        <f t="shared" si="6"/>
        <v>164</v>
      </c>
      <c r="P22" s="5">
        <f t="shared" si="7"/>
        <v>-16.068965517241367</v>
      </c>
      <c r="Q22" s="5">
        <f t="shared" si="8"/>
        <v>39.25</v>
      </c>
      <c r="R22" s="7">
        <f t="shared" si="9"/>
        <v>896.55172413793105</v>
      </c>
      <c r="S22" s="6">
        <f t="shared" si="10"/>
        <v>625</v>
      </c>
      <c r="T22" s="7">
        <f t="shared" si="11"/>
        <v>271.55172413793105</v>
      </c>
      <c r="U22" s="7">
        <f t="shared" si="12"/>
        <v>2958.6206896551726</v>
      </c>
      <c r="V22" s="7">
        <f t="shared" si="12"/>
        <v>1725</v>
      </c>
      <c r="W22" s="7">
        <f t="shared" si="13"/>
        <v>1233.6206896551726</v>
      </c>
      <c r="X22" s="7">
        <f t="shared" si="14"/>
        <v>17931.03448275862</v>
      </c>
      <c r="Y22" s="7">
        <f t="shared" si="14"/>
        <v>7869</v>
      </c>
      <c r="Z22" s="7">
        <f t="shared" si="15"/>
        <v>10062.03448275862</v>
      </c>
      <c r="AA22" s="25">
        <f t="shared" si="16"/>
        <v>0.96950040620710476</v>
      </c>
      <c r="AB22" s="1"/>
    </row>
    <row r="23" spans="2:28" ht="18" x14ac:dyDescent="0.25">
      <c r="B23" s="3">
        <v>19</v>
      </c>
      <c r="C23" s="7">
        <v>665848</v>
      </c>
      <c r="D23" s="7">
        <v>1335563</v>
      </c>
      <c r="E23" s="9">
        <v>446638</v>
      </c>
      <c r="F23" s="8">
        <f t="shared" si="0"/>
        <v>2448049</v>
      </c>
      <c r="G23" s="23">
        <f t="shared" si="1"/>
        <v>2447564.3125</v>
      </c>
      <c r="H23" s="7">
        <f>G23+((K23/12)*1.5)</f>
        <v>2447607.5625</v>
      </c>
      <c r="I23" s="7">
        <v>780395</v>
      </c>
      <c r="J23" s="6">
        <f t="shared" si="3"/>
        <v>178</v>
      </c>
      <c r="K23" s="6">
        <f t="shared" si="3"/>
        <v>346</v>
      </c>
      <c r="L23" s="6">
        <f t="shared" si="3"/>
        <v>181</v>
      </c>
      <c r="M23" s="6">
        <f t="shared" si="4"/>
        <v>128</v>
      </c>
      <c r="N23" s="5">
        <f t="shared" si="5"/>
        <v>147.93103448275863</v>
      </c>
      <c r="O23" s="3">
        <f t="shared" si="6"/>
        <v>181</v>
      </c>
      <c r="P23" s="5">
        <f t="shared" si="7"/>
        <v>-33.068965517241367</v>
      </c>
      <c r="Q23" s="5">
        <f t="shared" si="8"/>
        <v>43.25</v>
      </c>
      <c r="R23" s="7">
        <f t="shared" si="9"/>
        <v>896.55172413793105</v>
      </c>
      <c r="S23" s="6">
        <f t="shared" si="10"/>
        <v>705</v>
      </c>
      <c r="T23" s="7">
        <f t="shared" si="11"/>
        <v>191.55172413793105</v>
      </c>
      <c r="U23" s="7">
        <f t="shared" si="12"/>
        <v>2810.6896551724139</v>
      </c>
      <c r="V23" s="7">
        <f t="shared" si="12"/>
        <v>1561</v>
      </c>
      <c r="W23" s="7">
        <f t="shared" si="13"/>
        <v>1249.6896551724139</v>
      </c>
      <c r="X23" s="7">
        <f t="shared" si="14"/>
        <v>17034.482758620688</v>
      </c>
      <c r="Y23" s="7">
        <f t="shared" si="14"/>
        <v>7244</v>
      </c>
      <c r="Z23" s="7">
        <f t="shared" si="15"/>
        <v>9790.4827586206884</v>
      </c>
      <c r="AA23" s="25">
        <f t="shared" si="16"/>
        <v>0.98391453938907547</v>
      </c>
      <c r="AB23" s="1"/>
    </row>
    <row r="24" spans="2:28" ht="18" x14ac:dyDescent="0.25">
      <c r="B24" s="3">
        <v>18</v>
      </c>
      <c r="C24" s="7">
        <v>665670</v>
      </c>
      <c r="D24" s="7">
        <v>1335217</v>
      </c>
      <c r="E24" s="9">
        <v>446457</v>
      </c>
      <c r="F24" s="8">
        <f t="shared" si="0"/>
        <v>2447344</v>
      </c>
      <c r="G24" s="23">
        <f t="shared" si="1"/>
        <v>2447190</v>
      </c>
      <c r="H24" s="7">
        <f t="shared" si="2"/>
        <v>2447205.25</v>
      </c>
      <c r="I24" s="7">
        <v>780267</v>
      </c>
      <c r="J24" s="6">
        <f t="shared" si="3"/>
        <v>81</v>
      </c>
      <c r="K24" s="6">
        <f t="shared" si="3"/>
        <v>122</v>
      </c>
      <c r="L24" s="6">
        <f t="shared" si="3"/>
        <v>21</v>
      </c>
      <c r="M24" s="6">
        <f t="shared" si="4"/>
        <v>41</v>
      </c>
      <c r="N24" s="5">
        <f t="shared" si="5"/>
        <v>147.93103448275863</v>
      </c>
      <c r="O24" s="3">
        <f t="shared" si="6"/>
        <v>21</v>
      </c>
      <c r="P24" s="5">
        <f t="shared" si="7"/>
        <v>126.93103448275863</v>
      </c>
      <c r="Q24" s="5">
        <f t="shared" si="8"/>
        <v>15.25</v>
      </c>
      <c r="R24" s="7">
        <f t="shared" si="9"/>
        <v>896.55172413793105</v>
      </c>
      <c r="S24" s="6">
        <f t="shared" si="10"/>
        <v>224</v>
      </c>
      <c r="T24" s="7">
        <f t="shared" si="11"/>
        <v>672.55172413793105</v>
      </c>
      <c r="U24" s="7">
        <f t="shared" si="12"/>
        <v>2662.7586206896553</v>
      </c>
      <c r="V24" s="7">
        <f t="shared" si="12"/>
        <v>1380</v>
      </c>
      <c r="W24" s="7">
        <f t="shared" si="13"/>
        <v>1282.7586206896553</v>
      </c>
      <c r="X24" s="7">
        <f t="shared" si="14"/>
        <v>16137.931034482759</v>
      </c>
      <c r="Y24" s="7">
        <f t="shared" si="14"/>
        <v>6539</v>
      </c>
      <c r="Z24" s="7">
        <f t="shared" si="15"/>
        <v>9598.9310344827591</v>
      </c>
      <c r="AA24" s="25">
        <f t="shared" si="16"/>
        <v>0.9836584431285621</v>
      </c>
      <c r="AB24" s="1"/>
    </row>
    <row r="25" spans="2:28" ht="18" x14ac:dyDescent="0.25">
      <c r="B25" s="3">
        <v>17</v>
      </c>
      <c r="C25" s="7">
        <f>C26+80</f>
        <v>665589</v>
      </c>
      <c r="D25" s="7">
        <f>D26+129</f>
        <v>1335095</v>
      </c>
      <c r="E25" s="9">
        <f>E26+20</f>
        <v>446436</v>
      </c>
      <c r="F25" s="8">
        <f t="shared" si="0"/>
        <v>2447120</v>
      </c>
      <c r="G25" s="23">
        <f t="shared" si="1"/>
        <v>2446962.5625</v>
      </c>
      <c r="H25" s="7">
        <f t="shared" si="2"/>
        <v>2446978.6875</v>
      </c>
      <c r="I25" s="7">
        <f>I26+33</f>
        <v>780226</v>
      </c>
      <c r="J25" s="6">
        <f t="shared" si="3"/>
        <v>80</v>
      </c>
      <c r="K25" s="6">
        <f t="shared" si="3"/>
        <v>129</v>
      </c>
      <c r="L25" s="6">
        <f t="shared" si="3"/>
        <v>20</v>
      </c>
      <c r="M25" s="7">
        <f t="shared" si="4"/>
        <v>33</v>
      </c>
      <c r="N25" s="5">
        <f t="shared" si="5"/>
        <v>147.93103448275863</v>
      </c>
      <c r="O25" s="3">
        <f t="shared" si="6"/>
        <v>20</v>
      </c>
      <c r="P25" s="5">
        <f t="shared" si="7"/>
        <v>127.93103448275863</v>
      </c>
      <c r="Q25" s="5">
        <f t="shared" si="8"/>
        <v>16.125</v>
      </c>
      <c r="R25" s="7">
        <f t="shared" si="9"/>
        <v>896.55172413793105</v>
      </c>
      <c r="S25" s="6">
        <f t="shared" si="10"/>
        <v>229</v>
      </c>
      <c r="T25" s="7">
        <f t="shared" si="11"/>
        <v>667.55172413793105</v>
      </c>
      <c r="U25" s="7">
        <f t="shared" si="12"/>
        <v>2514.8275862068967</v>
      </c>
      <c r="V25" s="6">
        <f t="shared" si="12"/>
        <v>1359</v>
      </c>
      <c r="W25" s="7">
        <f t="shared" si="13"/>
        <v>1155.8275862068967</v>
      </c>
      <c r="X25" s="7">
        <f t="shared" si="14"/>
        <v>15241.379310344828</v>
      </c>
      <c r="Y25" s="7">
        <f t="shared" si="14"/>
        <v>6315</v>
      </c>
      <c r="Z25" s="7">
        <f t="shared" si="15"/>
        <v>8926.3793103448279</v>
      </c>
      <c r="AA25" s="25">
        <f t="shared" si="16"/>
        <v>0.9897758673121626</v>
      </c>
      <c r="AB25" s="1"/>
    </row>
    <row r="26" spans="2:28" ht="18" x14ac:dyDescent="0.25">
      <c r="B26" s="3">
        <v>16</v>
      </c>
      <c r="C26" s="7">
        <f>C27+73</f>
        <v>665509</v>
      </c>
      <c r="D26" s="7">
        <f>D27+87</f>
        <v>1334966</v>
      </c>
      <c r="E26" s="9">
        <f>E27+18</f>
        <v>446416</v>
      </c>
      <c r="F26" s="8">
        <f t="shared" si="0"/>
        <v>2446891</v>
      </c>
      <c r="G26" s="23">
        <f t="shared" si="1"/>
        <v>2446768.625</v>
      </c>
      <c r="H26" s="7">
        <f t="shared" si="2"/>
        <v>2446779.5</v>
      </c>
      <c r="I26" s="7">
        <f>I27+35</f>
        <v>780193</v>
      </c>
      <c r="J26" s="6">
        <f t="shared" si="3"/>
        <v>73</v>
      </c>
      <c r="K26" s="6">
        <f t="shared" si="3"/>
        <v>87</v>
      </c>
      <c r="L26" s="6">
        <f t="shared" si="3"/>
        <v>18</v>
      </c>
      <c r="M26" s="7">
        <f t="shared" si="4"/>
        <v>35</v>
      </c>
      <c r="N26" s="5">
        <f t="shared" si="5"/>
        <v>147.93103448275863</v>
      </c>
      <c r="O26" s="3">
        <f t="shared" si="6"/>
        <v>18</v>
      </c>
      <c r="P26" s="5">
        <f t="shared" si="7"/>
        <v>129.93103448275863</v>
      </c>
      <c r="Q26" s="5">
        <f t="shared" si="8"/>
        <v>10.875</v>
      </c>
      <c r="R26" s="7">
        <f t="shared" si="9"/>
        <v>896.55172413793105</v>
      </c>
      <c r="S26" s="6">
        <f t="shared" si="10"/>
        <v>178</v>
      </c>
      <c r="T26" s="7">
        <f t="shared" si="11"/>
        <v>718.55172413793105</v>
      </c>
      <c r="U26" s="7">
        <f t="shared" si="12"/>
        <v>2366.8965517241381</v>
      </c>
      <c r="V26" s="6">
        <f t="shared" si="12"/>
        <v>1339</v>
      </c>
      <c r="W26" s="7">
        <f t="shared" si="13"/>
        <v>1027.8965517241381</v>
      </c>
      <c r="X26" s="7">
        <f t="shared" si="14"/>
        <v>14344.827586206897</v>
      </c>
      <c r="Y26" s="7">
        <f t="shared" si="14"/>
        <v>6086</v>
      </c>
      <c r="Z26" s="7">
        <f t="shared" si="15"/>
        <v>8258.8275862068967</v>
      </c>
      <c r="AA26" s="25">
        <f t="shared" si="16"/>
        <v>0.98121156753555494</v>
      </c>
      <c r="AB26" s="1"/>
    </row>
    <row r="27" spans="2:28" ht="18" x14ac:dyDescent="0.25">
      <c r="B27" s="3">
        <v>15</v>
      </c>
      <c r="C27" s="7">
        <f>C28+88</f>
        <v>665436</v>
      </c>
      <c r="D27" s="7">
        <f>D28+134</f>
        <v>1334879</v>
      </c>
      <c r="E27" s="9">
        <f>E28+31</f>
        <v>446398</v>
      </c>
      <c r="F27" s="8">
        <f t="shared" si="0"/>
        <v>2446713</v>
      </c>
      <c r="G27" s="23">
        <f t="shared" si="1"/>
        <v>2446539.0625</v>
      </c>
      <c r="H27" s="7">
        <f t="shared" si="2"/>
        <v>2446555.8125</v>
      </c>
      <c r="I27" s="7">
        <f>I28+38</f>
        <v>780158</v>
      </c>
      <c r="J27" s="6">
        <f t="shared" si="3"/>
        <v>88</v>
      </c>
      <c r="K27" s="6">
        <f t="shared" si="3"/>
        <v>134</v>
      </c>
      <c r="L27" s="6">
        <f t="shared" si="3"/>
        <v>31</v>
      </c>
      <c r="M27" s="7">
        <f t="shared" si="4"/>
        <v>38</v>
      </c>
      <c r="N27" s="5">
        <f t="shared" si="5"/>
        <v>147.93103448275863</v>
      </c>
      <c r="O27" s="3">
        <f t="shared" si="6"/>
        <v>31</v>
      </c>
      <c r="P27" s="5">
        <f t="shared" si="7"/>
        <v>116.93103448275863</v>
      </c>
      <c r="Q27" s="5">
        <f t="shared" si="8"/>
        <v>16.75</v>
      </c>
      <c r="R27" s="7">
        <f t="shared" si="9"/>
        <v>896.55172413793105</v>
      </c>
      <c r="S27" s="6">
        <f t="shared" si="10"/>
        <v>253</v>
      </c>
      <c r="T27" s="7">
        <f t="shared" si="11"/>
        <v>643.55172413793105</v>
      </c>
      <c r="U27" s="7">
        <f t="shared" si="12"/>
        <v>2218.9655172413795</v>
      </c>
      <c r="V27" s="6">
        <f t="shared" si="12"/>
        <v>1321</v>
      </c>
      <c r="W27" s="7">
        <f t="shared" si="13"/>
        <v>897.96551724137953</v>
      </c>
      <c r="X27" s="7">
        <f t="shared" si="14"/>
        <v>13448.275862068966</v>
      </c>
      <c r="Y27" s="7">
        <f t="shared" si="14"/>
        <v>5908</v>
      </c>
      <c r="Z27" s="7">
        <f t="shared" si="15"/>
        <v>7540.2758620689656</v>
      </c>
      <c r="AA27" s="25">
        <f t="shared" si="16"/>
        <v>0.98890766403605357</v>
      </c>
      <c r="AB27" s="1"/>
    </row>
    <row r="28" spans="2:28" ht="18" x14ac:dyDescent="0.25">
      <c r="B28" s="3">
        <v>14</v>
      </c>
      <c r="C28" s="7">
        <v>665348</v>
      </c>
      <c r="D28" s="7">
        <f>D29+320</f>
        <v>1334745</v>
      </c>
      <c r="E28" s="9">
        <v>446367</v>
      </c>
      <c r="F28" s="8">
        <f t="shared" si="0"/>
        <v>2446460</v>
      </c>
      <c r="G28" s="23">
        <f t="shared" si="1"/>
        <v>2446078.4375</v>
      </c>
      <c r="H28" s="7">
        <f t="shared" si="2"/>
        <v>2446118.4375</v>
      </c>
      <c r="I28" s="7">
        <v>780120</v>
      </c>
      <c r="J28" s="6">
        <f t="shared" si="3"/>
        <v>130</v>
      </c>
      <c r="K28" s="6">
        <f t="shared" si="3"/>
        <v>320</v>
      </c>
      <c r="L28" s="6">
        <f t="shared" si="3"/>
        <v>105</v>
      </c>
      <c r="M28" s="7">
        <f t="shared" si="4"/>
        <v>186</v>
      </c>
      <c r="N28" s="5">
        <f t="shared" si="5"/>
        <v>147.93103448275863</v>
      </c>
      <c r="O28" s="3">
        <f t="shared" si="6"/>
        <v>105</v>
      </c>
      <c r="P28" s="5">
        <f t="shared" si="7"/>
        <v>42.931034482758633</v>
      </c>
      <c r="Q28" s="5">
        <f t="shared" si="8"/>
        <v>40</v>
      </c>
      <c r="R28" s="7">
        <f t="shared" si="9"/>
        <v>896.55172413793105</v>
      </c>
      <c r="S28" s="6">
        <f t="shared" si="10"/>
        <v>555</v>
      </c>
      <c r="T28" s="7">
        <f t="shared" si="11"/>
        <v>341.55172413793105</v>
      </c>
      <c r="U28" s="7">
        <f t="shared" si="12"/>
        <v>2071.0344827586209</v>
      </c>
      <c r="V28" s="6">
        <f t="shared" si="12"/>
        <v>1290</v>
      </c>
      <c r="W28" s="7">
        <f t="shared" si="13"/>
        <v>781.03448275862092</v>
      </c>
      <c r="X28" s="7">
        <f t="shared" si="14"/>
        <v>12551.724137931034</v>
      </c>
      <c r="Y28" s="7">
        <f t="shared" si="14"/>
        <v>5655</v>
      </c>
      <c r="Z28" s="7">
        <f t="shared" si="15"/>
        <v>6896.7241379310344</v>
      </c>
      <c r="AA28" s="25">
        <f t="shared" si="16"/>
        <v>0.94816952797550491</v>
      </c>
      <c r="AB28" s="1"/>
    </row>
    <row r="29" spans="2:28" ht="18" x14ac:dyDescent="0.25">
      <c r="B29" s="3">
        <v>13</v>
      </c>
      <c r="C29" s="7">
        <v>665218</v>
      </c>
      <c r="D29" s="7">
        <f>D30+282</f>
        <v>1334425</v>
      </c>
      <c r="E29" s="9">
        <v>446262</v>
      </c>
      <c r="F29" s="8">
        <f t="shared" si="0"/>
        <v>2445905</v>
      </c>
      <c r="G29" s="23">
        <f t="shared" si="1"/>
        <v>2445554.375</v>
      </c>
      <c r="H29" s="7">
        <f t="shared" si="2"/>
        <v>2445589.625</v>
      </c>
      <c r="I29" s="7">
        <v>779934</v>
      </c>
      <c r="J29" s="6">
        <f t="shared" si="3"/>
        <v>196</v>
      </c>
      <c r="K29" s="6">
        <f t="shared" si="3"/>
        <v>282</v>
      </c>
      <c r="L29" s="6">
        <f t="shared" si="3"/>
        <v>32</v>
      </c>
      <c r="M29" s="6">
        <f t="shared" si="4"/>
        <v>131</v>
      </c>
      <c r="N29" s="5">
        <f t="shared" si="5"/>
        <v>147.93103448275863</v>
      </c>
      <c r="O29" s="3">
        <f t="shared" si="6"/>
        <v>32</v>
      </c>
      <c r="P29" s="5">
        <f t="shared" si="7"/>
        <v>115.93103448275863</v>
      </c>
      <c r="Q29" s="5">
        <f t="shared" si="8"/>
        <v>35.25</v>
      </c>
      <c r="R29" s="7">
        <f t="shared" si="9"/>
        <v>896.55172413793105</v>
      </c>
      <c r="S29" s="6">
        <f t="shared" si="10"/>
        <v>510</v>
      </c>
      <c r="T29" s="7">
        <f t="shared" si="11"/>
        <v>386.55172413793105</v>
      </c>
      <c r="U29" s="7">
        <f t="shared" si="12"/>
        <v>1923.1034482758621</v>
      </c>
      <c r="V29" s="6">
        <f t="shared" si="12"/>
        <v>1185</v>
      </c>
      <c r="W29" s="7">
        <f t="shared" si="13"/>
        <v>738.10344827586209</v>
      </c>
      <c r="X29" s="7">
        <f t="shared" si="14"/>
        <v>11655.172413793103</v>
      </c>
      <c r="Y29" s="7">
        <f t="shared" si="14"/>
        <v>5100</v>
      </c>
      <c r="Z29" s="7">
        <f t="shared" si="15"/>
        <v>6555.1724137931033</v>
      </c>
      <c r="AA29" s="25">
        <f t="shared" si="16"/>
        <v>0.96855833639950517</v>
      </c>
      <c r="AB29" s="1"/>
    </row>
    <row r="30" spans="2:28" ht="18" x14ac:dyDescent="0.25">
      <c r="B30" s="3">
        <v>12</v>
      </c>
      <c r="C30" s="7">
        <v>665022</v>
      </c>
      <c r="D30" s="7">
        <v>1334143</v>
      </c>
      <c r="E30" s="9">
        <v>446230</v>
      </c>
      <c r="F30" s="8">
        <f t="shared" si="0"/>
        <v>2445395</v>
      </c>
      <c r="G30" s="23">
        <f t="shared" si="1"/>
        <v>2445120</v>
      </c>
      <c r="H30" s="7">
        <f t="shared" si="2"/>
        <v>2445146.5</v>
      </c>
      <c r="I30" s="7">
        <v>779803</v>
      </c>
      <c r="J30" s="6">
        <f t="shared" ref="J30:L32" si="20">C30-C31</f>
        <v>84</v>
      </c>
      <c r="K30" s="6">
        <f t="shared" si="20"/>
        <v>212</v>
      </c>
      <c r="L30" s="6">
        <f t="shared" si="20"/>
        <v>104</v>
      </c>
      <c r="M30" s="6">
        <f t="shared" si="4"/>
        <v>48</v>
      </c>
      <c r="N30" s="5">
        <f t="shared" si="5"/>
        <v>147.93103448275863</v>
      </c>
      <c r="O30" s="3">
        <f t="shared" si="6"/>
        <v>104</v>
      </c>
      <c r="P30" s="5">
        <f t="shared" si="7"/>
        <v>43.931034482758633</v>
      </c>
      <c r="Q30" s="5">
        <f t="shared" si="8"/>
        <v>26.5</v>
      </c>
      <c r="R30" s="7">
        <f t="shared" si="9"/>
        <v>896.55172413793105</v>
      </c>
      <c r="S30" s="6">
        <f t="shared" si="10"/>
        <v>400</v>
      </c>
      <c r="T30" s="7">
        <f t="shared" si="11"/>
        <v>496.55172413793105</v>
      </c>
      <c r="U30" s="7">
        <f t="shared" si="12"/>
        <v>1775.1724137931035</v>
      </c>
      <c r="V30" s="6">
        <f t="shared" si="12"/>
        <v>1153</v>
      </c>
      <c r="W30" s="7">
        <f t="shared" si="13"/>
        <v>622.17241379310349</v>
      </c>
      <c r="X30" s="7">
        <f t="shared" si="14"/>
        <v>10758.620689655172</v>
      </c>
      <c r="Y30" s="7">
        <f t="shared" si="14"/>
        <v>4590</v>
      </c>
      <c r="Z30" s="7">
        <f t="shared" si="15"/>
        <v>6168.6206896551721</v>
      </c>
      <c r="AA30" s="25">
        <f t="shared" si="16"/>
        <v>0.9928768384869221</v>
      </c>
      <c r="AB30" s="1"/>
    </row>
    <row r="31" spans="2:28" ht="18" x14ac:dyDescent="0.25">
      <c r="B31" s="3">
        <v>11</v>
      </c>
      <c r="C31" s="7">
        <v>664938</v>
      </c>
      <c r="D31" s="7">
        <v>1333931</v>
      </c>
      <c r="E31" s="9">
        <v>446126</v>
      </c>
      <c r="F31" s="8">
        <f>C31+D31+E31</f>
        <v>2444995</v>
      </c>
      <c r="G31" s="23">
        <f t="shared" si="1"/>
        <v>2444737.1875</v>
      </c>
      <c r="H31" s="7">
        <f t="shared" si="2"/>
        <v>2444762.8125</v>
      </c>
      <c r="I31" s="7">
        <v>779755</v>
      </c>
      <c r="J31" s="6">
        <f t="shared" si="20"/>
        <v>114</v>
      </c>
      <c r="K31" s="6">
        <f t="shared" si="20"/>
        <v>205</v>
      </c>
      <c r="L31" s="6">
        <f t="shared" si="20"/>
        <v>56</v>
      </c>
      <c r="M31" s="6">
        <f t="shared" si="4"/>
        <v>19</v>
      </c>
      <c r="N31" s="5">
        <f t="shared" si="5"/>
        <v>147.93103448275863</v>
      </c>
      <c r="O31" s="3">
        <f t="shared" si="6"/>
        <v>56</v>
      </c>
      <c r="P31" s="5">
        <f t="shared" si="7"/>
        <v>91.931034482758633</v>
      </c>
      <c r="Q31" s="5">
        <f t="shared" si="8"/>
        <v>25.625</v>
      </c>
      <c r="R31" s="7">
        <f t="shared" si="9"/>
        <v>896.55172413793105</v>
      </c>
      <c r="S31" s="6">
        <f t="shared" si="10"/>
        <v>375</v>
      </c>
      <c r="T31" s="7">
        <f t="shared" si="11"/>
        <v>521.55172413793105</v>
      </c>
      <c r="U31" s="7">
        <f t="shared" si="12"/>
        <v>1627.2413793103449</v>
      </c>
      <c r="V31" s="6">
        <f t="shared" si="12"/>
        <v>1049</v>
      </c>
      <c r="W31" s="7">
        <f t="shared" si="13"/>
        <v>578.24137931034488</v>
      </c>
      <c r="X31" s="7">
        <f t="shared" si="14"/>
        <v>9862.0689655172409</v>
      </c>
      <c r="Y31" s="7">
        <f t="shared" si="14"/>
        <v>4190</v>
      </c>
      <c r="Z31" s="7">
        <f t="shared" si="15"/>
        <v>5672.0689655172409</v>
      </c>
      <c r="AA31" s="25">
        <f t="shared" si="16"/>
        <v>0.99871891044189631</v>
      </c>
      <c r="AB31" s="1"/>
    </row>
    <row r="32" spans="2:28" ht="18" x14ac:dyDescent="0.25">
      <c r="B32" s="3">
        <v>10</v>
      </c>
      <c r="C32" s="7">
        <f>C33+109</f>
        <v>664824</v>
      </c>
      <c r="D32" s="7">
        <f>D33+200</f>
        <v>1333726</v>
      </c>
      <c r="E32" s="9">
        <f>E33+48</f>
        <v>446070</v>
      </c>
      <c r="F32" s="8">
        <f>C32+D32+E32</f>
        <v>2444620</v>
      </c>
      <c r="G32" s="23">
        <f t="shared" si="1"/>
        <v>2444374.5625</v>
      </c>
      <c r="H32" s="7">
        <f t="shared" si="2"/>
        <v>2444399.5625</v>
      </c>
      <c r="I32" s="7">
        <f>I33+17</f>
        <v>779736</v>
      </c>
      <c r="J32" s="6">
        <f t="shared" si="20"/>
        <v>109</v>
      </c>
      <c r="K32" s="6">
        <f t="shared" si="20"/>
        <v>200</v>
      </c>
      <c r="L32" s="6">
        <f t="shared" si="20"/>
        <v>48</v>
      </c>
      <c r="M32" s="6">
        <f t="shared" si="4"/>
        <v>17</v>
      </c>
      <c r="N32" s="5">
        <f t="shared" si="5"/>
        <v>147.93103448275863</v>
      </c>
      <c r="O32" s="3">
        <f t="shared" si="6"/>
        <v>48</v>
      </c>
      <c r="P32" s="5">
        <f t="shared" si="7"/>
        <v>99.931034482758633</v>
      </c>
      <c r="Q32" s="5">
        <f t="shared" si="8"/>
        <v>25</v>
      </c>
      <c r="R32" s="7">
        <f t="shared" si="9"/>
        <v>896.55172413793105</v>
      </c>
      <c r="S32" s="6">
        <f t="shared" si="10"/>
        <v>357</v>
      </c>
      <c r="T32" s="7">
        <f t="shared" si="11"/>
        <v>539.55172413793105</v>
      </c>
      <c r="U32" s="7">
        <f t="shared" si="12"/>
        <v>1479.3103448275863</v>
      </c>
      <c r="V32" s="6">
        <f t="shared" si="12"/>
        <v>993</v>
      </c>
      <c r="W32" s="7">
        <f t="shared" si="13"/>
        <v>486.31034482758628</v>
      </c>
      <c r="X32" s="7">
        <f t="shared" si="14"/>
        <v>8965.5172413793098</v>
      </c>
      <c r="Y32" s="7">
        <f t="shared" si="14"/>
        <v>3815</v>
      </c>
      <c r="Z32" s="7">
        <f t="shared" si="15"/>
        <v>5150.5172413793098</v>
      </c>
      <c r="AA32" s="25">
        <f t="shared" si="16"/>
        <v>0.99886813772443761</v>
      </c>
      <c r="AB32" s="1"/>
    </row>
    <row r="33" spans="2:28" ht="18" x14ac:dyDescent="0.25">
      <c r="B33" s="3">
        <v>9</v>
      </c>
      <c r="C33" s="7">
        <f>C34+103</f>
        <v>664715</v>
      </c>
      <c r="D33" s="7">
        <f>D34+202</f>
        <v>1333526</v>
      </c>
      <c r="E33" s="9">
        <f>E34+50</f>
        <v>446022</v>
      </c>
      <c r="F33" s="10">
        <f>C33+D33+E33</f>
        <v>2444263</v>
      </c>
      <c r="G33" s="23">
        <f t="shared" si="1"/>
        <v>2444018.9375</v>
      </c>
      <c r="H33" s="7">
        <f t="shared" si="2"/>
        <v>2444044.1875</v>
      </c>
      <c r="I33" s="7">
        <f>I34+15</f>
        <v>779719</v>
      </c>
      <c r="J33" s="6">
        <f t="shared" si="3"/>
        <v>103</v>
      </c>
      <c r="K33" s="6">
        <f t="shared" si="3"/>
        <v>202</v>
      </c>
      <c r="L33" s="6">
        <f t="shared" si="3"/>
        <v>50</v>
      </c>
      <c r="M33" s="6">
        <f t="shared" si="4"/>
        <v>15</v>
      </c>
      <c r="N33" s="5">
        <f t="shared" si="5"/>
        <v>147.93103448275863</v>
      </c>
      <c r="O33" s="3">
        <f t="shared" si="6"/>
        <v>50</v>
      </c>
      <c r="P33" s="5">
        <f t="shared" si="7"/>
        <v>97.931034482758633</v>
      </c>
      <c r="Q33" s="5">
        <f t="shared" si="8"/>
        <v>25.25</v>
      </c>
      <c r="R33" s="7">
        <f t="shared" si="9"/>
        <v>896.55172413793105</v>
      </c>
      <c r="S33" s="6">
        <f t="shared" si="10"/>
        <v>355</v>
      </c>
      <c r="T33" s="7">
        <f t="shared" si="11"/>
        <v>541.55172413793105</v>
      </c>
      <c r="U33" s="7">
        <f t="shared" si="12"/>
        <v>1331.3793103448277</v>
      </c>
      <c r="V33" s="6">
        <f t="shared" si="12"/>
        <v>945</v>
      </c>
      <c r="W33" s="7">
        <f t="shared" si="13"/>
        <v>386.37931034482767</v>
      </c>
      <c r="X33" s="7">
        <f t="shared" si="14"/>
        <v>8068.9655172413795</v>
      </c>
      <c r="Y33" s="7">
        <f t="shared" si="14"/>
        <v>3458</v>
      </c>
      <c r="Z33" s="7">
        <f t="shared" si="15"/>
        <v>4610.9655172413795</v>
      </c>
      <c r="AA33" s="25">
        <f t="shared" si="16"/>
        <v>0.99910851351701446</v>
      </c>
      <c r="AB33" s="1"/>
    </row>
    <row r="34" spans="2:28" ht="18" x14ac:dyDescent="0.25">
      <c r="B34" s="3">
        <v>8</v>
      </c>
      <c r="C34" s="7">
        <v>664612</v>
      </c>
      <c r="D34" s="7">
        <v>1333324</v>
      </c>
      <c r="E34" s="9">
        <v>445972</v>
      </c>
      <c r="F34" s="8">
        <f t="shared" si="0"/>
        <v>2443908</v>
      </c>
      <c r="G34" s="23">
        <f t="shared" si="1"/>
        <v>2443754</v>
      </c>
      <c r="H34" s="7">
        <f t="shared" si="2"/>
        <v>2443768.75</v>
      </c>
      <c r="I34" s="7">
        <v>779704</v>
      </c>
      <c r="J34" s="6">
        <f t="shared" si="3"/>
        <v>15</v>
      </c>
      <c r="K34" s="6">
        <f t="shared" si="3"/>
        <v>118</v>
      </c>
      <c r="L34" s="6">
        <f t="shared" si="3"/>
        <v>91</v>
      </c>
      <c r="M34" s="6">
        <f t="shared" si="4"/>
        <v>82</v>
      </c>
      <c r="N34" s="5">
        <f t="shared" si="5"/>
        <v>147.93103448275863</v>
      </c>
      <c r="O34" s="3">
        <f t="shared" si="6"/>
        <v>91</v>
      </c>
      <c r="P34" s="5">
        <f t="shared" si="7"/>
        <v>56.931034482758633</v>
      </c>
      <c r="Q34" s="5">
        <f t="shared" si="8"/>
        <v>14.75</v>
      </c>
      <c r="R34" s="7">
        <f t="shared" si="9"/>
        <v>896.55172413793105</v>
      </c>
      <c r="S34" s="6">
        <f t="shared" si="10"/>
        <v>224</v>
      </c>
      <c r="T34" s="7">
        <f t="shared" si="11"/>
        <v>672.55172413793105</v>
      </c>
      <c r="U34" s="7">
        <f t="shared" si="12"/>
        <v>1183.4482758620691</v>
      </c>
      <c r="V34" s="6">
        <f t="shared" si="12"/>
        <v>895</v>
      </c>
      <c r="W34" s="7">
        <f t="shared" si="13"/>
        <v>288.44827586206907</v>
      </c>
      <c r="X34" s="7">
        <f t="shared" si="14"/>
        <v>7172.4137931034484</v>
      </c>
      <c r="Y34" s="7">
        <f t="shared" si="14"/>
        <v>3103</v>
      </c>
      <c r="Z34" s="7">
        <f t="shared" si="15"/>
        <v>4069.4137931034484</v>
      </c>
      <c r="AA34" s="25">
        <f t="shared" si="16"/>
        <v>0.93905685025671359</v>
      </c>
      <c r="AB34" s="1"/>
    </row>
    <row r="35" spans="2:28" ht="18" x14ac:dyDescent="0.25">
      <c r="B35" s="3">
        <v>7</v>
      </c>
      <c r="C35" s="7">
        <v>664597</v>
      </c>
      <c r="D35" s="7">
        <v>1333206</v>
      </c>
      <c r="E35" s="9">
        <v>445881</v>
      </c>
      <c r="F35" s="8">
        <f t="shared" si="0"/>
        <v>2443684</v>
      </c>
      <c r="G35" s="23">
        <f t="shared" si="1"/>
        <v>2443227.5</v>
      </c>
      <c r="H35" s="7">
        <f t="shared" si="2"/>
        <v>2443275.75</v>
      </c>
      <c r="I35" s="7">
        <v>779622</v>
      </c>
      <c r="J35" s="6">
        <f t="shared" si="3"/>
        <v>67</v>
      </c>
      <c r="K35" s="6">
        <f t="shared" si="3"/>
        <v>386</v>
      </c>
      <c r="L35" s="6">
        <f t="shared" si="3"/>
        <v>211</v>
      </c>
      <c r="M35" s="6">
        <f t="shared" si="4"/>
        <v>91</v>
      </c>
      <c r="N35" s="5">
        <f t="shared" si="5"/>
        <v>147.93103448275863</v>
      </c>
      <c r="O35" s="3">
        <f t="shared" si="6"/>
        <v>211</v>
      </c>
      <c r="P35" s="5">
        <f t="shared" si="7"/>
        <v>-63.068965517241367</v>
      </c>
      <c r="Q35" s="5">
        <f t="shared" si="8"/>
        <v>48.25</v>
      </c>
      <c r="R35" s="7">
        <f t="shared" si="9"/>
        <v>896.55172413793105</v>
      </c>
      <c r="S35" s="6">
        <f t="shared" si="10"/>
        <v>664</v>
      </c>
      <c r="T35" s="7">
        <f t="shared" si="11"/>
        <v>232.55172413793105</v>
      </c>
      <c r="U35" s="7">
        <f t="shared" si="12"/>
        <v>1035.5172413793105</v>
      </c>
      <c r="V35" s="6">
        <f t="shared" si="12"/>
        <v>804</v>
      </c>
      <c r="W35" s="7">
        <f t="shared" si="13"/>
        <v>231.51724137931046</v>
      </c>
      <c r="X35" s="7">
        <f t="shared" si="14"/>
        <v>6275.8620689655172</v>
      </c>
      <c r="Y35" s="7">
        <f t="shared" si="14"/>
        <v>2879</v>
      </c>
      <c r="Z35" s="7">
        <f t="shared" si="15"/>
        <v>3396.8620689655172</v>
      </c>
      <c r="AA35" s="25">
        <f t="shared" si="16"/>
        <v>0.99073914856174783</v>
      </c>
      <c r="AB35" s="1"/>
    </row>
    <row r="36" spans="2:28" ht="18" x14ac:dyDescent="0.25">
      <c r="B36" s="3">
        <v>6</v>
      </c>
      <c r="C36" s="7">
        <v>664530</v>
      </c>
      <c r="D36" s="7">
        <v>1332820</v>
      </c>
      <c r="E36" s="9">
        <v>445670</v>
      </c>
      <c r="F36" s="8">
        <f t="shared" si="0"/>
        <v>2443020</v>
      </c>
      <c r="G36" s="23">
        <f t="shared" si="1"/>
        <v>2442815.8125</v>
      </c>
      <c r="H36" s="7">
        <f t="shared" si="2"/>
        <v>2442826.5625</v>
      </c>
      <c r="I36" s="7">
        <v>779531</v>
      </c>
      <c r="J36" s="6">
        <f t="shared" si="3"/>
        <v>135</v>
      </c>
      <c r="K36" s="6">
        <f t="shared" si="3"/>
        <v>86</v>
      </c>
      <c r="L36" s="6">
        <f t="shared" si="3"/>
        <v>76</v>
      </c>
      <c r="M36" s="6">
        <f t="shared" si="4"/>
        <v>220</v>
      </c>
      <c r="N36" s="5">
        <f t="shared" si="5"/>
        <v>147.93103448275863</v>
      </c>
      <c r="O36" s="3">
        <f t="shared" si="6"/>
        <v>76</v>
      </c>
      <c r="P36" s="5">
        <f t="shared" si="7"/>
        <v>71.931034482758633</v>
      </c>
      <c r="Q36" s="5">
        <f t="shared" si="8"/>
        <v>10.75</v>
      </c>
      <c r="R36" s="7">
        <f t="shared" si="9"/>
        <v>896.55172413793105</v>
      </c>
      <c r="S36" s="6">
        <f t="shared" si="10"/>
        <v>297</v>
      </c>
      <c r="T36" s="7">
        <f t="shared" si="11"/>
        <v>599.55172413793105</v>
      </c>
      <c r="U36" s="7">
        <f t="shared" si="12"/>
        <v>887.58620689655174</v>
      </c>
      <c r="V36" s="6">
        <f t="shared" si="12"/>
        <v>593</v>
      </c>
      <c r="W36" s="7">
        <f t="shared" si="13"/>
        <v>294.58620689655174</v>
      </c>
      <c r="X36" s="7">
        <f t="shared" si="14"/>
        <v>5379.3103448275861</v>
      </c>
      <c r="Y36" s="7">
        <f t="shared" si="14"/>
        <v>2215</v>
      </c>
      <c r="Z36" s="7">
        <f t="shared" si="15"/>
        <v>3164.3103448275861</v>
      </c>
      <c r="AA36" s="25">
        <f t="shared" si="16"/>
        <v>0.80355719334474573</v>
      </c>
      <c r="AB36" s="1"/>
    </row>
    <row r="37" spans="2:28" ht="18" x14ac:dyDescent="0.25">
      <c r="B37" s="3">
        <v>5</v>
      </c>
      <c r="C37" s="7">
        <v>664395</v>
      </c>
      <c r="D37" s="7">
        <v>1332734</v>
      </c>
      <c r="E37" s="9">
        <v>445594</v>
      </c>
      <c r="F37" s="8">
        <f t="shared" si="0"/>
        <v>2442723</v>
      </c>
      <c r="G37" s="23">
        <f t="shared" si="1"/>
        <v>2442451.4375</v>
      </c>
      <c r="H37" s="7">
        <f t="shared" si="2"/>
        <v>2442478.3125</v>
      </c>
      <c r="I37" s="7">
        <v>779311</v>
      </c>
      <c r="J37" s="6">
        <f t="shared" si="3"/>
        <v>76</v>
      </c>
      <c r="K37" s="6">
        <f t="shared" si="3"/>
        <v>215</v>
      </c>
      <c r="L37" s="6">
        <f t="shared" si="3"/>
        <v>104</v>
      </c>
      <c r="M37" s="6">
        <f t="shared" si="4"/>
        <v>98</v>
      </c>
      <c r="N37" s="5">
        <f t="shared" si="5"/>
        <v>147.93103448275863</v>
      </c>
      <c r="O37" s="3">
        <f t="shared" si="6"/>
        <v>104</v>
      </c>
      <c r="P37" s="5">
        <f t="shared" si="7"/>
        <v>43.931034482758633</v>
      </c>
      <c r="Q37" s="5">
        <f t="shared" si="8"/>
        <v>26.875</v>
      </c>
      <c r="R37" s="7">
        <f t="shared" si="9"/>
        <v>896.55172413793105</v>
      </c>
      <c r="S37" s="6">
        <f t="shared" si="10"/>
        <v>395</v>
      </c>
      <c r="T37" s="7">
        <f t="shared" si="11"/>
        <v>501.55172413793105</v>
      </c>
      <c r="U37" s="7">
        <f t="shared" si="12"/>
        <v>739.65517241379314</v>
      </c>
      <c r="V37" s="6">
        <f t="shared" si="12"/>
        <v>517</v>
      </c>
      <c r="W37" s="7">
        <f t="shared" si="13"/>
        <v>222.65517241379314</v>
      </c>
      <c r="X37" s="7">
        <f t="shared" si="14"/>
        <v>4482.7586206896549</v>
      </c>
      <c r="Y37" s="7">
        <f t="shared" si="14"/>
        <v>1918</v>
      </c>
      <c r="Z37" s="7">
        <f t="shared" si="15"/>
        <v>2564.7586206896549</v>
      </c>
      <c r="AA37" s="25">
        <f t="shared" si="16"/>
        <v>0.9705745645227204</v>
      </c>
      <c r="AB37" s="1"/>
    </row>
    <row r="38" spans="2:28" ht="18" x14ac:dyDescent="0.25">
      <c r="B38" s="3">
        <v>4</v>
      </c>
      <c r="C38" s="7">
        <f>C39+74</f>
        <v>664319</v>
      </c>
      <c r="D38" s="7">
        <f>D39+202</f>
        <v>1332519</v>
      </c>
      <c r="E38" s="9">
        <f>E39+101</f>
        <v>445490</v>
      </c>
      <c r="F38" s="8">
        <f t="shared" si="0"/>
        <v>2442328</v>
      </c>
      <c r="G38" s="23">
        <f t="shared" si="1"/>
        <v>2442068.8125</v>
      </c>
      <c r="H38" s="7">
        <f t="shared" si="2"/>
        <v>2442094.0625</v>
      </c>
      <c r="I38" s="7">
        <f>I39+94</f>
        <v>779213</v>
      </c>
      <c r="J38" s="6">
        <f t="shared" si="3"/>
        <v>74</v>
      </c>
      <c r="K38" s="6">
        <f t="shared" si="3"/>
        <v>202</v>
      </c>
      <c r="L38" s="6">
        <f t="shared" si="3"/>
        <v>101</v>
      </c>
      <c r="M38" s="6">
        <f t="shared" si="4"/>
        <v>94</v>
      </c>
      <c r="N38" s="5">
        <f t="shared" si="5"/>
        <v>147.93103448275863</v>
      </c>
      <c r="O38" s="3">
        <f t="shared" si="6"/>
        <v>101</v>
      </c>
      <c r="P38" s="5">
        <f t="shared" si="7"/>
        <v>46.931034482758633</v>
      </c>
      <c r="Q38" s="5">
        <f t="shared" si="8"/>
        <v>25.25</v>
      </c>
      <c r="R38" s="7">
        <f t="shared" si="9"/>
        <v>896.55172413793105</v>
      </c>
      <c r="S38" s="6">
        <f t="shared" si="10"/>
        <v>377</v>
      </c>
      <c r="T38" s="7">
        <f t="shared" si="11"/>
        <v>519.55172413793105</v>
      </c>
      <c r="U38" s="7">
        <f t="shared" si="12"/>
        <v>591.72413793103453</v>
      </c>
      <c r="V38" s="6">
        <f t="shared" si="12"/>
        <v>413</v>
      </c>
      <c r="W38" s="7">
        <f t="shared" si="13"/>
        <v>178.72413793103453</v>
      </c>
      <c r="X38" s="7">
        <f t="shared" si="14"/>
        <v>3586.2068965517242</v>
      </c>
      <c r="Y38" s="7">
        <f t="shared" si="14"/>
        <v>1523</v>
      </c>
      <c r="Z38" s="7">
        <f t="shared" si="15"/>
        <v>2063.2068965517242</v>
      </c>
      <c r="AA38" s="25">
        <f t="shared" si="16"/>
        <v>0.97029370662899628</v>
      </c>
      <c r="AB38" s="1"/>
    </row>
    <row r="39" spans="2:28" ht="18" x14ac:dyDescent="0.25">
      <c r="B39" s="3">
        <v>3</v>
      </c>
      <c r="C39" s="7">
        <f>C40+71</f>
        <v>664245</v>
      </c>
      <c r="D39" s="7">
        <f>D40+210</f>
        <v>1332317</v>
      </c>
      <c r="E39" s="9">
        <f>E40+109</f>
        <v>445389</v>
      </c>
      <c r="F39" s="8">
        <f t="shared" si="0"/>
        <v>2441951</v>
      </c>
      <c r="G39" s="23">
        <f t="shared" si="1"/>
        <v>2441682.875</v>
      </c>
      <c r="H39" s="7">
        <f t="shared" si="2"/>
        <v>2441709.125</v>
      </c>
      <c r="I39" s="7">
        <f>I40+83</f>
        <v>779119</v>
      </c>
      <c r="J39" s="6">
        <f t="shared" si="3"/>
        <v>71</v>
      </c>
      <c r="K39" s="6">
        <f t="shared" si="3"/>
        <v>210</v>
      </c>
      <c r="L39" s="6">
        <f t="shared" si="3"/>
        <v>109</v>
      </c>
      <c r="M39" s="6">
        <f t="shared" si="4"/>
        <v>83</v>
      </c>
      <c r="N39" s="5">
        <f t="shared" si="5"/>
        <v>147.93103448275863</v>
      </c>
      <c r="O39" s="3">
        <f t="shared" si="6"/>
        <v>109</v>
      </c>
      <c r="P39" s="5">
        <f t="shared" si="7"/>
        <v>38.931034482758633</v>
      </c>
      <c r="Q39" s="5">
        <f t="shared" si="8"/>
        <v>26.25</v>
      </c>
      <c r="R39" s="7">
        <f t="shared" si="9"/>
        <v>896.55172413793105</v>
      </c>
      <c r="S39" s="6">
        <f t="shared" si="10"/>
        <v>390</v>
      </c>
      <c r="T39" s="7">
        <f t="shared" si="11"/>
        <v>506.55172413793105</v>
      </c>
      <c r="U39" s="7">
        <f t="shared" si="12"/>
        <v>443.79310344827593</v>
      </c>
      <c r="V39" s="6">
        <f t="shared" si="12"/>
        <v>312</v>
      </c>
      <c r="W39" s="7">
        <f t="shared" si="13"/>
        <v>131.79310344827593</v>
      </c>
      <c r="X39" s="7">
        <f t="shared" si="14"/>
        <v>2689.655172413793</v>
      </c>
      <c r="Y39" s="7">
        <f t="shared" si="14"/>
        <v>1146</v>
      </c>
      <c r="Z39" s="7">
        <f t="shared" si="15"/>
        <v>1543.655172413793</v>
      </c>
      <c r="AA39" s="25">
        <f t="shared" si="16"/>
        <v>0.97809506608458152</v>
      </c>
      <c r="AB39" s="1"/>
    </row>
    <row r="40" spans="2:28" ht="18" x14ac:dyDescent="0.25">
      <c r="B40" s="3">
        <v>2</v>
      </c>
      <c r="C40" s="7">
        <f>C41+75</f>
        <v>664174</v>
      </c>
      <c r="D40" s="7">
        <f>D41+201</f>
        <v>1332107</v>
      </c>
      <c r="E40" s="9">
        <f>E41+103</f>
        <v>445280</v>
      </c>
      <c r="F40" s="8">
        <f t="shared" si="0"/>
        <v>2441561</v>
      </c>
      <c r="G40" s="23">
        <f t="shared" si="1"/>
        <v>2441300.4375</v>
      </c>
      <c r="H40" s="7">
        <f t="shared" si="2"/>
        <v>2441325.5625</v>
      </c>
      <c r="I40" s="7">
        <f>I41+92</f>
        <v>779036</v>
      </c>
      <c r="J40" s="6">
        <f t="shared" si="3"/>
        <v>75</v>
      </c>
      <c r="K40" s="6">
        <f t="shared" si="3"/>
        <v>201</v>
      </c>
      <c r="L40" s="6">
        <f t="shared" si="3"/>
        <v>103</v>
      </c>
      <c r="M40" s="6">
        <f t="shared" si="4"/>
        <v>92</v>
      </c>
      <c r="N40" s="5">
        <f t="shared" si="5"/>
        <v>147.93103448275863</v>
      </c>
      <c r="O40" s="3">
        <f t="shared" si="6"/>
        <v>103</v>
      </c>
      <c r="P40" s="5">
        <f t="shared" si="7"/>
        <v>44.931034482758633</v>
      </c>
      <c r="Q40" s="5">
        <f t="shared" si="8"/>
        <v>25.125</v>
      </c>
      <c r="R40" s="7">
        <f>R41</f>
        <v>896.55172413793105</v>
      </c>
      <c r="S40" s="6">
        <f t="shared" si="10"/>
        <v>379</v>
      </c>
      <c r="T40" s="7">
        <f t="shared" si="11"/>
        <v>517.55172413793105</v>
      </c>
      <c r="U40" s="7">
        <f t="shared" si="12"/>
        <v>295.86206896551727</v>
      </c>
      <c r="V40" s="6">
        <f t="shared" si="12"/>
        <v>203</v>
      </c>
      <c r="W40" s="7">
        <f t="shared" si="13"/>
        <v>92.862068965517267</v>
      </c>
      <c r="X40" s="7">
        <f t="shared" si="14"/>
        <v>1793.1034482758621</v>
      </c>
      <c r="Y40" s="7">
        <f t="shared" si="14"/>
        <v>756</v>
      </c>
      <c r="Z40" s="7">
        <f t="shared" si="15"/>
        <v>1037.1034482758621</v>
      </c>
      <c r="AA40" s="25">
        <f t="shared" si="16"/>
        <v>0.9717788992289117</v>
      </c>
      <c r="AB40" s="1"/>
    </row>
    <row r="41" spans="2:28" ht="18" x14ac:dyDescent="0.25">
      <c r="B41" s="3">
        <v>1</v>
      </c>
      <c r="C41" s="7">
        <f>C42+72</f>
        <v>664099</v>
      </c>
      <c r="D41" s="7">
        <f>D42+205</f>
        <v>1331906</v>
      </c>
      <c r="E41" s="9">
        <f>E42+100</f>
        <v>445177</v>
      </c>
      <c r="F41" s="8">
        <f t="shared" si="0"/>
        <v>2441182</v>
      </c>
      <c r="G41" s="23">
        <f>(C42+D42+E42)+((S41/24)*7.5)</f>
        <v>2440922.8125</v>
      </c>
      <c r="H41" s="7">
        <f>G41+((K41/12)*1.5)</f>
        <v>2440948.4375</v>
      </c>
      <c r="I41" s="7">
        <f>I42+89</f>
        <v>778944</v>
      </c>
      <c r="J41" s="6">
        <f t="shared" si="3"/>
        <v>72</v>
      </c>
      <c r="K41" s="6">
        <f t="shared" si="3"/>
        <v>205</v>
      </c>
      <c r="L41" s="6">
        <f t="shared" si="3"/>
        <v>100</v>
      </c>
      <c r="M41" s="6">
        <f t="shared" si="4"/>
        <v>89</v>
      </c>
      <c r="N41" s="44">
        <f>O6/29</f>
        <v>147.93103448275863</v>
      </c>
      <c r="O41" s="3">
        <f t="shared" si="6"/>
        <v>100</v>
      </c>
      <c r="P41" s="5">
        <f t="shared" si="7"/>
        <v>47.931034482758633</v>
      </c>
      <c r="Q41" s="5">
        <f t="shared" si="8"/>
        <v>25.625</v>
      </c>
      <c r="R41" s="46">
        <f>S6/29</f>
        <v>896.55172413793105</v>
      </c>
      <c r="S41" s="6">
        <f t="shared" si="10"/>
        <v>377</v>
      </c>
      <c r="T41" s="7">
        <f t="shared" si="11"/>
        <v>519.55172413793105</v>
      </c>
      <c r="U41" s="7">
        <f>N41</f>
        <v>147.93103448275863</v>
      </c>
      <c r="V41" s="6">
        <f>O41</f>
        <v>100</v>
      </c>
      <c r="W41" s="7">
        <f t="shared" si="13"/>
        <v>47.931034482758633</v>
      </c>
      <c r="X41" s="7">
        <f>R41</f>
        <v>896.55172413793105</v>
      </c>
      <c r="Y41" s="7">
        <f>S41</f>
        <v>377</v>
      </c>
      <c r="Z41" s="7">
        <f t="shared" si="15"/>
        <v>519.55172413793105</v>
      </c>
      <c r="AA41" s="25">
        <f t="shared" si="16"/>
        <v>0.97324761992521891</v>
      </c>
      <c r="AB41" s="1"/>
    </row>
    <row r="42" spans="2:28" ht="54" x14ac:dyDescent="0.25">
      <c r="B42" s="34" t="s">
        <v>13</v>
      </c>
      <c r="C42" s="8">
        <v>664027</v>
      </c>
      <c r="D42" s="8">
        <v>1331701</v>
      </c>
      <c r="E42" s="8">
        <v>445077</v>
      </c>
      <c r="F42" s="8">
        <v>2440805</v>
      </c>
      <c r="G42" s="10">
        <v>2440349.1875</v>
      </c>
      <c r="H42" s="10">
        <v>2440383.4375</v>
      </c>
      <c r="I42" s="8">
        <v>778855</v>
      </c>
      <c r="J42" s="11"/>
      <c r="K42" s="11" t="s">
        <v>39</v>
      </c>
      <c r="L42" s="11"/>
      <c r="M42" s="47">
        <f>SUM(M13:M41)</f>
        <v>2373</v>
      </c>
      <c r="N42" s="11"/>
      <c r="O42" s="11"/>
      <c r="P42" s="11"/>
      <c r="Q42" s="4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2:28" ht="18" x14ac:dyDescent="0.25"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2:28" ht="18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2:28" ht="18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8" spans="2:28" ht="18" x14ac:dyDescent="0.25">
      <c r="Z48" s="11" t="s">
        <v>38</v>
      </c>
    </row>
    <row r="49" spans="26:27" ht="18" x14ac:dyDescent="0.25">
      <c r="Z49" s="11" t="s">
        <v>44</v>
      </c>
      <c r="AA49" s="11"/>
    </row>
    <row r="50" spans="26:27" ht="18" x14ac:dyDescent="0.25">
      <c r="Z50" s="11" t="s">
        <v>45</v>
      </c>
      <c r="AA50" s="11"/>
    </row>
    <row r="51" spans="26:27" ht="18" x14ac:dyDescent="0.25">
      <c r="Z51" s="11" t="s">
        <v>12</v>
      </c>
      <c r="AA51" s="11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2:AB51"/>
  <sheetViews>
    <sheetView zoomScale="70" zoomScaleNormal="70" zoomScaleSheetLayoutView="98" workbookViewId="0">
      <pane ySplit="8" topLeftCell="A9" activePane="bottomLeft" state="frozen"/>
      <selection pane="bottomLeft" activeCell="G20" sqref="G20"/>
    </sheetView>
  </sheetViews>
  <sheetFormatPr baseColWidth="10" defaultColWidth="11.42578125" defaultRowHeight="15" x14ac:dyDescent="0.25"/>
  <cols>
    <col min="1" max="2" width="11.42578125" customWidth="1"/>
    <col min="3" max="4" width="12.28515625" bestFit="1" customWidth="1"/>
    <col min="5" max="5" width="11.42578125" customWidth="1"/>
    <col min="6" max="6" width="13.42578125" customWidth="1"/>
    <col min="7" max="7" width="14" bestFit="1" customWidth="1"/>
    <col min="8" max="8" width="12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7" t="s">
        <v>29</v>
      </c>
    </row>
    <row r="3" spans="2:28" ht="15.75" customHeight="1" x14ac:dyDescent="0.25">
      <c r="G3" s="27" t="s">
        <v>28</v>
      </c>
    </row>
    <row r="4" spans="2:28" ht="15.75" customHeight="1" x14ac:dyDescent="0.3">
      <c r="G4" s="28" t="s">
        <v>30</v>
      </c>
      <c r="N4" s="29">
        <f>'Ciencia A'!N4</f>
        <v>45323</v>
      </c>
    </row>
    <row r="5" spans="2:28" x14ac:dyDescent="0.25">
      <c r="C5" s="64" t="s">
        <v>33</v>
      </c>
      <c r="D5" s="64"/>
      <c r="T5" s="53"/>
      <c r="U5" s="53" t="s">
        <v>42</v>
      </c>
      <c r="V5" s="53" t="s">
        <v>43</v>
      </c>
    </row>
    <row r="6" spans="2:28" ht="15.75" x14ac:dyDescent="0.25">
      <c r="N6" s="14" t="s">
        <v>27</v>
      </c>
      <c r="O6" s="30">
        <f>S6*16.5%</f>
        <v>4620</v>
      </c>
      <c r="P6" s="31" t="s">
        <v>26</v>
      </c>
      <c r="Q6" s="12">
        <f>(S6*8)/100</f>
        <v>2240</v>
      </c>
      <c r="R6" s="14" t="s">
        <v>25</v>
      </c>
      <c r="S6" s="12">
        <v>28000</v>
      </c>
      <c r="T6" s="53" t="s">
        <v>41</v>
      </c>
      <c r="U6" s="53">
        <v>383.01</v>
      </c>
      <c r="V6" s="52">
        <f>U6/30</f>
        <v>12.766999999999999</v>
      </c>
    </row>
    <row r="7" spans="2:28" ht="46.5" customHeight="1" x14ac:dyDescent="0.25">
      <c r="B7" s="61" t="s">
        <v>24</v>
      </c>
      <c r="C7" s="59" t="s">
        <v>9</v>
      </c>
      <c r="D7" s="59"/>
      <c r="E7" s="59"/>
      <c r="F7" s="59"/>
      <c r="G7" s="59"/>
      <c r="H7" s="59"/>
      <c r="I7" s="59"/>
      <c r="J7" s="59" t="s">
        <v>23</v>
      </c>
      <c r="K7" s="59"/>
      <c r="L7" s="59"/>
      <c r="M7" s="59"/>
      <c r="N7" s="59" t="s">
        <v>22</v>
      </c>
      <c r="O7" s="59"/>
      <c r="P7" s="59"/>
      <c r="Q7" s="60" t="s">
        <v>21</v>
      </c>
      <c r="R7" s="59" t="s">
        <v>20</v>
      </c>
      <c r="S7" s="59"/>
      <c r="T7" s="59"/>
      <c r="U7" s="59" t="s">
        <v>10</v>
      </c>
      <c r="V7" s="59"/>
      <c r="W7" s="59"/>
      <c r="X7" s="59" t="s">
        <v>11</v>
      </c>
      <c r="Y7" s="59"/>
      <c r="Z7" s="59"/>
      <c r="AA7" s="59"/>
      <c r="AB7" s="60" t="s">
        <v>8</v>
      </c>
    </row>
    <row r="8" spans="2:28" ht="30" x14ac:dyDescent="0.25">
      <c r="B8" s="61"/>
      <c r="C8" s="15" t="s">
        <v>1</v>
      </c>
      <c r="D8" s="15" t="s">
        <v>0</v>
      </c>
      <c r="E8" s="15" t="s">
        <v>2</v>
      </c>
      <c r="F8" s="15" t="s">
        <v>19</v>
      </c>
      <c r="G8" s="15" t="s">
        <v>18</v>
      </c>
      <c r="H8" s="15" t="s">
        <v>17</v>
      </c>
      <c r="I8" s="15" t="s">
        <v>3</v>
      </c>
      <c r="J8" s="15" t="s">
        <v>1</v>
      </c>
      <c r="K8" s="15" t="s">
        <v>0</v>
      </c>
      <c r="L8" s="15" t="s">
        <v>2</v>
      </c>
      <c r="M8" s="15" t="s">
        <v>3</v>
      </c>
      <c r="N8" s="15" t="s">
        <v>4</v>
      </c>
      <c r="O8" s="15" t="s">
        <v>5</v>
      </c>
      <c r="P8" s="15" t="s">
        <v>16</v>
      </c>
      <c r="Q8" s="60"/>
      <c r="R8" s="15" t="s">
        <v>6</v>
      </c>
      <c r="S8" s="15" t="s">
        <v>15</v>
      </c>
      <c r="T8" s="15" t="s">
        <v>16</v>
      </c>
      <c r="U8" s="15" t="s">
        <v>4</v>
      </c>
      <c r="V8" s="15" t="s">
        <v>5</v>
      </c>
      <c r="W8" s="15" t="s">
        <v>16</v>
      </c>
      <c r="X8" s="15" t="s">
        <v>6</v>
      </c>
      <c r="Y8" s="15" t="s">
        <v>15</v>
      </c>
      <c r="Z8" s="32" t="s">
        <v>14</v>
      </c>
      <c r="AA8" s="15" t="s">
        <v>7</v>
      </c>
      <c r="AB8" s="60"/>
    </row>
    <row r="9" spans="2:28" x14ac:dyDescent="0.25">
      <c r="B9" s="33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3"/>
      <c r="H11" s="7"/>
      <c r="I11" s="7"/>
      <c r="J11" s="6"/>
      <c r="K11" s="6"/>
      <c r="L11" s="6"/>
      <c r="M11" s="6"/>
      <c r="N11" s="5"/>
      <c r="O11" s="24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5"/>
      <c r="AB11" s="26"/>
    </row>
    <row r="12" spans="2:28" ht="18" x14ac:dyDescent="0.25">
      <c r="B12" s="3"/>
      <c r="C12" s="7"/>
      <c r="D12" s="7"/>
      <c r="E12" s="9"/>
      <c r="F12" s="8"/>
      <c r="G12" s="23"/>
      <c r="H12" s="7"/>
      <c r="I12" s="23"/>
      <c r="J12" s="6"/>
      <c r="K12" s="6"/>
      <c r="L12" s="6"/>
      <c r="M12" s="6"/>
      <c r="N12" s="5"/>
      <c r="O12" s="24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5"/>
      <c r="AB12" s="26"/>
    </row>
    <row r="13" spans="2:28" ht="18" x14ac:dyDescent="0.25">
      <c r="B13" s="3">
        <v>29</v>
      </c>
      <c r="C13" s="7">
        <v>430629</v>
      </c>
      <c r="D13" s="7">
        <v>592807</v>
      </c>
      <c r="E13" s="9">
        <v>388107</v>
      </c>
      <c r="F13" s="8">
        <f t="shared" ref="F13:F41" si="0">C13+D13+E13</f>
        <v>1411543</v>
      </c>
      <c r="G13" s="23">
        <f t="shared" ref="G13:G40" si="1">(C14+D14+E14)+((S13/24)*5)</f>
        <v>1411057.7083333333</v>
      </c>
      <c r="H13" s="7">
        <f t="shared" ref="H13:H40" si="2">G13+((K13/12)*3)</f>
        <v>1411115.4583333333</v>
      </c>
      <c r="I13" s="23">
        <v>267555</v>
      </c>
      <c r="J13" s="6">
        <f t="shared" ref="J13:L41" si="3">C13-C14</f>
        <v>222</v>
      </c>
      <c r="K13" s="6">
        <f t="shared" si="3"/>
        <v>231</v>
      </c>
      <c r="L13" s="6">
        <f t="shared" si="3"/>
        <v>160</v>
      </c>
      <c r="M13" s="6">
        <f t="shared" ref="M13:M41" si="4">I13-I14</f>
        <v>124</v>
      </c>
      <c r="N13" s="5">
        <f t="shared" ref="N13:N40" si="5">N14</f>
        <v>159.31034482758622</v>
      </c>
      <c r="O13" s="24">
        <f t="shared" ref="O13:O41" si="6">L13</f>
        <v>160</v>
      </c>
      <c r="P13" s="5">
        <f t="shared" ref="P13:P41" si="7">N13-O13</f>
        <v>-0.68965517241377938</v>
      </c>
      <c r="Q13" s="5">
        <f t="shared" ref="Q13:Q41" si="8">H13-G13</f>
        <v>57.75</v>
      </c>
      <c r="R13" s="7">
        <f t="shared" ref="R13:R39" si="9">R14</f>
        <v>965.51724137931035</v>
      </c>
      <c r="S13" s="6">
        <f t="shared" ref="S13:S41" si="10">J13+K13+L13</f>
        <v>613</v>
      </c>
      <c r="T13" s="7">
        <f t="shared" ref="T13:T41" si="11">R13-S13</f>
        <v>352.51724137931035</v>
      </c>
      <c r="U13" s="7">
        <f t="shared" ref="U13:V40" si="12">U14+N13</f>
        <v>4619.9999999999982</v>
      </c>
      <c r="V13" s="7">
        <f t="shared" si="12"/>
        <v>6311</v>
      </c>
      <c r="W13" s="7">
        <f t="shared" ref="W13:W41" si="13">U13-V13</f>
        <v>-1691.0000000000018</v>
      </c>
      <c r="X13" s="7">
        <f t="shared" ref="X13:Y40" si="14">X14+R13</f>
        <v>28000.000000000011</v>
      </c>
      <c r="Y13" s="7">
        <f t="shared" si="14"/>
        <v>17374</v>
      </c>
      <c r="Z13" s="7">
        <f t="shared" ref="Z13:Z41" si="15">X13-Y13</f>
        <v>10626.000000000011</v>
      </c>
      <c r="AA13" s="25">
        <f t="shared" ref="AA13:AA41" si="16">COS(ATAN(M13/S13))</f>
        <v>0.98014783057377164</v>
      </c>
      <c r="AB13" s="26"/>
    </row>
    <row r="14" spans="2:28" ht="18" x14ac:dyDescent="0.25">
      <c r="B14" s="3">
        <v>28</v>
      </c>
      <c r="C14" s="7">
        <f>C15+237</f>
        <v>430407</v>
      </c>
      <c r="D14" s="7">
        <f>D15+251</f>
        <v>592576</v>
      </c>
      <c r="E14" s="9">
        <f>E15+166</f>
        <v>387947</v>
      </c>
      <c r="F14" s="8">
        <f t="shared" si="0"/>
        <v>1410930</v>
      </c>
      <c r="G14" s="23">
        <f t="shared" si="1"/>
        <v>1410412.25</v>
      </c>
      <c r="H14" s="7">
        <f t="shared" si="2"/>
        <v>1410475</v>
      </c>
      <c r="I14" s="23">
        <v>267431</v>
      </c>
      <c r="J14" s="6">
        <f t="shared" si="3"/>
        <v>237</v>
      </c>
      <c r="K14" s="6">
        <f t="shared" si="3"/>
        <v>251</v>
      </c>
      <c r="L14" s="6">
        <f t="shared" si="3"/>
        <v>166</v>
      </c>
      <c r="M14" s="6">
        <f t="shared" si="4"/>
        <v>92</v>
      </c>
      <c r="N14" s="5">
        <f t="shared" si="5"/>
        <v>159.31034482758622</v>
      </c>
      <c r="O14" s="24">
        <f t="shared" si="6"/>
        <v>166</v>
      </c>
      <c r="P14" s="5">
        <f t="shared" si="7"/>
        <v>-6.6896551724137794</v>
      </c>
      <c r="Q14" s="5">
        <f t="shared" si="8"/>
        <v>62.75</v>
      </c>
      <c r="R14" s="7">
        <f t="shared" si="9"/>
        <v>965.51724137931035</v>
      </c>
      <c r="S14" s="6">
        <f t="shared" si="10"/>
        <v>654</v>
      </c>
      <c r="T14" s="7">
        <f t="shared" si="11"/>
        <v>311.51724137931035</v>
      </c>
      <c r="U14" s="7">
        <f t="shared" si="12"/>
        <v>4460.6896551724121</v>
      </c>
      <c r="V14" s="7">
        <f t="shared" si="12"/>
        <v>6151</v>
      </c>
      <c r="W14" s="7">
        <f t="shared" si="13"/>
        <v>-1690.3103448275879</v>
      </c>
      <c r="X14" s="7">
        <f t="shared" si="14"/>
        <v>27034.482758620699</v>
      </c>
      <c r="Y14" s="7">
        <f t="shared" si="14"/>
        <v>16761</v>
      </c>
      <c r="Z14" s="7">
        <f t="shared" si="15"/>
        <v>10273.482758620699</v>
      </c>
      <c r="AA14" s="25">
        <f t="shared" si="16"/>
        <v>0.99025005283152345</v>
      </c>
      <c r="AB14" s="26"/>
    </row>
    <row r="15" spans="2:28" ht="18" x14ac:dyDescent="0.25">
      <c r="B15" s="3">
        <v>27</v>
      </c>
      <c r="C15" s="7">
        <v>430170</v>
      </c>
      <c r="D15" s="7">
        <v>592325</v>
      </c>
      <c r="E15" s="9">
        <v>387781</v>
      </c>
      <c r="F15" s="8">
        <f t="shared" si="0"/>
        <v>1410276</v>
      </c>
      <c r="G15" s="23">
        <f t="shared" si="1"/>
        <v>1409637.9166666667</v>
      </c>
      <c r="H15" s="7">
        <f t="shared" si="2"/>
        <v>1409715.4166666667</v>
      </c>
      <c r="I15" s="23">
        <v>267339</v>
      </c>
      <c r="J15" s="6">
        <f t="shared" si="3"/>
        <v>177</v>
      </c>
      <c r="K15" s="6">
        <f t="shared" si="3"/>
        <v>310</v>
      </c>
      <c r="L15" s="6">
        <f t="shared" si="3"/>
        <v>319</v>
      </c>
      <c r="M15" s="6">
        <f t="shared" si="4"/>
        <v>86</v>
      </c>
      <c r="N15" s="5">
        <f t="shared" si="5"/>
        <v>159.31034482758622</v>
      </c>
      <c r="O15" s="24">
        <f t="shared" si="6"/>
        <v>319</v>
      </c>
      <c r="P15" s="5">
        <f t="shared" si="7"/>
        <v>-159.68965517241378</v>
      </c>
      <c r="Q15" s="5">
        <f t="shared" si="8"/>
        <v>77.5</v>
      </c>
      <c r="R15" s="7">
        <f t="shared" si="9"/>
        <v>965.51724137931035</v>
      </c>
      <c r="S15" s="6">
        <f t="shared" si="10"/>
        <v>806</v>
      </c>
      <c r="T15" s="7">
        <f t="shared" si="11"/>
        <v>159.51724137931035</v>
      </c>
      <c r="U15" s="7">
        <f t="shared" si="12"/>
        <v>4301.3793103448261</v>
      </c>
      <c r="V15" s="7">
        <f t="shared" si="12"/>
        <v>5985</v>
      </c>
      <c r="W15" s="7">
        <f t="shared" si="13"/>
        <v>-1683.6206896551739</v>
      </c>
      <c r="X15" s="7">
        <f t="shared" si="14"/>
        <v>26068.965517241388</v>
      </c>
      <c r="Y15" s="7">
        <f t="shared" si="14"/>
        <v>16107</v>
      </c>
      <c r="Z15" s="7">
        <f t="shared" si="15"/>
        <v>9961.9655172413877</v>
      </c>
      <c r="AA15" s="25">
        <f t="shared" si="16"/>
        <v>0.99435573032897384</v>
      </c>
      <c r="AB15" s="26"/>
    </row>
    <row r="16" spans="2:28" ht="18" x14ac:dyDescent="0.25">
      <c r="B16" s="3">
        <v>26</v>
      </c>
      <c r="C16" s="7">
        <v>429993</v>
      </c>
      <c r="D16" s="7">
        <v>592015</v>
      </c>
      <c r="E16" s="9">
        <v>387462</v>
      </c>
      <c r="F16" s="8">
        <f t="shared" si="0"/>
        <v>1409470</v>
      </c>
      <c r="G16" s="23">
        <f t="shared" si="1"/>
        <v>1408775.7083333333</v>
      </c>
      <c r="H16" s="7">
        <f t="shared" si="2"/>
        <v>1408860.7083333333</v>
      </c>
      <c r="I16" s="23">
        <v>267253</v>
      </c>
      <c r="J16" s="6">
        <f t="shared" si="3"/>
        <v>265</v>
      </c>
      <c r="K16" s="6">
        <f t="shared" si="3"/>
        <v>340</v>
      </c>
      <c r="L16" s="6">
        <f t="shared" si="3"/>
        <v>272</v>
      </c>
      <c r="M16" s="6">
        <f t="shared" si="4"/>
        <v>158</v>
      </c>
      <c r="N16" s="5">
        <f t="shared" si="5"/>
        <v>159.31034482758622</v>
      </c>
      <c r="O16" s="24">
        <f t="shared" si="6"/>
        <v>272</v>
      </c>
      <c r="P16" s="5">
        <f t="shared" si="7"/>
        <v>-112.68965517241378</v>
      </c>
      <c r="Q16" s="5">
        <f t="shared" si="8"/>
        <v>85</v>
      </c>
      <c r="R16" s="7">
        <f t="shared" si="9"/>
        <v>965.51724137931035</v>
      </c>
      <c r="S16" s="6">
        <f t="shared" si="10"/>
        <v>877</v>
      </c>
      <c r="T16" s="7">
        <f t="shared" si="11"/>
        <v>88.517241379310349</v>
      </c>
      <c r="U16" s="7">
        <f t="shared" si="12"/>
        <v>4142.06896551724</v>
      </c>
      <c r="V16" s="7">
        <f t="shared" si="12"/>
        <v>5666</v>
      </c>
      <c r="W16" s="7">
        <f t="shared" si="13"/>
        <v>-1523.93103448276</v>
      </c>
      <c r="X16" s="7">
        <f t="shared" si="14"/>
        <v>25103.448275862076</v>
      </c>
      <c r="Y16" s="7">
        <f t="shared" si="14"/>
        <v>15301</v>
      </c>
      <c r="Z16" s="7">
        <f t="shared" si="15"/>
        <v>9802.4482758620761</v>
      </c>
      <c r="AA16" s="25">
        <f t="shared" si="16"/>
        <v>0.98415592064300161</v>
      </c>
      <c r="AB16" s="26"/>
    </row>
    <row r="17" spans="2:28" ht="18" x14ac:dyDescent="0.25">
      <c r="B17" s="3">
        <v>25</v>
      </c>
      <c r="C17" s="7">
        <f>C18+212</f>
        <v>429728</v>
      </c>
      <c r="D17" s="7">
        <f>D18+398</f>
        <v>591675</v>
      </c>
      <c r="E17" s="9">
        <f>E18+297</f>
        <v>387190</v>
      </c>
      <c r="F17" s="8">
        <f t="shared" si="0"/>
        <v>1408593</v>
      </c>
      <c r="G17" s="23">
        <f t="shared" si="1"/>
        <v>1407874.9583333333</v>
      </c>
      <c r="H17" s="7">
        <f t="shared" si="2"/>
        <v>1407974.4583333333</v>
      </c>
      <c r="I17" s="23">
        <f>I18+199</f>
        <v>267095</v>
      </c>
      <c r="J17" s="6">
        <f t="shared" si="3"/>
        <v>212</v>
      </c>
      <c r="K17" s="6">
        <f t="shared" si="3"/>
        <v>398</v>
      </c>
      <c r="L17" s="6">
        <f t="shared" si="3"/>
        <v>297</v>
      </c>
      <c r="M17" s="6">
        <f t="shared" si="4"/>
        <v>199</v>
      </c>
      <c r="N17" s="5">
        <f t="shared" si="5"/>
        <v>159.31034482758622</v>
      </c>
      <c r="O17" s="24">
        <f t="shared" si="6"/>
        <v>297</v>
      </c>
      <c r="P17" s="5">
        <f t="shared" si="7"/>
        <v>-137.68965517241378</v>
      </c>
      <c r="Q17" s="5">
        <f t="shared" si="8"/>
        <v>99.5</v>
      </c>
      <c r="R17" s="7">
        <f t="shared" si="9"/>
        <v>965.51724137931035</v>
      </c>
      <c r="S17" s="6">
        <f t="shared" si="10"/>
        <v>907</v>
      </c>
      <c r="T17" s="7">
        <f t="shared" si="11"/>
        <v>58.517241379310349</v>
      </c>
      <c r="U17" s="7">
        <f t="shared" si="12"/>
        <v>3982.758620689654</v>
      </c>
      <c r="V17" s="7">
        <f t="shared" si="12"/>
        <v>5394</v>
      </c>
      <c r="W17" s="7">
        <f t="shared" si="13"/>
        <v>-1411.241379310346</v>
      </c>
      <c r="X17" s="7">
        <f t="shared" si="14"/>
        <v>24137.931034482765</v>
      </c>
      <c r="Y17" s="7">
        <f t="shared" si="14"/>
        <v>14424</v>
      </c>
      <c r="Z17" s="7">
        <f t="shared" si="15"/>
        <v>9713.9310344827645</v>
      </c>
      <c r="AA17" s="25">
        <f t="shared" si="16"/>
        <v>0.97676634093226034</v>
      </c>
      <c r="AB17" s="26"/>
    </row>
    <row r="18" spans="2:28" ht="18" x14ac:dyDescent="0.25">
      <c r="B18" s="3">
        <v>24</v>
      </c>
      <c r="C18" s="7">
        <f>C19+29</f>
        <v>429516</v>
      </c>
      <c r="D18" s="7">
        <f>D19+118</f>
        <v>591277</v>
      </c>
      <c r="E18" s="9">
        <f>E19+133</f>
        <v>386893</v>
      </c>
      <c r="F18" s="10">
        <f>C18+D18+E18</f>
        <v>1407686</v>
      </c>
      <c r="G18" s="23">
        <f t="shared" si="1"/>
        <v>1407464.3333333333</v>
      </c>
      <c r="H18" s="7">
        <f t="shared" si="2"/>
        <v>1407493.8333333333</v>
      </c>
      <c r="I18" s="23">
        <f>I19+21</f>
        <v>266896</v>
      </c>
      <c r="J18" s="6">
        <f t="shared" si="3"/>
        <v>29</v>
      </c>
      <c r="K18" s="6">
        <f t="shared" si="3"/>
        <v>118</v>
      </c>
      <c r="L18" s="6">
        <f t="shared" si="3"/>
        <v>133</v>
      </c>
      <c r="M18" s="6">
        <f t="shared" si="4"/>
        <v>21</v>
      </c>
      <c r="N18" s="5">
        <f t="shared" si="5"/>
        <v>159.31034482758622</v>
      </c>
      <c r="O18" s="24">
        <f t="shared" si="6"/>
        <v>133</v>
      </c>
      <c r="P18" s="5">
        <f t="shared" si="7"/>
        <v>26.310344827586221</v>
      </c>
      <c r="Q18" s="5">
        <f t="shared" si="8"/>
        <v>29.5</v>
      </c>
      <c r="R18" s="7">
        <f t="shared" si="9"/>
        <v>965.51724137931035</v>
      </c>
      <c r="S18" s="6">
        <f t="shared" si="10"/>
        <v>280</v>
      </c>
      <c r="T18" s="7">
        <f t="shared" si="11"/>
        <v>685.51724137931035</v>
      </c>
      <c r="U18" s="7">
        <f t="shared" si="12"/>
        <v>3823.4482758620679</v>
      </c>
      <c r="V18" s="7">
        <f t="shared" si="12"/>
        <v>5097</v>
      </c>
      <c r="W18" s="7">
        <f t="shared" si="13"/>
        <v>-1273.5517241379321</v>
      </c>
      <c r="X18" s="7">
        <f t="shared" si="14"/>
        <v>23172.413793103453</v>
      </c>
      <c r="Y18" s="7">
        <f t="shared" si="14"/>
        <v>13517</v>
      </c>
      <c r="Z18" s="7">
        <f t="shared" si="15"/>
        <v>9655.4137931034529</v>
      </c>
      <c r="AA18" s="25">
        <f t="shared" si="16"/>
        <v>0.9971993098884564</v>
      </c>
      <c r="AB18" s="26"/>
    </row>
    <row r="19" spans="2:28" ht="18" x14ac:dyDescent="0.25">
      <c r="B19" s="3">
        <v>23</v>
      </c>
      <c r="C19" s="7">
        <f>C20+38</f>
        <v>429487</v>
      </c>
      <c r="D19" s="7">
        <f>D20+40</f>
        <v>591159</v>
      </c>
      <c r="E19" s="9">
        <f>E20+31</f>
        <v>386760</v>
      </c>
      <c r="F19" s="10">
        <f>C19+D19+E19</f>
        <v>1407406</v>
      </c>
      <c r="G19" s="23">
        <f t="shared" si="1"/>
        <v>1407319.7083333333</v>
      </c>
      <c r="H19" s="7">
        <f t="shared" si="2"/>
        <v>1407329.7083333333</v>
      </c>
      <c r="I19" s="23">
        <f>I20+30</f>
        <v>266875</v>
      </c>
      <c r="J19" s="6">
        <f t="shared" si="3"/>
        <v>38</v>
      </c>
      <c r="K19" s="6">
        <f t="shared" si="3"/>
        <v>40</v>
      </c>
      <c r="L19" s="6">
        <f t="shared" si="3"/>
        <v>31</v>
      </c>
      <c r="M19" s="6">
        <f t="shared" si="4"/>
        <v>30</v>
      </c>
      <c r="N19" s="5">
        <f t="shared" si="5"/>
        <v>159.31034482758622</v>
      </c>
      <c r="O19" s="3">
        <f t="shared" si="6"/>
        <v>31</v>
      </c>
      <c r="P19" s="5">
        <f t="shared" si="7"/>
        <v>128.31034482758622</v>
      </c>
      <c r="Q19" s="5">
        <f t="shared" si="8"/>
        <v>10</v>
      </c>
      <c r="R19" s="7">
        <f t="shared" si="9"/>
        <v>965.51724137931035</v>
      </c>
      <c r="S19" s="6">
        <f t="shared" si="10"/>
        <v>109</v>
      </c>
      <c r="T19" s="7">
        <f t="shared" si="11"/>
        <v>856.51724137931035</v>
      </c>
      <c r="U19" s="7">
        <f t="shared" si="12"/>
        <v>3664.1379310344819</v>
      </c>
      <c r="V19" s="7">
        <f t="shared" si="12"/>
        <v>4964</v>
      </c>
      <c r="W19" s="7">
        <f t="shared" si="13"/>
        <v>-1299.8620689655181</v>
      </c>
      <c r="X19" s="7">
        <f t="shared" si="14"/>
        <v>22206.896551724141</v>
      </c>
      <c r="Y19" s="7">
        <f t="shared" si="14"/>
        <v>13237</v>
      </c>
      <c r="Z19" s="7">
        <f t="shared" si="15"/>
        <v>8969.8965517241413</v>
      </c>
      <c r="AA19" s="25">
        <f t="shared" si="16"/>
        <v>0.96414883432388798</v>
      </c>
      <c r="AB19" s="1"/>
    </row>
    <row r="20" spans="2:28" ht="18" x14ac:dyDescent="0.25">
      <c r="B20" s="3">
        <v>22</v>
      </c>
      <c r="C20" s="7">
        <v>429449</v>
      </c>
      <c r="D20" s="7">
        <v>591119</v>
      </c>
      <c r="E20" s="9">
        <v>386729</v>
      </c>
      <c r="F20" s="10">
        <f>C20+D20+E20</f>
        <v>1407297</v>
      </c>
      <c r="G20" s="23">
        <f t="shared" si="1"/>
        <v>1406816.4583333333</v>
      </c>
      <c r="H20" s="7">
        <f t="shared" si="2"/>
        <v>1406879.4583333333</v>
      </c>
      <c r="I20" s="23">
        <v>266845</v>
      </c>
      <c r="J20" s="6">
        <f t="shared" si="3"/>
        <v>67</v>
      </c>
      <c r="K20" s="6">
        <f t="shared" si="3"/>
        <v>252</v>
      </c>
      <c r="L20" s="6">
        <f t="shared" si="3"/>
        <v>288</v>
      </c>
      <c r="M20" s="6">
        <f t="shared" si="4"/>
        <v>60</v>
      </c>
      <c r="N20" s="5">
        <f t="shared" si="5"/>
        <v>159.31034482758622</v>
      </c>
      <c r="O20" s="3">
        <f t="shared" si="6"/>
        <v>288</v>
      </c>
      <c r="P20" s="5">
        <f t="shared" si="7"/>
        <v>-128.68965517241378</v>
      </c>
      <c r="Q20" s="5">
        <f t="shared" si="8"/>
        <v>63</v>
      </c>
      <c r="R20" s="7">
        <f t="shared" si="9"/>
        <v>965.51724137931035</v>
      </c>
      <c r="S20" s="6">
        <f t="shared" si="10"/>
        <v>607</v>
      </c>
      <c r="T20" s="7">
        <f t="shared" si="11"/>
        <v>358.51724137931035</v>
      </c>
      <c r="U20" s="7">
        <f t="shared" si="12"/>
        <v>3504.8275862068958</v>
      </c>
      <c r="V20" s="7">
        <f t="shared" si="12"/>
        <v>4933</v>
      </c>
      <c r="W20" s="7">
        <f t="shared" si="13"/>
        <v>-1428.1724137931042</v>
      </c>
      <c r="X20" s="7">
        <f t="shared" si="14"/>
        <v>21241.37931034483</v>
      </c>
      <c r="Y20" s="7">
        <f t="shared" si="14"/>
        <v>13128</v>
      </c>
      <c r="Z20" s="7">
        <f t="shared" si="15"/>
        <v>8113.3793103448297</v>
      </c>
      <c r="AA20" s="25">
        <f t="shared" si="16"/>
        <v>0.99515016715625249</v>
      </c>
      <c r="AB20" s="1"/>
    </row>
    <row r="21" spans="2:28" ht="18" x14ac:dyDescent="0.25">
      <c r="B21" s="3">
        <v>21</v>
      </c>
      <c r="C21" s="7">
        <v>429382</v>
      </c>
      <c r="D21" s="7">
        <v>590867</v>
      </c>
      <c r="E21" s="9">
        <v>386441</v>
      </c>
      <c r="F21" s="8">
        <f t="shared" si="0"/>
        <v>1406690</v>
      </c>
      <c r="G21" s="23">
        <f t="shared" si="1"/>
        <v>1406040.0416666667</v>
      </c>
      <c r="H21" s="7">
        <f t="shared" si="2"/>
        <v>1406110.7916666667</v>
      </c>
      <c r="I21" s="23">
        <v>266785</v>
      </c>
      <c r="J21" s="6">
        <f t="shared" si="3"/>
        <v>253</v>
      </c>
      <c r="K21" s="6">
        <f t="shared" si="3"/>
        <v>283</v>
      </c>
      <c r="L21" s="6">
        <f t="shared" si="3"/>
        <v>285</v>
      </c>
      <c r="M21" s="6">
        <f t="shared" si="4"/>
        <v>96</v>
      </c>
      <c r="N21" s="5">
        <f t="shared" si="5"/>
        <v>159.31034482758622</v>
      </c>
      <c r="O21" s="3">
        <f t="shared" si="6"/>
        <v>285</v>
      </c>
      <c r="P21" s="5">
        <f t="shared" si="7"/>
        <v>-125.68965517241378</v>
      </c>
      <c r="Q21" s="5">
        <f t="shared" si="8"/>
        <v>70.75</v>
      </c>
      <c r="R21" s="7">
        <f t="shared" si="9"/>
        <v>965.51724137931035</v>
      </c>
      <c r="S21" s="6">
        <f t="shared" si="10"/>
        <v>821</v>
      </c>
      <c r="T21" s="7">
        <f t="shared" si="11"/>
        <v>144.51724137931035</v>
      </c>
      <c r="U21" s="7">
        <f t="shared" si="12"/>
        <v>3345.5172413793098</v>
      </c>
      <c r="V21" s="7">
        <f t="shared" si="12"/>
        <v>4645</v>
      </c>
      <c r="W21" s="7">
        <f t="shared" si="13"/>
        <v>-1299.4827586206902</v>
      </c>
      <c r="X21" s="7">
        <f t="shared" si="14"/>
        <v>20275.862068965518</v>
      </c>
      <c r="Y21" s="7">
        <f t="shared" si="14"/>
        <v>12521</v>
      </c>
      <c r="Z21" s="7">
        <f t="shared" si="15"/>
        <v>7754.8620689655181</v>
      </c>
      <c r="AA21" s="25">
        <f t="shared" si="16"/>
        <v>0.99323293541136637</v>
      </c>
      <c r="AB21" s="1"/>
    </row>
    <row r="22" spans="2:28" ht="18" x14ac:dyDescent="0.25">
      <c r="B22" s="3">
        <v>20</v>
      </c>
      <c r="C22" s="7">
        <v>429129</v>
      </c>
      <c r="D22" s="7">
        <v>590584</v>
      </c>
      <c r="E22" s="9">
        <v>386156</v>
      </c>
      <c r="F22" s="8">
        <f t="shared" si="0"/>
        <v>1405869</v>
      </c>
      <c r="G22" s="23">
        <f t="shared" si="1"/>
        <v>1405006.0833333333</v>
      </c>
      <c r="H22" s="7">
        <f t="shared" si="2"/>
        <v>1405083.8333333333</v>
      </c>
      <c r="I22" s="23">
        <v>266689</v>
      </c>
      <c r="J22" s="6">
        <f t="shared" si="3"/>
        <v>374</v>
      </c>
      <c r="K22" s="6">
        <f t="shared" si="3"/>
        <v>311</v>
      </c>
      <c r="L22" s="6">
        <f t="shared" si="3"/>
        <v>405</v>
      </c>
      <c r="M22" s="6">
        <f t="shared" si="4"/>
        <v>128</v>
      </c>
      <c r="N22" s="5">
        <f t="shared" si="5"/>
        <v>159.31034482758622</v>
      </c>
      <c r="O22" s="3">
        <f t="shared" si="6"/>
        <v>405</v>
      </c>
      <c r="P22" s="5">
        <f t="shared" si="7"/>
        <v>-245.68965517241378</v>
      </c>
      <c r="Q22" s="5">
        <v>11</v>
      </c>
      <c r="R22" s="7">
        <f t="shared" si="9"/>
        <v>965.51724137931035</v>
      </c>
      <c r="S22" s="6">
        <f t="shared" si="10"/>
        <v>1090</v>
      </c>
      <c r="T22" s="7">
        <f t="shared" si="11"/>
        <v>-124.48275862068965</v>
      </c>
      <c r="U22" s="7">
        <f t="shared" si="12"/>
        <v>3186.2068965517237</v>
      </c>
      <c r="V22" s="7">
        <f t="shared" si="12"/>
        <v>4360</v>
      </c>
      <c r="W22" s="7">
        <f t="shared" si="13"/>
        <v>-1173.7931034482763</v>
      </c>
      <c r="X22" s="7">
        <f t="shared" si="14"/>
        <v>19310.344827586207</v>
      </c>
      <c r="Y22" s="7">
        <f t="shared" si="14"/>
        <v>11700</v>
      </c>
      <c r="Z22" s="7">
        <f t="shared" si="15"/>
        <v>7610.3448275862065</v>
      </c>
      <c r="AA22" s="25">
        <f t="shared" si="16"/>
        <v>0.99317546017550373</v>
      </c>
      <c r="AB22" s="1"/>
    </row>
    <row r="23" spans="2:28" ht="18" x14ac:dyDescent="0.25">
      <c r="B23" s="3">
        <v>19</v>
      </c>
      <c r="C23" s="7">
        <v>428755</v>
      </c>
      <c r="D23" s="7">
        <v>590273</v>
      </c>
      <c r="E23" s="9">
        <v>385751</v>
      </c>
      <c r="F23" s="10">
        <f>C23+D23+E23</f>
        <v>1404779</v>
      </c>
      <c r="G23" s="23">
        <f t="shared" si="1"/>
        <v>1403974.6666666667</v>
      </c>
      <c r="H23" s="7">
        <f t="shared" si="2"/>
        <v>1404071.1666666667</v>
      </c>
      <c r="I23" s="23">
        <v>266561</v>
      </c>
      <c r="J23" s="6">
        <f t="shared" si="3"/>
        <v>209</v>
      </c>
      <c r="K23" s="6">
        <f t="shared" si="3"/>
        <v>386</v>
      </c>
      <c r="L23" s="6">
        <f t="shared" si="3"/>
        <v>421</v>
      </c>
      <c r="M23" s="6">
        <f t="shared" si="4"/>
        <v>163</v>
      </c>
      <c r="N23" s="5">
        <f t="shared" si="5"/>
        <v>159.31034482758622</v>
      </c>
      <c r="O23" s="3">
        <f t="shared" si="6"/>
        <v>421</v>
      </c>
      <c r="P23" s="5">
        <f t="shared" si="7"/>
        <v>-261.68965517241378</v>
      </c>
      <c r="Q23" s="5">
        <f t="shared" si="8"/>
        <v>96.5</v>
      </c>
      <c r="R23" s="7">
        <f t="shared" si="9"/>
        <v>965.51724137931035</v>
      </c>
      <c r="S23" s="6">
        <f t="shared" si="10"/>
        <v>1016</v>
      </c>
      <c r="T23" s="7">
        <f t="shared" si="11"/>
        <v>-50.482758620689651</v>
      </c>
      <c r="U23" s="7">
        <f t="shared" si="12"/>
        <v>3026.8965517241377</v>
      </c>
      <c r="V23" s="7">
        <f t="shared" si="12"/>
        <v>3955</v>
      </c>
      <c r="W23" s="7">
        <f t="shared" si="13"/>
        <v>-928.10344827586232</v>
      </c>
      <c r="X23" s="7">
        <f t="shared" si="14"/>
        <v>18344.827586206895</v>
      </c>
      <c r="Y23" s="7">
        <f t="shared" si="14"/>
        <v>10610</v>
      </c>
      <c r="Z23" s="7">
        <f t="shared" si="15"/>
        <v>7734.8275862068949</v>
      </c>
      <c r="AA23" s="25">
        <f t="shared" si="16"/>
        <v>0.98737383518443456</v>
      </c>
      <c r="AB23" s="1"/>
    </row>
    <row r="24" spans="2:28" ht="18" x14ac:dyDescent="0.25">
      <c r="B24" s="3">
        <v>18</v>
      </c>
      <c r="C24" s="7">
        <v>428546</v>
      </c>
      <c r="D24" s="7">
        <v>589887</v>
      </c>
      <c r="E24" s="9">
        <v>385330</v>
      </c>
      <c r="F24" s="8">
        <f t="shared" si="0"/>
        <v>1403763</v>
      </c>
      <c r="G24" s="23">
        <f t="shared" si="1"/>
        <v>1403296.7083333333</v>
      </c>
      <c r="H24" s="7">
        <f t="shared" si="2"/>
        <v>1403356.4583333333</v>
      </c>
      <c r="I24" s="23">
        <v>266398</v>
      </c>
      <c r="J24" s="6">
        <f t="shared" si="3"/>
        <v>179</v>
      </c>
      <c r="K24" s="6">
        <f t="shared" si="3"/>
        <v>239</v>
      </c>
      <c r="L24" s="6">
        <f t="shared" si="3"/>
        <v>171</v>
      </c>
      <c r="M24" s="6">
        <f t="shared" si="4"/>
        <v>100</v>
      </c>
      <c r="N24" s="5">
        <f t="shared" si="5"/>
        <v>159.31034482758622</v>
      </c>
      <c r="O24" s="3">
        <f t="shared" si="6"/>
        <v>171</v>
      </c>
      <c r="P24" s="5">
        <f t="shared" si="7"/>
        <v>-11.689655172413779</v>
      </c>
      <c r="Q24" s="5">
        <v>10</v>
      </c>
      <c r="R24" s="7">
        <f t="shared" si="9"/>
        <v>965.51724137931035</v>
      </c>
      <c r="S24" s="6">
        <f t="shared" si="10"/>
        <v>589</v>
      </c>
      <c r="T24" s="7">
        <f t="shared" si="11"/>
        <v>376.51724137931035</v>
      </c>
      <c r="U24" s="7">
        <f t="shared" si="12"/>
        <v>2867.5862068965516</v>
      </c>
      <c r="V24" s="7">
        <f t="shared" si="12"/>
        <v>3534</v>
      </c>
      <c r="W24" s="7">
        <f t="shared" si="13"/>
        <v>-666.41379310344837</v>
      </c>
      <c r="X24" s="7">
        <f t="shared" si="14"/>
        <v>17379.310344827583</v>
      </c>
      <c r="Y24" s="7">
        <f t="shared" si="14"/>
        <v>9594</v>
      </c>
      <c r="Z24" s="7">
        <f t="shared" si="15"/>
        <v>7785.3103448275833</v>
      </c>
      <c r="AA24" s="25">
        <f t="shared" si="16"/>
        <v>0.98589177681344897</v>
      </c>
      <c r="AB24" s="1"/>
    </row>
    <row r="25" spans="2:28" ht="18" x14ac:dyDescent="0.25">
      <c r="B25" s="3">
        <v>17</v>
      </c>
      <c r="C25" s="7">
        <f>C26+155</f>
        <v>428367</v>
      </c>
      <c r="D25" s="7">
        <f>D26+241</f>
        <v>589648</v>
      </c>
      <c r="E25" s="9">
        <f>E26+148</f>
        <v>385159</v>
      </c>
      <c r="F25" s="8">
        <f t="shared" si="0"/>
        <v>1403174</v>
      </c>
      <c r="G25" s="23">
        <f t="shared" si="1"/>
        <v>1402743.3333333333</v>
      </c>
      <c r="H25" s="7">
        <f t="shared" si="2"/>
        <v>1402803.5833333333</v>
      </c>
      <c r="I25" s="23">
        <f>I26+87</f>
        <v>266298</v>
      </c>
      <c r="J25" s="6">
        <f t="shared" si="3"/>
        <v>155</v>
      </c>
      <c r="K25" s="6">
        <f t="shared" si="3"/>
        <v>241</v>
      </c>
      <c r="L25" s="6">
        <f t="shared" si="3"/>
        <v>148</v>
      </c>
      <c r="M25" s="7">
        <f t="shared" si="4"/>
        <v>87</v>
      </c>
      <c r="N25" s="5">
        <f t="shared" si="5"/>
        <v>159.31034482758622</v>
      </c>
      <c r="O25" s="3">
        <f t="shared" si="6"/>
        <v>148</v>
      </c>
      <c r="P25" s="5">
        <f t="shared" si="7"/>
        <v>11.310344827586221</v>
      </c>
      <c r="Q25" s="5">
        <v>14</v>
      </c>
      <c r="R25" s="7">
        <f t="shared" si="9"/>
        <v>965.51724137931035</v>
      </c>
      <c r="S25" s="6">
        <f t="shared" si="10"/>
        <v>544</v>
      </c>
      <c r="T25" s="7">
        <f t="shared" si="11"/>
        <v>421.51724137931035</v>
      </c>
      <c r="U25" s="7">
        <f t="shared" si="12"/>
        <v>2708.2758620689656</v>
      </c>
      <c r="V25" s="6">
        <f t="shared" si="12"/>
        <v>3363</v>
      </c>
      <c r="W25" s="7">
        <f t="shared" si="13"/>
        <v>-654.72413793103442</v>
      </c>
      <c r="X25" s="7">
        <f t="shared" si="14"/>
        <v>16413.793103448272</v>
      </c>
      <c r="Y25" s="7">
        <f t="shared" si="14"/>
        <v>9005</v>
      </c>
      <c r="Z25" s="7">
        <f t="shared" si="15"/>
        <v>7408.7931034482717</v>
      </c>
      <c r="AA25" s="25">
        <f t="shared" si="16"/>
        <v>0.9874519564867863</v>
      </c>
      <c r="AB25" s="1"/>
    </row>
    <row r="26" spans="2:28" ht="18" x14ac:dyDescent="0.25">
      <c r="B26" s="3">
        <v>16</v>
      </c>
      <c r="C26" s="7">
        <f>C27+162</f>
        <v>428212</v>
      </c>
      <c r="D26" s="7">
        <f>D27+237</f>
        <v>589407</v>
      </c>
      <c r="E26" s="9">
        <f>E27+139</f>
        <v>385011</v>
      </c>
      <c r="F26" s="8">
        <f t="shared" si="0"/>
        <v>1402630</v>
      </c>
      <c r="G26" s="23">
        <f t="shared" si="1"/>
        <v>1402204.0833333333</v>
      </c>
      <c r="H26" s="7">
        <f t="shared" si="2"/>
        <v>1402263.3333333333</v>
      </c>
      <c r="I26" s="23">
        <f>I27+92</f>
        <v>266211</v>
      </c>
      <c r="J26" s="6">
        <f t="shared" si="3"/>
        <v>162</v>
      </c>
      <c r="K26" s="6">
        <f t="shared" si="3"/>
        <v>237</v>
      </c>
      <c r="L26" s="6">
        <f t="shared" si="3"/>
        <v>139</v>
      </c>
      <c r="M26" s="7">
        <f t="shared" si="4"/>
        <v>92</v>
      </c>
      <c r="N26" s="5">
        <f t="shared" si="5"/>
        <v>159.31034482758622</v>
      </c>
      <c r="O26" s="3">
        <f t="shared" si="6"/>
        <v>139</v>
      </c>
      <c r="P26" s="5">
        <f t="shared" si="7"/>
        <v>20.310344827586221</v>
      </c>
      <c r="Q26" s="5">
        <f t="shared" si="8"/>
        <v>59.25</v>
      </c>
      <c r="R26" s="7">
        <f t="shared" si="9"/>
        <v>965.51724137931035</v>
      </c>
      <c r="S26" s="6">
        <f t="shared" si="10"/>
        <v>538</v>
      </c>
      <c r="T26" s="7">
        <f t="shared" si="11"/>
        <v>427.51724137931035</v>
      </c>
      <c r="U26" s="7">
        <f t="shared" si="12"/>
        <v>2548.9655172413795</v>
      </c>
      <c r="V26" s="6">
        <f t="shared" si="12"/>
        <v>3215</v>
      </c>
      <c r="W26" s="7">
        <f t="shared" si="13"/>
        <v>-666.03448275862047</v>
      </c>
      <c r="X26" s="7">
        <f t="shared" si="14"/>
        <v>15448.275862068962</v>
      </c>
      <c r="Y26" s="7">
        <f t="shared" si="14"/>
        <v>8461</v>
      </c>
      <c r="Z26" s="7">
        <f t="shared" si="15"/>
        <v>6987.2758620689619</v>
      </c>
      <c r="AA26" s="25">
        <f t="shared" si="16"/>
        <v>0.98569191135683487</v>
      </c>
      <c r="AB26" s="1"/>
    </row>
    <row r="27" spans="2:28" ht="18" x14ac:dyDescent="0.25">
      <c r="B27" s="3">
        <v>15</v>
      </c>
      <c r="C27" s="7">
        <f>C28+133</f>
        <v>428050</v>
      </c>
      <c r="D27" s="7">
        <f>D28+230</f>
        <v>589170</v>
      </c>
      <c r="E27" s="9">
        <f>E28+150</f>
        <v>384872</v>
      </c>
      <c r="F27" s="8">
        <f t="shared" si="0"/>
        <v>1402092</v>
      </c>
      <c r="G27" s="23">
        <f t="shared" si="1"/>
        <v>1401685.875</v>
      </c>
      <c r="H27" s="7">
        <f t="shared" si="2"/>
        <v>1401743.375</v>
      </c>
      <c r="I27" s="23">
        <f>I28+88</f>
        <v>266119</v>
      </c>
      <c r="J27" s="6">
        <f t="shared" si="3"/>
        <v>133</v>
      </c>
      <c r="K27" s="6">
        <f t="shared" si="3"/>
        <v>230</v>
      </c>
      <c r="L27" s="6">
        <f t="shared" si="3"/>
        <v>150</v>
      </c>
      <c r="M27" s="7">
        <f t="shared" si="4"/>
        <v>88</v>
      </c>
      <c r="N27" s="5">
        <f t="shared" si="5"/>
        <v>159.31034482758622</v>
      </c>
      <c r="O27" s="3">
        <f t="shared" si="6"/>
        <v>150</v>
      </c>
      <c r="P27" s="5">
        <f t="shared" si="7"/>
        <v>9.3103448275862206</v>
      </c>
      <c r="Q27" s="5">
        <f t="shared" si="8"/>
        <v>57.5</v>
      </c>
      <c r="R27" s="7">
        <f t="shared" si="9"/>
        <v>965.51724137931035</v>
      </c>
      <c r="S27" s="6">
        <f t="shared" si="10"/>
        <v>513</v>
      </c>
      <c r="T27" s="7">
        <f t="shared" si="11"/>
        <v>452.51724137931035</v>
      </c>
      <c r="U27" s="7">
        <f t="shared" si="12"/>
        <v>2389.6551724137935</v>
      </c>
      <c r="V27" s="6">
        <f t="shared" si="12"/>
        <v>3076</v>
      </c>
      <c r="W27" s="7">
        <f t="shared" si="13"/>
        <v>-686.34482758620652</v>
      </c>
      <c r="X27" s="7">
        <f t="shared" si="14"/>
        <v>14482.758620689652</v>
      </c>
      <c r="Y27" s="7">
        <f t="shared" si="14"/>
        <v>7923</v>
      </c>
      <c r="Z27" s="7">
        <f t="shared" si="15"/>
        <v>6559.7586206896522</v>
      </c>
      <c r="AA27" s="25">
        <f t="shared" si="16"/>
        <v>0.98560396588398003</v>
      </c>
      <c r="AB27" s="1"/>
    </row>
    <row r="28" spans="2:28" ht="18" x14ac:dyDescent="0.25">
      <c r="B28" s="3">
        <v>14</v>
      </c>
      <c r="C28" s="7">
        <v>427917</v>
      </c>
      <c r="D28" s="7">
        <v>588940</v>
      </c>
      <c r="E28" s="9">
        <v>384722</v>
      </c>
      <c r="F28" s="8">
        <f t="shared" si="0"/>
        <v>1401579</v>
      </c>
      <c r="G28" s="23">
        <f t="shared" si="1"/>
        <v>1400965.4583333333</v>
      </c>
      <c r="H28" s="7">
        <f t="shared" si="2"/>
        <v>1401012.2083333333</v>
      </c>
      <c r="I28" s="7">
        <v>266031</v>
      </c>
      <c r="J28" s="6">
        <f t="shared" si="3"/>
        <v>284</v>
      </c>
      <c r="K28" s="6">
        <f t="shared" si="3"/>
        <v>187</v>
      </c>
      <c r="L28" s="6">
        <f t="shared" si="3"/>
        <v>304</v>
      </c>
      <c r="M28" s="7">
        <f t="shared" si="4"/>
        <v>79</v>
      </c>
      <c r="N28" s="5">
        <f t="shared" si="5"/>
        <v>159.31034482758622</v>
      </c>
      <c r="O28" s="3">
        <f t="shared" si="6"/>
        <v>304</v>
      </c>
      <c r="P28" s="5">
        <f t="shared" si="7"/>
        <v>-144.68965517241378</v>
      </c>
      <c r="Q28" s="5">
        <f t="shared" si="8"/>
        <v>46.75</v>
      </c>
      <c r="R28" s="7">
        <f t="shared" si="9"/>
        <v>965.51724137931035</v>
      </c>
      <c r="S28" s="6">
        <f t="shared" si="10"/>
        <v>775</v>
      </c>
      <c r="T28" s="7">
        <f t="shared" si="11"/>
        <v>190.51724137931035</v>
      </c>
      <c r="U28" s="7">
        <f t="shared" si="12"/>
        <v>2230.3448275862074</v>
      </c>
      <c r="V28" s="6">
        <f t="shared" si="12"/>
        <v>2926</v>
      </c>
      <c r="W28" s="7">
        <f t="shared" si="13"/>
        <v>-695.65517241379257</v>
      </c>
      <c r="X28" s="7">
        <f t="shared" si="14"/>
        <v>13517.241379310342</v>
      </c>
      <c r="Y28" s="7">
        <f t="shared" si="14"/>
        <v>7410</v>
      </c>
      <c r="Z28" s="7">
        <f t="shared" si="15"/>
        <v>6107.2413793103424</v>
      </c>
      <c r="AA28" s="25">
        <f t="shared" si="16"/>
        <v>0.99484471973561028</v>
      </c>
      <c r="AB28" s="1"/>
    </row>
    <row r="29" spans="2:28" ht="18" x14ac:dyDescent="0.25">
      <c r="B29" s="3">
        <v>13</v>
      </c>
      <c r="C29" s="7">
        <v>427633</v>
      </c>
      <c r="D29" s="7">
        <f>D30+211</f>
        <v>588753</v>
      </c>
      <c r="E29" s="9">
        <f>E30+300</f>
        <v>384418</v>
      </c>
      <c r="F29" s="8">
        <f t="shared" si="0"/>
        <v>1400804</v>
      </c>
      <c r="G29" s="23">
        <f t="shared" si="1"/>
        <v>1400246.6666666667</v>
      </c>
      <c r="H29" s="7">
        <f t="shared" si="2"/>
        <v>1400299.4166666667</v>
      </c>
      <c r="I29" s="7">
        <v>265952</v>
      </c>
      <c r="J29" s="6">
        <f t="shared" si="3"/>
        <v>193</v>
      </c>
      <c r="K29" s="6">
        <f t="shared" si="3"/>
        <v>211</v>
      </c>
      <c r="L29" s="6">
        <f t="shared" si="3"/>
        <v>300</v>
      </c>
      <c r="M29" s="6">
        <f t="shared" si="4"/>
        <v>97</v>
      </c>
      <c r="N29" s="5">
        <f t="shared" si="5"/>
        <v>159.31034482758622</v>
      </c>
      <c r="O29" s="3">
        <f t="shared" si="6"/>
        <v>300</v>
      </c>
      <c r="P29" s="5">
        <f t="shared" si="7"/>
        <v>-140.68965517241378</v>
      </c>
      <c r="Q29" s="5">
        <f t="shared" si="8"/>
        <v>52.75</v>
      </c>
      <c r="R29" s="7">
        <f t="shared" si="9"/>
        <v>965.51724137931035</v>
      </c>
      <c r="S29" s="6">
        <f t="shared" si="10"/>
        <v>704</v>
      </c>
      <c r="T29" s="7">
        <f t="shared" si="11"/>
        <v>261.51724137931035</v>
      </c>
      <c r="U29" s="7">
        <f t="shared" si="12"/>
        <v>2071.0344827586214</v>
      </c>
      <c r="V29" s="6">
        <f t="shared" si="12"/>
        <v>2622</v>
      </c>
      <c r="W29" s="7">
        <f t="shared" si="13"/>
        <v>-550.96551724137862</v>
      </c>
      <c r="X29" s="7">
        <f t="shared" si="14"/>
        <v>12551.724137931033</v>
      </c>
      <c r="Y29" s="7">
        <f t="shared" si="14"/>
        <v>6635</v>
      </c>
      <c r="Z29" s="7">
        <f t="shared" si="15"/>
        <v>5916.7241379310326</v>
      </c>
      <c r="AA29" s="25">
        <f t="shared" si="16"/>
        <v>0.99064082247128138</v>
      </c>
      <c r="AB29" s="1"/>
    </row>
    <row r="30" spans="2:28" ht="18" x14ac:dyDescent="0.25">
      <c r="B30" s="3">
        <v>12</v>
      </c>
      <c r="C30" s="7">
        <v>427440</v>
      </c>
      <c r="D30" s="7">
        <v>588542</v>
      </c>
      <c r="E30" s="9">
        <v>384118</v>
      </c>
      <c r="F30" s="8">
        <f t="shared" si="0"/>
        <v>1400100</v>
      </c>
      <c r="G30" s="23">
        <f t="shared" si="1"/>
        <v>1399931.375</v>
      </c>
      <c r="H30" s="7">
        <f t="shared" si="2"/>
        <v>1399949.375</v>
      </c>
      <c r="I30" s="7">
        <v>265855</v>
      </c>
      <c r="J30" s="6">
        <f t="shared" si="3"/>
        <v>61</v>
      </c>
      <c r="K30" s="6">
        <f t="shared" si="3"/>
        <v>72</v>
      </c>
      <c r="L30" s="6">
        <f t="shared" si="3"/>
        <v>80</v>
      </c>
      <c r="M30" s="6">
        <f t="shared" si="4"/>
        <v>90</v>
      </c>
      <c r="N30" s="5">
        <f t="shared" si="5"/>
        <v>159.31034482758622</v>
      </c>
      <c r="O30" s="3">
        <f t="shared" si="6"/>
        <v>80</v>
      </c>
      <c r="P30" s="5">
        <f t="shared" si="7"/>
        <v>79.310344827586221</v>
      </c>
      <c r="Q30" s="5">
        <f t="shared" si="8"/>
        <v>18</v>
      </c>
      <c r="R30" s="7">
        <f t="shared" si="9"/>
        <v>965.51724137931035</v>
      </c>
      <c r="S30" s="6">
        <f t="shared" si="10"/>
        <v>213</v>
      </c>
      <c r="T30" s="7">
        <f t="shared" si="11"/>
        <v>752.51724137931035</v>
      </c>
      <c r="U30" s="7">
        <f t="shared" si="12"/>
        <v>1911.7241379310351</v>
      </c>
      <c r="V30" s="6">
        <f t="shared" si="12"/>
        <v>2322</v>
      </c>
      <c r="W30" s="7">
        <f t="shared" si="13"/>
        <v>-410.2758620689649</v>
      </c>
      <c r="X30" s="7">
        <f t="shared" si="14"/>
        <v>11586.206896551723</v>
      </c>
      <c r="Y30" s="7">
        <f t="shared" si="14"/>
        <v>5931</v>
      </c>
      <c r="Z30" s="7">
        <f t="shared" si="15"/>
        <v>5655.2068965517228</v>
      </c>
      <c r="AA30" s="25">
        <f t="shared" si="16"/>
        <v>0.92114621629393212</v>
      </c>
      <c r="AB30" s="1"/>
    </row>
    <row r="31" spans="2:28" ht="18" x14ac:dyDescent="0.25">
      <c r="B31" s="3">
        <v>11</v>
      </c>
      <c r="C31" s="7">
        <v>427379</v>
      </c>
      <c r="D31" s="7">
        <v>588470</v>
      </c>
      <c r="E31" s="9">
        <v>384038</v>
      </c>
      <c r="F31" s="8">
        <f t="shared" si="0"/>
        <v>1399887</v>
      </c>
      <c r="G31" s="23">
        <f t="shared" si="1"/>
        <v>1399461.875</v>
      </c>
      <c r="H31" s="7">
        <f t="shared" si="2"/>
        <v>1399507.375</v>
      </c>
      <c r="I31" s="7">
        <v>265765</v>
      </c>
      <c r="J31" s="6">
        <f t="shared" si="3"/>
        <v>152</v>
      </c>
      <c r="K31" s="6">
        <f t="shared" si="3"/>
        <v>182</v>
      </c>
      <c r="L31" s="6">
        <f t="shared" si="3"/>
        <v>203</v>
      </c>
      <c r="M31" s="6">
        <f t="shared" si="4"/>
        <v>39</v>
      </c>
      <c r="N31" s="5">
        <f t="shared" si="5"/>
        <v>159.31034482758622</v>
      </c>
      <c r="O31" s="3">
        <f t="shared" si="6"/>
        <v>203</v>
      </c>
      <c r="P31" s="5">
        <f t="shared" si="7"/>
        <v>-43.689655172413779</v>
      </c>
      <c r="Q31" s="5">
        <f t="shared" si="8"/>
        <v>45.5</v>
      </c>
      <c r="R31" s="7">
        <f t="shared" si="9"/>
        <v>965.51724137931035</v>
      </c>
      <c r="S31" s="6">
        <f t="shared" si="10"/>
        <v>537</v>
      </c>
      <c r="T31" s="7">
        <f t="shared" si="11"/>
        <v>428.51724137931035</v>
      </c>
      <c r="U31" s="7">
        <f t="shared" si="12"/>
        <v>1752.4137931034488</v>
      </c>
      <c r="V31" s="6">
        <f t="shared" si="12"/>
        <v>2242</v>
      </c>
      <c r="W31" s="7">
        <f t="shared" si="13"/>
        <v>-489.58620689655118</v>
      </c>
      <c r="X31" s="7">
        <f t="shared" si="14"/>
        <v>10620.689655172413</v>
      </c>
      <c r="Y31" s="7">
        <f t="shared" si="14"/>
        <v>5718</v>
      </c>
      <c r="Z31" s="7">
        <f t="shared" si="15"/>
        <v>4902.689655172413</v>
      </c>
      <c r="AA31" s="25">
        <f t="shared" si="16"/>
        <v>0.99737314092647389</v>
      </c>
      <c r="AB31" s="1"/>
    </row>
    <row r="32" spans="2:28" ht="18" x14ac:dyDescent="0.25">
      <c r="B32" s="3">
        <v>10</v>
      </c>
      <c r="C32" s="7">
        <f>C33+144</f>
        <v>427227</v>
      </c>
      <c r="D32" s="7">
        <f>D33+167</f>
        <v>588288</v>
      </c>
      <c r="E32" s="9">
        <f>E33+198</f>
        <v>383835</v>
      </c>
      <c r="F32" s="8">
        <f t="shared" si="0"/>
        <v>1399350</v>
      </c>
      <c r="G32" s="23">
        <f t="shared" si="1"/>
        <v>1398947.0416666667</v>
      </c>
      <c r="H32" s="7">
        <f t="shared" si="2"/>
        <v>1398988.7916666667</v>
      </c>
      <c r="I32" s="7">
        <f>I33+47</f>
        <v>265726</v>
      </c>
      <c r="J32" s="6">
        <f t="shared" si="3"/>
        <v>144</v>
      </c>
      <c r="K32" s="6">
        <f t="shared" si="3"/>
        <v>167</v>
      </c>
      <c r="L32" s="6">
        <f t="shared" si="3"/>
        <v>198</v>
      </c>
      <c r="M32" s="6">
        <f t="shared" si="4"/>
        <v>47</v>
      </c>
      <c r="N32" s="5">
        <f t="shared" si="5"/>
        <v>159.31034482758622</v>
      </c>
      <c r="O32" s="3">
        <f t="shared" si="6"/>
        <v>198</v>
      </c>
      <c r="P32" s="5">
        <f t="shared" si="7"/>
        <v>-38.689655172413779</v>
      </c>
      <c r="Q32" s="5">
        <f t="shared" si="8"/>
        <v>41.75</v>
      </c>
      <c r="R32" s="7">
        <f t="shared" si="9"/>
        <v>965.51724137931035</v>
      </c>
      <c r="S32" s="6">
        <f t="shared" si="10"/>
        <v>509</v>
      </c>
      <c r="T32" s="7">
        <f t="shared" si="11"/>
        <v>456.51724137931035</v>
      </c>
      <c r="U32" s="7">
        <f t="shared" si="12"/>
        <v>1593.1034482758625</v>
      </c>
      <c r="V32" s="6">
        <f t="shared" si="12"/>
        <v>2039</v>
      </c>
      <c r="W32" s="7">
        <f t="shared" si="13"/>
        <v>-445.89655172413745</v>
      </c>
      <c r="X32" s="7">
        <f t="shared" si="14"/>
        <v>9655.1724137931033</v>
      </c>
      <c r="Y32" s="7">
        <f t="shared" si="14"/>
        <v>5181</v>
      </c>
      <c r="Z32" s="7">
        <f t="shared" si="15"/>
        <v>4474.1724137931033</v>
      </c>
      <c r="AA32" s="25">
        <f t="shared" si="16"/>
        <v>0.99576392384532686</v>
      </c>
      <c r="AB32" s="1"/>
    </row>
    <row r="33" spans="2:28" ht="18" x14ac:dyDescent="0.25">
      <c r="B33" s="3">
        <v>9</v>
      </c>
      <c r="C33" s="7">
        <f>C34+150</f>
        <v>427083</v>
      </c>
      <c r="D33" s="7">
        <f>D34+170</f>
        <v>588121</v>
      </c>
      <c r="E33" s="9">
        <f>E34+195</f>
        <v>383637</v>
      </c>
      <c r="F33" s="8">
        <f>C33+D33+E33</f>
        <v>1398841</v>
      </c>
      <c r="G33" s="23">
        <f t="shared" si="1"/>
        <v>1398433.2916666667</v>
      </c>
      <c r="H33" s="7">
        <f t="shared" si="2"/>
        <v>1398475.7916666667</v>
      </c>
      <c r="I33" s="7">
        <f>I34+45</f>
        <v>265679</v>
      </c>
      <c r="J33" s="6">
        <f t="shared" si="3"/>
        <v>150</v>
      </c>
      <c r="K33" s="6">
        <f t="shared" si="3"/>
        <v>170</v>
      </c>
      <c r="L33" s="6">
        <f t="shared" si="3"/>
        <v>195</v>
      </c>
      <c r="M33" s="6">
        <f t="shared" si="4"/>
        <v>45</v>
      </c>
      <c r="N33" s="5">
        <f t="shared" si="5"/>
        <v>159.31034482758622</v>
      </c>
      <c r="O33" s="3">
        <f t="shared" si="6"/>
        <v>195</v>
      </c>
      <c r="P33" s="5">
        <f t="shared" si="7"/>
        <v>-35.689655172413779</v>
      </c>
      <c r="Q33" s="5">
        <f t="shared" si="8"/>
        <v>42.5</v>
      </c>
      <c r="R33" s="7">
        <f t="shared" si="9"/>
        <v>965.51724137931035</v>
      </c>
      <c r="S33" s="6">
        <f t="shared" si="10"/>
        <v>515</v>
      </c>
      <c r="T33" s="7">
        <f t="shared" si="11"/>
        <v>450.51724137931035</v>
      </c>
      <c r="U33" s="7">
        <f t="shared" si="12"/>
        <v>1433.7931034482763</v>
      </c>
      <c r="V33" s="6">
        <f t="shared" si="12"/>
        <v>1841</v>
      </c>
      <c r="W33" s="7">
        <f t="shared" si="13"/>
        <v>-407.20689655172373</v>
      </c>
      <c r="X33" s="7">
        <f t="shared" si="14"/>
        <v>8689.6551724137935</v>
      </c>
      <c r="Y33" s="7">
        <f t="shared" si="14"/>
        <v>4672</v>
      </c>
      <c r="Z33" s="7">
        <f t="shared" si="15"/>
        <v>4017.6551724137935</v>
      </c>
      <c r="AA33" s="25">
        <f t="shared" si="16"/>
        <v>0.99620420851859437</v>
      </c>
      <c r="AB33" s="1"/>
    </row>
    <row r="34" spans="2:28" ht="18" x14ac:dyDescent="0.25">
      <c r="B34" s="3">
        <v>8</v>
      </c>
      <c r="C34" s="7">
        <v>426933</v>
      </c>
      <c r="D34" s="7">
        <v>587951</v>
      </c>
      <c r="E34" s="9">
        <v>383442</v>
      </c>
      <c r="F34" s="8">
        <f t="shared" si="0"/>
        <v>1398326</v>
      </c>
      <c r="G34" s="23">
        <f t="shared" si="1"/>
        <v>1398133.625</v>
      </c>
      <c r="H34" s="7">
        <f t="shared" si="2"/>
        <v>1398163.375</v>
      </c>
      <c r="I34" s="7">
        <v>265634</v>
      </c>
      <c r="J34" s="6">
        <f t="shared" si="3"/>
        <v>39</v>
      </c>
      <c r="K34" s="6">
        <f t="shared" si="3"/>
        <v>119</v>
      </c>
      <c r="L34" s="6">
        <f t="shared" si="3"/>
        <v>85</v>
      </c>
      <c r="M34" s="6">
        <f t="shared" si="4"/>
        <v>44</v>
      </c>
      <c r="N34" s="5">
        <f t="shared" si="5"/>
        <v>159.31034482758622</v>
      </c>
      <c r="O34" s="3">
        <f t="shared" si="6"/>
        <v>85</v>
      </c>
      <c r="P34" s="5">
        <f t="shared" si="7"/>
        <v>74.310344827586221</v>
      </c>
      <c r="Q34" s="5">
        <f t="shared" si="8"/>
        <v>29.75</v>
      </c>
      <c r="R34" s="7">
        <f t="shared" si="9"/>
        <v>965.51724137931035</v>
      </c>
      <c r="S34" s="6">
        <f t="shared" si="10"/>
        <v>243</v>
      </c>
      <c r="T34" s="7">
        <f t="shared" si="11"/>
        <v>722.51724137931035</v>
      </c>
      <c r="U34" s="7">
        <f t="shared" si="12"/>
        <v>1274.48275862069</v>
      </c>
      <c r="V34" s="6">
        <f t="shared" si="12"/>
        <v>1646</v>
      </c>
      <c r="W34" s="7">
        <f t="shared" si="13"/>
        <v>-371.51724137931001</v>
      </c>
      <c r="X34" s="7">
        <f t="shared" si="14"/>
        <v>7724.1379310344837</v>
      </c>
      <c r="Y34" s="7">
        <f t="shared" si="14"/>
        <v>4157</v>
      </c>
      <c r="Z34" s="7">
        <f t="shared" si="15"/>
        <v>3567.1379310344837</v>
      </c>
      <c r="AA34" s="25">
        <f t="shared" si="16"/>
        <v>0.98399923211795415</v>
      </c>
      <c r="AB34" s="1"/>
    </row>
    <row r="35" spans="2:28" ht="18" x14ac:dyDescent="0.25">
      <c r="B35" s="3">
        <v>7</v>
      </c>
      <c r="C35" s="7">
        <v>426894</v>
      </c>
      <c r="D35" s="7">
        <v>587832</v>
      </c>
      <c r="E35" s="9">
        <v>383357</v>
      </c>
      <c r="F35" s="10">
        <f>C35+D35+E35</f>
        <v>1398083</v>
      </c>
      <c r="G35" s="23">
        <f t="shared" si="1"/>
        <v>1397466.2916666667</v>
      </c>
      <c r="H35" s="7">
        <f t="shared" si="2"/>
        <v>1397544.0416666667</v>
      </c>
      <c r="I35" s="7">
        <v>265590</v>
      </c>
      <c r="J35" s="6">
        <f t="shared" si="3"/>
        <v>132</v>
      </c>
      <c r="K35" s="6">
        <f t="shared" si="3"/>
        <v>311</v>
      </c>
      <c r="L35" s="6">
        <f t="shared" si="3"/>
        <v>336</v>
      </c>
      <c r="M35" s="6">
        <f t="shared" si="4"/>
        <v>18</v>
      </c>
      <c r="N35" s="5">
        <f t="shared" si="5"/>
        <v>159.31034482758622</v>
      </c>
      <c r="O35" s="3">
        <f t="shared" si="6"/>
        <v>336</v>
      </c>
      <c r="P35" s="5">
        <f t="shared" si="7"/>
        <v>-176.68965517241378</v>
      </c>
      <c r="Q35" s="5">
        <f t="shared" si="8"/>
        <v>77.75</v>
      </c>
      <c r="R35" s="7">
        <f t="shared" si="9"/>
        <v>965.51724137931035</v>
      </c>
      <c r="S35" s="6">
        <f t="shared" si="10"/>
        <v>779</v>
      </c>
      <c r="T35" s="7">
        <f t="shared" si="11"/>
        <v>186.51724137931035</v>
      </c>
      <c r="U35" s="7">
        <f t="shared" si="12"/>
        <v>1115.1724137931037</v>
      </c>
      <c r="V35" s="6">
        <f t="shared" si="12"/>
        <v>1561</v>
      </c>
      <c r="W35" s="7">
        <f t="shared" si="13"/>
        <v>-445.82758620689629</v>
      </c>
      <c r="X35" s="7">
        <f t="shared" si="14"/>
        <v>6758.620689655173</v>
      </c>
      <c r="Y35" s="7">
        <f t="shared" si="14"/>
        <v>3914</v>
      </c>
      <c r="Z35" s="7">
        <f t="shared" si="15"/>
        <v>2844.620689655173</v>
      </c>
      <c r="AA35" s="25">
        <f t="shared" si="16"/>
        <v>0.99973315059714252</v>
      </c>
      <c r="AB35" s="1"/>
    </row>
    <row r="36" spans="2:28" ht="18" x14ac:dyDescent="0.25">
      <c r="B36" s="3">
        <v>6</v>
      </c>
      <c r="C36" s="7">
        <v>426762</v>
      </c>
      <c r="D36" s="7">
        <v>587521</v>
      </c>
      <c r="E36" s="9">
        <v>383021</v>
      </c>
      <c r="F36" s="8">
        <f t="shared" si="0"/>
        <v>1397304</v>
      </c>
      <c r="G36" s="23">
        <f t="shared" si="1"/>
        <v>1396995.25</v>
      </c>
      <c r="H36" s="7">
        <f t="shared" si="2"/>
        <v>1397040.5</v>
      </c>
      <c r="I36" s="7">
        <v>265572</v>
      </c>
      <c r="J36" s="6">
        <f t="shared" si="3"/>
        <v>187</v>
      </c>
      <c r="K36" s="6">
        <f t="shared" si="3"/>
        <v>181</v>
      </c>
      <c r="L36" s="6">
        <f t="shared" si="3"/>
        <v>22</v>
      </c>
      <c r="M36" s="6">
        <f t="shared" si="4"/>
        <v>210</v>
      </c>
      <c r="N36" s="5">
        <f t="shared" si="5"/>
        <v>159.31034482758622</v>
      </c>
      <c r="O36" s="3">
        <f t="shared" si="6"/>
        <v>22</v>
      </c>
      <c r="P36" s="5">
        <f t="shared" si="7"/>
        <v>137.31034482758622</v>
      </c>
      <c r="Q36" s="5">
        <f t="shared" si="8"/>
        <v>45.25</v>
      </c>
      <c r="R36" s="7">
        <f t="shared" si="9"/>
        <v>965.51724137931035</v>
      </c>
      <c r="S36" s="6">
        <f t="shared" si="10"/>
        <v>390</v>
      </c>
      <c r="T36" s="7">
        <f t="shared" si="11"/>
        <v>575.51724137931035</v>
      </c>
      <c r="U36" s="7">
        <f t="shared" si="12"/>
        <v>955.86206896551744</v>
      </c>
      <c r="V36" s="6">
        <f t="shared" si="12"/>
        <v>1225</v>
      </c>
      <c r="W36" s="7">
        <f t="shared" si="13"/>
        <v>-269.13793103448256</v>
      </c>
      <c r="X36" s="7">
        <f t="shared" si="14"/>
        <v>5793.1034482758623</v>
      </c>
      <c r="Y36" s="7">
        <f t="shared" si="14"/>
        <v>3135</v>
      </c>
      <c r="Z36" s="7">
        <f t="shared" si="15"/>
        <v>2658.1034482758623</v>
      </c>
      <c r="AA36" s="25">
        <f t="shared" si="16"/>
        <v>0.88047109992217532</v>
      </c>
      <c r="AB36" s="1"/>
    </row>
    <row r="37" spans="2:28" ht="18" x14ac:dyDescent="0.25">
      <c r="B37" s="3">
        <v>5</v>
      </c>
      <c r="C37" s="7">
        <v>426575</v>
      </c>
      <c r="D37" s="7">
        <v>587340</v>
      </c>
      <c r="E37" s="9">
        <v>382999</v>
      </c>
      <c r="F37" s="8">
        <f t="shared" si="0"/>
        <v>1396914</v>
      </c>
      <c r="G37" s="23">
        <f t="shared" si="1"/>
        <v>1396477</v>
      </c>
      <c r="H37" s="7">
        <f t="shared" si="2"/>
        <v>1396521.5</v>
      </c>
      <c r="I37" s="7">
        <v>265362</v>
      </c>
      <c r="J37" s="6">
        <f t="shared" si="3"/>
        <v>136</v>
      </c>
      <c r="K37" s="6">
        <f t="shared" si="3"/>
        <v>178</v>
      </c>
      <c r="L37" s="6">
        <f t="shared" si="3"/>
        <v>238</v>
      </c>
      <c r="M37" s="6">
        <f t="shared" si="4"/>
        <v>60</v>
      </c>
      <c r="N37" s="5">
        <f t="shared" si="5"/>
        <v>159.31034482758622</v>
      </c>
      <c r="O37" s="3">
        <f t="shared" si="6"/>
        <v>238</v>
      </c>
      <c r="P37" s="5">
        <f t="shared" si="7"/>
        <v>-78.689655172413779</v>
      </c>
      <c r="Q37" s="5">
        <f t="shared" si="8"/>
        <v>44.5</v>
      </c>
      <c r="R37" s="7">
        <f t="shared" si="9"/>
        <v>965.51724137931035</v>
      </c>
      <c r="S37" s="6">
        <f t="shared" si="10"/>
        <v>552</v>
      </c>
      <c r="T37" s="7">
        <f t="shared" si="11"/>
        <v>413.51724137931035</v>
      </c>
      <c r="U37" s="7">
        <f t="shared" si="12"/>
        <v>796.55172413793116</v>
      </c>
      <c r="V37" s="6">
        <f t="shared" si="12"/>
        <v>1203</v>
      </c>
      <c r="W37" s="7">
        <f t="shared" si="13"/>
        <v>-406.44827586206884</v>
      </c>
      <c r="X37" s="7">
        <f t="shared" si="14"/>
        <v>4827.5862068965516</v>
      </c>
      <c r="Y37" s="7">
        <f t="shared" si="14"/>
        <v>2745</v>
      </c>
      <c r="Z37" s="7">
        <f t="shared" si="15"/>
        <v>2082.5862068965516</v>
      </c>
      <c r="AA37" s="25">
        <f t="shared" si="16"/>
        <v>0.99414446306945659</v>
      </c>
      <c r="AB37" s="1"/>
    </row>
    <row r="38" spans="2:28" ht="18" x14ac:dyDescent="0.25">
      <c r="B38" s="3">
        <v>4</v>
      </c>
      <c r="C38" s="7">
        <f>C39+137</f>
        <v>426439</v>
      </c>
      <c r="D38" s="7">
        <f>D39+179</f>
        <v>587162</v>
      </c>
      <c r="E38" s="9">
        <f>E39+247</f>
        <v>382761</v>
      </c>
      <c r="F38" s="8">
        <f t="shared" si="0"/>
        <v>1396362</v>
      </c>
      <c r="G38" s="23">
        <f t="shared" si="1"/>
        <v>1395916.2916666667</v>
      </c>
      <c r="H38" s="7">
        <f t="shared" si="2"/>
        <v>1395961.0416666667</v>
      </c>
      <c r="I38" s="7">
        <f>I39+66</f>
        <v>265302</v>
      </c>
      <c r="J38" s="6">
        <f t="shared" si="3"/>
        <v>137</v>
      </c>
      <c r="K38" s="6">
        <f t="shared" si="3"/>
        <v>179</v>
      </c>
      <c r="L38" s="6">
        <f t="shared" si="3"/>
        <v>247</v>
      </c>
      <c r="M38" s="7">
        <f>I38-I39</f>
        <v>66</v>
      </c>
      <c r="N38" s="5">
        <f t="shared" si="5"/>
        <v>159.31034482758622</v>
      </c>
      <c r="O38" s="3">
        <f t="shared" si="6"/>
        <v>247</v>
      </c>
      <c r="P38" s="5">
        <f t="shared" si="7"/>
        <v>-87.689655172413779</v>
      </c>
      <c r="Q38" s="5">
        <f t="shared" si="8"/>
        <v>44.75</v>
      </c>
      <c r="R38" s="7">
        <f t="shared" si="9"/>
        <v>965.51724137931035</v>
      </c>
      <c r="S38" s="6">
        <f t="shared" si="10"/>
        <v>563</v>
      </c>
      <c r="T38" s="7">
        <f t="shared" si="11"/>
        <v>402.51724137931035</v>
      </c>
      <c r="U38" s="7">
        <f t="shared" si="12"/>
        <v>637.24137931034488</v>
      </c>
      <c r="V38" s="6">
        <f t="shared" si="12"/>
        <v>965</v>
      </c>
      <c r="W38" s="7">
        <f t="shared" si="13"/>
        <v>-327.75862068965512</v>
      </c>
      <c r="X38" s="7">
        <f t="shared" si="14"/>
        <v>3862.0689655172414</v>
      </c>
      <c r="Y38" s="7">
        <f t="shared" si="14"/>
        <v>2193</v>
      </c>
      <c r="Z38" s="7">
        <f t="shared" si="15"/>
        <v>1669.0689655172414</v>
      </c>
      <c r="AA38" s="25">
        <f t="shared" si="16"/>
        <v>0.99319868698912672</v>
      </c>
      <c r="AB38" s="1"/>
    </row>
    <row r="39" spans="2:28" ht="18" x14ac:dyDescent="0.25">
      <c r="B39" s="3">
        <v>3</v>
      </c>
      <c r="C39" s="7">
        <f>C40+133</f>
        <v>426302</v>
      </c>
      <c r="D39" s="7">
        <f>D40+174</f>
        <v>586983</v>
      </c>
      <c r="E39" s="9">
        <f>E40+245</f>
        <v>382514</v>
      </c>
      <c r="F39" s="8">
        <f t="shared" si="0"/>
        <v>1395799</v>
      </c>
      <c r="G39" s="23">
        <f t="shared" si="1"/>
        <v>1395362</v>
      </c>
      <c r="H39" s="7">
        <f t="shared" si="2"/>
        <v>1395405.5</v>
      </c>
      <c r="I39" s="7">
        <f>I40+64</f>
        <v>265236</v>
      </c>
      <c r="J39" s="6">
        <f t="shared" si="3"/>
        <v>133</v>
      </c>
      <c r="K39" s="6">
        <f t="shared" si="3"/>
        <v>174</v>
      </c>
      <c r="L39" s="6">
        <f t="shared" si="3"/>
        <v>245</v>
      </c>
      <c r="M39" s="6">
        <f t="shared" si="4"/>
        <v>64</v>
      </c>
      <c r="N39" s="5">
        <f t="shared" si="5"/>
        <v>159.31034482758622</v>
      </c>
      <c r="O39" s="3">
        <f t="shared" si="6"/>
        <v>245</v>
      </c>
      <c r="P39" s="5">
        <f t="shared" si="7"/>
        <v>-85.689655172413779</v>
      </c>
      <c r="Q39" s="5">
        <f t="shared" si="8"/>
        <v>43.5</v>
      </c>
      <c r="R39" s="7">
        <f t="shared" si="9"/>
        <v>965.51724137931035</v>
      </c>
      <c r="S39" s="6">
        <f t="shared" si="10"/>
        <v>552</v>
      </c>
      <c r="T39" s="7">
        <f t="shared" si="11"/>
        <v>413.51724137931035</v>
      </c>
      <c r="U39" s="7">
        <f t="shared" si="12"/>
        <v>477.93103448275866</v>
      </c>
      <c r="V39" s="6">
        <f t="shared" si="12"/>
        <v>718</v>
      </c>
      <c r="W39" s="7">
        <f t="shared" si="13"/>
        <v>-240.06896551724134</v>
      </c>
      <c r="X39" s="7">
        <f t="shared" si="14"/>
        <v>2896.5517241379312</v>
      </c>
      <c r="Y39" s="7">
        <f t="shared" si="14"/>
        <v>1630</v>
      </c>
      <c r="Z39" s="7">
        <f t="shared" si="15"/>
        <v>1266.5517241379312</v>
      </c>
      <c r="AA39" s="25">
        <f t="shared" si="16"/>
        <v>0.99334573603319842</v>
      </c>
      <c r="AB39" s="1"/>
    </row>
    <row r="40" spans="2:28" ht="18" x14ac:dyDescent="0.25">
      <c r="B40" s="3">
        <v>2</v>
      </c>
      <c r="C40" s="7">
        <f>C41+128</f>
        <v>426169</v>
      </c>
      <c r="D40" s="7">
        <f>D41+171</f>
        <v>586809</v>
      </c>
      <c r="E40" s="9">
        <f>E41+242</f>
        <v>382269</v>
      </c>
      <c r="F40" s="8">
        <f t="shared" si="0"/>
        <v>1395247</v>
      </c>
      <c r="G40" s="23">
        <f t="shared" si="1"/>
        <v>1394818.7083333333</v>
      </c>
      <c r="H40" s="7">
        <f t="shared" si="2"/>
        <v>1394861.4583333333</v>
      </c>
      <c r="I40" s="7">
        <f>I41+58</f>
        <v>265172</v>
      </c>
      <c r="J40" s="6">
        <f t="shared" si="3"/>
        <v>128</v>
      </c>
      <c r="K40" s="6">
        <f t="shared" si="3"/>
        <v>171</v>
      </c>
      <c r="L40" s="6">
        <f t="shared" si="3"/>
        <v>242</v>
      </c>
      <c r="M40" s="6">
        <f t="shared" si="4"/>
        <v>58</v>
      </c>
      <c r="N40" s="5">
        <f t="shared" si="5"/>
        <v>159.31034482758622</v>
      </c>
      <c r="O40" s="3">
        <f t="shared" si="6"/>
        <v>242</v>
      </c>
      <c r="P40" s="5">
        <f t="shared" si="7"/>
        <v>-82.689655172413779</v>
      </c>
      <c r="Q40" s="5">
        <f t="shared" si="8"/>
        <v>42.75</v>
      </c>
      <c r="R40" s="7">
        <f>R41</f>
        <v>965.51724137931035</v>
      </c>
      <c r="S40" s="6">
        <f t="shared" si="10"/>
        <v>541</v>
      </c>
      <c r="T40" s="7">
        <f t="shared" si="11"/>
        <v>424.51724137931035</v>
      </c>
      <c r="U40" s="7">
        <f t="shared" si="12"/>
        <v>318.62068965517244</v>
      </c>
      <c r="V40" s="6">
        <f t="shared" si="12"/>
        <v>473</v>
      </c>
      <c r="W40" s="7">
        <f t="shared" si="13"/>
        <v>-154.37931034482756</v>
      </c>
      <c r="X40" s="7">
        <f t="shared" si="14"/>
        <v>1931.0344827586207</v>
      </c>
      <c r="Y40" s="7">
        <f t="shared" si="14"/>
        <v>1078</v>
      </c>
      <c r="Z40" s="7">
        <f t="shared" si="15"/>
        <v>853.0344827586207</v>
      </c>
      <c r="AA40" s="25">
        <f t="shared" si="16"/>
        <v>0.99430219885059379</v>
      </c>
      <c r="AB40" s="1"/>
    </row>
    <row r="41" spans="2:28" ht="18" x14ac:dyDescent="0.25">
      <c r="B41" s="3">
        <v>1</v>
      </c>
      <c r="C41" s="7">
        <f>C42+130</f>
        <v>426041</v>
      </c>
      <c r="D41" s="7">
        <f>D42+176</f>
        <v>586638</v>
      </c>
      <c r="E41" s="9">
        <f>E42+231</f>
        <v>382027</v>
      </c>
      <c r="F41" s="8">
        <f t="shared" si="0"/>
        <v>1394706</v>
      </c>
      <c r="G41" s="23">
        <f>(C42+D42+E42)+((S41/24)*5)</f>
        <v>1394280.875</v>
      </c>
      <c r="H41" s="7">
        <f>G41+((K41/12)*3)</f>
        <v>1394324.875</v>
      </c>
      <c r="I41" s="7">
        <f>I42+60</f>
        <v>265114</v>
      </c>
      <c r="J41" s="6">
        <f t="shared" si="3"/>
        <v>130</v>
      </c>
      <c r="K41" s="6">
        <f t="shared" si="3"/>
        <v>176</v>
      </c>
      <c r="L41" s="6">
        <f t="shared" si="3"/>
        <v>231</v>
      </c>
      <c r="M41" s="6">
        <f t="shared" si="4"/>
        <v>60</v>
      </c>
      <c r="N41" s="44">
        <f>O6/29</f>
        <v>159.31034482758622</v>
      </c>
      <c r="O41" s="3">
        <f t="shared" si="6"/>
        <v>231</v>
      </c>
      <c r="P41" s="5">
        <f t="shared" si="7"/>
        <v>-71.689655172413779</v>
      </c>
      <c r="Q41" s="5">
        <f t="shared" si="8"/>
        <v>44</v>
      </c>
      <c r="R41" s="46">
        <f>S6/29</f>
        <v>965.51724137931035</v>
      </c>
      <c r="S41" s="6">
        <f t="shared" si="10"/>
        <v>537</v>
      </c>
      <c r="T41" s="7">
        <f t="shared" si="11"/>
        <v>428.51724137931035</v>
      </c>
      <c r="U41" s="7">
        <f>N41</f>
        <v>159.31034482758622</v>
      </c>
      <c r="V41" s="6">
        <f>O41</f>
        <v>231</v>
      </c>
      <c r="W41" s="7">
        <f t="shared" si="13"/>
        <v>-71.689655172413779</v>
      </c>
      <c r="X41" s="7">
        <f>R41</f>
        <v>965.51724137931035</v>
      </c>
      <c r="Y41" s="7">
        <f>S41</f>
        <v>537</v>
      </c>
      <c r="Z41" s="7">
        <f t="shared" si="15"/>
        <v>428.51724137931035</v>
      </c>
      <c r="AA41" s="25">
        <f t="shared" si="16"/>
        <v>0.99381584001352075</v>
      </c>
      <c r="AB41" s="1"/>
    </row>
    <row r="42" spans="2:28" ht="54" x14ac:dyDescent="0.25">
      <c r="B42" s="34" t="s">
        <v>13</v>
      </c>
      <c r="C42" s="8">
        <v>425911</v>
      </c>
      <c r="D42" s="8">
        <v>586462</v>
      </c>
      <c r="E42" s="8">
        <v>381796</v>
      </c>
      <c r="F42" s="8">
        <v>1394169</v>
      </c>
      <c r="G42" s="10">
        <v>1393629.0833333333</v>
      </c>
      <c r="H42" s="10">
        <v>1393703.5833333333</v>
      </c>
      <c r="I42" s="8">
        <v>265054</v>
      </c>
      <c r="J42" s="11"/>
      <c r="K42" s="11"/>
      <c r="L42" s="11"/>
      <c r="M42" s="47">
        <f>SUM(M13:M41)</f>
        <v>2501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2:28" ht="18" x14ac:dyDescent="0.25"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2:28" ht="18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2:28" ht="18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8" spans="2:28" ht="18" x14ac:dyDescent="0.25">
      <c r="Z48" s="11" t="s">
        <v>38</v>
      </c>
    </row>
    <row r="49" spans="26:27" ht="18" x14ac:dyDescent="0.25">
      <c r="Z49" s="11" t="s">
        <v>44</v>
      </c>
      <c r="AA49" s="11"/>
    </row>
    <row r="50" spans="26:27" ht="18" x14ac:dyDescent="0.25">
      <c r="Z50" s="11" t="s">
        <v>45</v>
      </c>
      <c r="AA50" s="11"/>
    </row>
    <row r="51" spans="26:27" ht="18" x14ac:dyDescent="0.25">
      <c r="Z51" s="11" t="s">
        <v>12</v>
      </c>
      <c r="AA51" s="11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2:AB53"/>
  <sheetViews>
    <sheetView view="pageBreakPreview" zoomScale="70" zoomScaleNormal="85" zoomScaleSheetLayoutView="70" workbookViewId="0">
      <pane ySplit="8" topLeftCell="A11" activePane="bottomLeft" state="frozen"/>
      <selection pane="bottomLeft" activeCell="H30" sqref="H30"/>
    </sheetView>
  </sheetViews>
  <sheetFormatPr baseColWidth="10" defaultColWidth="11.42578125" defaultRowHeight="15" x14ac:dyDescent="0.25"/>
  <cols>
    <col min="1" max="2" width="11.42578125" customWidth="1"/>
    <col min="4" max="4" width="12.28515625" bestFit="1" customWidth="1"/>
    <col min="5" max="5" width="11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7" t="s">
        <v>29</v>
      </c>
    </row>
    <row r="3" spans="2:28" ht="15.75" customHeight="1" x14ac:dyDescent="0.25">
      <c r="G3" s="27" t="s">
        <v>28</v>
      </c>
    </row>
    <row r="4" spans="2:28" ht="15.75" customHeight="1" x14ac:dyDescent="0.3">
      <c r="G4" s="28" t="s">
        <v>30</v>
      </c>
      <c r="N4" s="29">
        <f>'Ciencia A'!N4</f>
        <v>45323</v>
      </c>
    </row>
    <row r="5" spans="2:28" x14ac:dyDescent="0.25">
      <c r="C5" s="58" t="s">
        <v>34</v>
      </c>
      <c r="D5" s="58"/>
      <c r="E5" s="58"/>
      <c r="T5" s="53"/>
      <c r="U5" s="53" t="s">
        <v>42</v>
      </c>
      <c r="V5" s="53" t="s">
        <v>43</v>
      </c>
    </row>
    <row r="6" spans="2:28" ht="15.75" x14ac:dyDescent="0.25">
      <c r="N6" s="14" t="s">
        <v>27</v>
      </c>
      <c r="O6" s="30">
        <f>S6*16.5%</f>
        <v>1650</v>
      </c>
      <c r="P6" s="31" t="s">
        <v>26</v>
      </c>
      <c r="Q6" s="12">
        <f>(S6*8)/100</f>
        <v>800</v>
      </c>
      <c r="R6" s="14" t="s">
        <v>25</v>
      </c>
      <c r="S6" s="12">
        <v>10000</v>
      </c>
      <c r="T6" s="53" t="s">
        <v>41</v>
      </c>
      <c r="U6" s="53">
        <v>258.64</v>
      </c>
      <c r="V6" s="52">
        <f>U6/30</f>
        <v>8.6213333333333324</v>
      </c>
    </row>
    <row r="7" spans="2:28" ht="46.5" customHeight="1" x14ac:dyDescent="0.25">
      <c r="B7" s="61" t="s">
        <v>24</v>
      </c>
      <c r="C7" s="59" t="s">
        <v>9</v>
      </c>
      <c r="D7" s="59"/>
      <c r="E7" s="59"/>
      <c r="F7" s="59"/>
      <c r="G7" s="59"/>
      <c r="H7" s="59"/>
      <c r="I7" s="59"/>
      <c r="J7" s="59" t="s">
        <v>23</v>
      </c>
      <c r="K7" s="59"/>
      <c r="L7" s="59"/>
      <c r="M7" s="59"/>
      <c r="N7" s="59" t="s">
        <v>22</v>
      </c>
      <c r="O7" s="59"/>
      <c r="P7" s="59"/>
      <c r="Q7" s="60" t="s">
        <v>21</v>
      </c>
      <c r="R7" s="59" t="s">
        <v>20</v>
      </c>
      <c r="S7" s="59"/>
      <c r="T7" s="59"/>
      <c r="U7" s="59" t="s">
        <v>10</v>
      </c>
      <c r="V7" s="59"/>
      <c r="W7" s="59"/>
      <c r="X7" s="59" t="s">
        <v>11</v>
      </c>
      <c r="Y7" s="59"/>
      <c r="Z7" s="59"/>
      <c r="AA7" s="59"/>
      <c r="AB7" s="60" t="s">
        <v>8</v>
      </c>
    </row>
    <row r="8" spans="2:28" ht="30" x14ac:dyDescent="0.25">
      <c r="B8" s="61"/>
      <c r="C8" s="15" t="s">
        <v>1</v>
      </c>
      <c r="D8" s="15" t="s">
        <v>0</v>
      </c>
      <c r="E8" s="15" t="s">
        <v>2</v>
      </c>
      <c r="F8" s="15" t="s">
        <v>19</v>
      </c>
      <c r="G8" s="15" t="s">
        <v>18</v>
      </c>
      <c r="H8" s="15" t="s">
        <v>17</v>
      </c>
      <c r="I8" s="15" t="s">
        <v>3</v>
      </c>
      <c r="J8" s="15" t="s">
        <v>1</v>
      </c>
      <c r="K8" s="15" t="s">
        <v>0</v>
      </c>
      <c r="L8" s="15" t="s">
        <v>2</v>
      </c>
      <c r="M8" s="15" t="s">
        <v>3</v>
      </c>
      <c r="N8" s="15" t="s">
        <v>4</v>
      </c>
      <c r="O8" s="15" t="s">
        <v>5</v>
      </c>
      <c r="P8" s="15" t="s">
        <v>16</v>
      </c>
      <c r="Q8" s="60"/>
      <c r="R8" s="15" t="s">
        <v>6</v>
      </c>
      <c r="S8" s="15" t="s">
        <v>15</v>
      </c>
      <c r="T8" s="15" t="s">
        <v>16</v>
      </c>
      <c r="U8" s="15" t="s">
        <v>4</v>
      </c>
      <c r="V8" s="15" t="s">
        <v>5</v>
      </c>
      <c r="W8" s="15" t="s">
        <v>16</v>
      </c>
      <c r="X8" s="15" t="s">
        <v>6</v>
      </c>
      <c r="Y8" s="15" t="s">
        <v>15</v>
      </c>
      <c r="Z8" s="32" t="s">
        <v>14</v>
      </c>
      <c r="AA8" s="15" t="s">
        <v>7</v>
      </c>
      <c r="AB8" s="60"/>
    </row>
    <row r="9" spans="2:28" x14ac:dyDescent="0.25">
      <c r="B9" s="33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7"/>
      <c r="G11" s="23"/>
      <c r="H11" s="7"/>
      <c r="I11" s="7"/>
      <c r="J11" s="6"/>
      <c r="K11" s="6"/>
      <c r="L11" s="6"/>
      <c r="M11" s="6"/>
      <c r="N11" s="5"/>
      <c r="O11" s="24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5"/>
      <c r="AB11" s="26"/>
    </row>
    <row r="12" spans="2:28" ht="18" x14ac:dyDescent="0.25">
      <c r="B12" s="3"/>
      <c r="C12" s="7"/>
      <c r="D12" s="7"/>
      <c r="E12" s="9"/>
      <c r="F12" s="8"/>
      <c r="G12" s="23"/>
      <c r="H12" s="7"/>
      <c r="I12" s="7"/>
      <c r="J12" s="6"/>
      <c r="K12" s="6"/>
      <c r="L12" s="6"/>
      <c r="M12" s="6"/>
      <c r="N12" s="5"/>
      <c r="O12" s="24"/>
      <c r="P12" s="5"/>
      <c r="Q12" s="5"/>
      <c r="R12" s="7"/>
      <c r="S12" s="6"/>
      <c r="T12" s="7"/>
      <c r="U12" s="7"/>
      <c r="V12" s="7"/>
      <c r="W12" s="7"/>
      <c r="X12" s="7"/>
      <c r="Y12" s="7"/>
      <c r="Z12" s="7"/>
      <c r="AA12" s="25"/>
      <c r="AB12" s="26"/>
    </row>
    <row r="13" spans="2:28" ht="18" x14ac:dyDescent="0.25">
      <c r="B13" s="3">
        <v>29</v>
      </c>
      <c r="C13" s="7">
        <v>53157</v>
      </c>
      <c r="D13" s="7">
        <v>463166</v>
      </c>
      <c r="E13" s="9">
        <v>68898</v>
      </c>
      <c r="F13" s="8">
        <f t="shared" ref="F13:F41" si="0">C13+D13+E13</f>
        <v>585221</v>
      </c>
      <c r="G13" s="23">
        <f t="shared" ref="G12:G40" si="1">(C14+D14+E14)+((S13/24)*9.5)</f>
        <v>585167.83333333337</v>
      </c>
      <c r="H13" s="7">
        <f t="shared" ref="H12:H40" si="2">G13+((K13/12)*2.5)</f>
        <v>585178.875</v>
      </c>
      <c r="I13" s="7">
        <v>198379</v>
      </c>
      <c r="J13" s="6">
        <f t="shared" ref="J13:L41" si="3">C13-C14</f>
        <v>19</v>
      </c>
      <c r="K13" s="6">
        <f t="shared" si="3"/>
        <v>53</v>
      </c>
      <c r="L13" s="6">
        <f t="shared" si="3"/>
        <v>16</v>
      </c>
      <c r="M13" s="6">
        <f t="shared" ref="M13:M41" si="4">I13-I14</f>
        <v>27</v>
      </c>
      <c r="N13" s="5">
        <f t="shared" ref="N11:N40" si="5">N14</f>
        <v>56.896551724137929</v>
      </c>
      <c r="O13" s="24">
        <f t="shared" ref="O13:O41" si="6">L13</f>
        <v>16</v>
      </c>
      <c r="P13" s="5">
        <f t="shared" ref="P13:P41" si="7">N13-O13</f>
        <v>40.896551724137929</v>
      </c>
      <c r="Q13" s="5">
        <f t="shared" ref="Q11:Q41" si="8">H13-G13</f>
        <v>11.041666666627862</v>
      </c>
      <c r="R13" s="7">
        <f t="shared" ref="R11:R39" si="9">R14</f>
        <v>344.82758620689657</v>
      </c>
      <c r="S13" s="6">
        <f t="shared" ref="S13:S41" si="10">J13+K13+L13</f>
        <v>88</v>
      </c>
      <c r="T13" s="7">
        <f t="shared" ref="T13:T41" si="11">R13-S13</f>
        <v>256.82758620689657</v>
      </c>
      <c r="U13" s="7">
        <f t="shared" ref="U13:V40" si="12">U14+N13</f>
        <v>1649.9999999999995</v>
      </c>
      <c r="V13" s="7">
        <f t="shared" si="12"/>
        <v>936</v>
      </c>
      <c r="W13" s="7">
        <f t="shared" ref="W13:W41" si="13">U13-V13</f>
        <v>713.99999999999955</v>
      </c>
      <c r="X13" s="7">
        <f t="shared" ref="X13:Y40" si="14">X14+R13</f>
        <v>10000.000000000004</v>
      </c>
      <c r="Y13" s="7">
        <f t="shared" si="14"/>
        <v>4216</v>
      </c>
      <c r="Z13" s="7">
        <f t="shared" ref="Z13:Z41" si="15">X13-Y13</f>
        <v>5784.0000000000036</v>
      </c>
      <c r="AA13" s="25">
        <f t="shared" ref="AA12:AA41" si="16">COS(ATAN(M13/S13))</f>
        <v>0.95601359662477037</v>
      </c>
      <c r="AB13" s="26"/>
    </row>
    <row r="14" spans="2:28" ht="18" x14ac:dyDescent="0.25">
      <c r="B14" s="3">
        <v>28</v>
      </c>
      <c r="C14" s="7">
        <f>C15+21</f>
        <v>53138</v>
      </c>
      <c r="D14" s="7">
        <f>D15+61</f>
        <v>463113</v>
      </c>
      <c r="E14" s="9">
        <f>E15+21</f>
        <v>68882</v>
      </c>
      <c r="F14" s="8">
        <f t="shared" si="0"/>
        <v>585133</v>
      </c>
      <c r="G14" s="23">
        <f t="shared" si="1"/>
        <v>585070.77083333337</v>
      </c>
      <c r="H14" s="7">
        <f t="shared" si="2"/>
        <v>585083.47916666674</v>
      </c>
      <c r="I14" s="7">
        <f>I15+30</f>
        <v>198352</v>
      </c>
      <c r="J14" s="6">
        <f t="shared" si="3"/>
        <v>21</v>
      </c>
      <c r="K14" s="6">
        <f t="shared" si="3"/>
        <v>61</v>
      </c>
      <c r="L14" s="6">
        <f t="shared" si="3"/>
        <v>21</v>
      </c>
      <c r="M14" s="6">
        <f t="shared" si="4"/>
        <v>30</v>
      </c>
      <c r="N14" s="5">
        <f t="shared" si="5"/>
        <v>56.896551724137929</v>
      </c>
      <c r="O14" s="24">
        <f t="shared" si="6"/>
        <v>21</v>
      </c>
      <c r="P14" s="5">
        <f t="shared" si="7"/>
        <v>35.896551724137929</v>
      </c>
      <c r="Q14" s="5">
        <f t="shared" si="8"/>
        <v>12.708333333372138</v>
      </c>
      <c r="R14" s="7">
        <f t="shared" si="9"/>
        <v>344.82758620689657</v>
      </c>
      <c r="S14" s="6">
        <f t="shared" si="10"/>
        <v>103</v>
      </c>
      <c r="T14" s="7">
        <f t="shared" si="11"/>
        <v>241.82758620689657</v>
      </c>
      <c r="U14" s="7">
        <f t="shared" si="12"/>
        <v>1593.1034482758616</v>
      </c>
      <c r="V14" s="7">
        <f t="shared" si="12"/>
        <v>920</v>
      </c>
      <c r="W14" s="7">
        <f t="shared" si="13"/>
        <v>673.10344827586164</v>
      </c>
      <c r="X14" s="7">
        <f t="shared" si="14"/>
        <v>9655.1724137931069</v>
      </c>
      <c r="Y14" s="7">
        <f t="shared" si="14"/>
        <v>4128</v>
      </c>
      <c r="Z14" s="7">
        <f t="shared" si="15"/>
        <v>5527.1724137931069</v>
      </c>
      <c r="AA14" s="25">
        <f t="shared" si="16"/>
        <v>0.96010433296407105</v>
      </c>
      <c r="AB14" s="26"/>
    </row>
    <row r="15" spans="2:28" ht="18" x14ac:dyDescent="0.25">
      <c r="B15" s="3">
        <v>27</v>
      </c>
      <c r="C15" s="7">
        <f>C16+43</f>
        <v>53117</v>
      </c>
      <c r="D15" s="7">
        <f>D16+79</f>
        <v>463052</v>
      </c>
      <c r="E15" s="9">
        <f>E16+51</f>
        <v>68861</v>
      </c>
      <c r="F15" s="8">
        <f t="shared" si="0"/>
        <v>585030</v>
      </c>
      <c r="G15" s="23">
        <f t="shared" si="1"/>
        <v>584925.47916666663</v>
      </c>
      <c r="H15" s="7">
        <f t="shared" si="2"/>
        <v>584941.9375</v>
      </c>
      <c r="I15" s="7">
        <f>I16+71</f>
        <v>198322</v>
      </c>
      <c r="J15" s="6">
        <f t="shared" si="3"/>
        <v>43</v>
      </c>
      <c r="K15" s="6">
        <f t="shared" si="3"/>
        <v>79</v>
      </c>
      <c r="L15" s="6">
        <f t="shared" si="3"/>
        <v>51</v>
      </c>
      <c r="M15" s="6">
        <f t="shared" si="4"/>
        <v>71</v>
      </c>
      <c r="N15" s="5">
        <f t="shared" si="5"/>
        <v>56.896551724137929</v>
      </c>
      <c r="O15" s="24">
        <f t="shared" si="6"/>
        <v>51</v>
      </c>
      <c r="P15" s="5">
        <f t="shared" si="7"/>
        <v>5.8965517241379288</v>
      </c>
      <c r="Q15" s="5">
        <f t="shared" si="8"/>
        <v>16.458333333372138</v>
      </c>
      <c r="R15" s="7">
        <f t="shared" si="9"/>
        <v>344.82758620689657</v>
      </c>
      <c r="S15" s="6">
        <f t="shared" si="10"/>
        <v>173</v>
      </c>
      <c r="T15" s="7">
        <f t="shared" si="11"/>
        <v>171.82758620689657</v>
      </c>
      <c r="U15" s="7">
        <f t="shared" si="12"/>
        <v>1536.2068965517237</v>
      </c>
      <c r="V15" s="7">
        <f t="shared" si="12"/>
        <v>899</v>
      </c>
      <c r="W15" s="7">
        <f t="shared" si="13"/>
        <v>637.20689655172373</v>
      </c>
      <c r="X15" s="7">
        <f t="shared" si="14"/>
        <v>9310.3448275862102</v>
      </c>
      <c r="Y15" s="7">
        <f t="shared" si="14"/>
        <v>4025</v>
      </c>
      <c r="Z15" s="7">
        <f t="shared" si="15"/>
        <v>5285.3448275862102</v>
      </c>
      <c r="AA15" s="25">
        <f t="shared" si="16"/>
        <v>0.92512046221155242</v>
      </c>
      <c r="AB15" s="26"/>
    </row>
    <row r="16" spans="2:28" ht="18" x14ac:dyDescent="0.25">
      <c r="B16" s="3">
        <v>26</v>
      </c>
      <c r="C16" s="7">
        <v>53074</v>
      </c>
      <c r="D16" s="7">
        <v>462973</v>
      </c>
      <c r="E16" s="9">
        <v>68810</v>
      </c>
      <c r="F16" s="8">
        <f t="shared" si="0"/>
        <v>584857</v>
      </c>
      <c r="G16" s="23">
        <f t="shared" si="1"/>
        <v>584743.41666666663</v>
      </c>
      <c r="H16" s="7">
        <f t="shared" si="2"/>
        <v>584760.29166666663</v>
      </c>
      <c r="I16" s="7">
        <v>198251</v>
      </c>
      <c r="J16" s="6">
        <f t="shared" si="3"/>
        <v>50</v>
      </c>
      <c r="K16" s="6">
        <f t="shared" si="3"/>
        <v>81</v>
      </c>
      <c r="L16" s="6">
        <f t="shared" si="3"/>
        <v>57</v>
      </c>
      <c r="M16" s="6">
        <f t="shared" si="4"/>
        <v>77</v>
      </c>
      <c r="N16" s="5">
        <f t="shared" si="5"/>
        <v>56.896551724137929</v>
      </c>
      <c r="O16" s="24">
        <f t="shared" si="6"/>
        <v>57</v>
      </c>
      <c r="P16" s="5">
        <f t="shared" si="7"/>
        <v>-0.10344827586207117</v>
      </c>
      <c r="Q16" s="5">
        <f t="shared" si="8"/>
        <v>16.875</v>
      </c>
      <c r="R16" s="7">
        <f t="shared" si="9"/>
        <v>344.82758620689657</v>
      </c>
      <c r="S16" s="6">
        <f t="shared" si="10"/>
        <v>188</v>
      </c>
      <c r="T16" s="7">
        <f t="shared" si="11"/>
        <v>156.82758620689657</v>
      </c>
      <c r="U16" s="7">
        <f t="shared" si="12"/>
        <v>1479.3103448275858</v>
      </c>
      <c r="V16" s="7">
        <f t="shared" si="12"/>
        <v>848</v>
      </c>
      <c r="W16" s="7">
        <f t="shared" si="13"/>
        <v>631.31034482758582</v>
      </c>
      <c r="X16" s="7">
        <f t="shared" si="14"/>
        <v>8965.5172413793134</v>
      </c>
      <c r="Y16" s="7">
        <f t="shared" si="14"/>
        <v>3852</v>
      </c>
      <c r="Z16" s="7">
        <f t="shared" si="15"/>
        <v>5113.5172413793134</v>
      </c>
      <c r="AA16" s="25">
        <f t="shared" si="16"/>
        <v>0.92539006058441653</v>
      </c>
      <c r="AB16" s="26"/>
    </row>
    <row r="17" spans="2:28" ht="18" x14ac:dyDescent="0.25">
      <c r="B17" s="3">
        <v>25</v>
      </c>
      <c r="C17" s="7">
        <f>C18+31</f>
        <v>53024</v>
      </c>
      <c r="D17" s="7">
        <f>D18+91</f>
        <v>462892</v>
      </c>
      <c r="E17" s="9">
        <f>E18+54</f>
        <v>68753</v>
      </c>
      <c r="F17" s="8">
        <f t="shared" si="0"/>
        <v>584669</v>
      </c>
      <c r="G17" s="23">
        <f t="shared" si="1"/>
        <v>584562.66666666663</v>
      </c>
      <c r="H17" s="7">
        <f t="shared" si="2"/>
        <v>584581.625</v>
      </c>
      <c r="I17" s="7">
        <f>I18+66</f>
        <v>198174</v>
      </c>
      <c r="J17" s="6">
        <f t="shared" si="3"/>
        <v>31</v>
      </c>
      <c r="K17" s="6">
        <f t="shared" si="3"/>
        <v>91</v>
      </c>
      <c r="L17" s="6">
        <f t="shared" si="3"/>
        <v>54</v>
      </c>
      <c r="M17" s="6">
        <f t="shared" si="4"/>
        <v>66</v>
      </c>
      <c r="N17" s="5">
        <f t="shared" si="5"/>
        <v>56.896551724137929</v>
      </c>
      <c r="O17" s="24">
        <f t="shared" si="6"/>
        <v>54</v>
      </c>
      <c r="P17" s="5">
        <f t="shared" si="7"/>
        <v>2.8965517241379288</v>
      </c>
      <c r="Q17" s="5">
        <f t="shared" si="8"/>
        <v>18.958333333372138</v>
      </c>
      <c r="R17" s="7">
        <f t="shared" si="9"/>
        <v>344.82758620689657</v>
      </c>
      <c r="S17" s="6">
        <f t="shared" si="10"/>
        <v>176</v>
      </c>
      <c r="T17" s="7">
        <f t="shared" si="11"/>
        <v>168.82758620689657</v>
      </c>
      <c r="U17" s="7">
        <f t="shared" si="12"/>
        <v>1422.4137931034479</v>
      </c>
      <c r="V17" s="7">
        <f t="shared" si="12"/>
        <v>791</v>
      </c>
      <c r="W17" s="7">
        <f t="shared" si="13"/>
        <v>631.41379310344792</v>
      </c>
      <c r="X17" s="7">
        <f t="shared" si="14"/>
        <v>8620.6896551724167</v>
      </c>
      <c r="Y17" s="7">
        <f t="shared" si="14"/>
        <v>3664</v>
      </c>
      <c r="Z17" s="7">
        <f t="shared" si="15"/>
        <v>4956.6896551724167</v>
      </c>
      <c r="AA17" s="25">
        <f t="shared" si="16"/>
        <v>0.93632917756904455</v>
      </c>
      <c r="AB17" s="26"/>
    </row>
    <row r="18" spans="2:28" ht="18" x14ac:dyDescent="0.25">
      <c r="B18" s="3">
        <v>24</v>
      </c>
      <c r="C18" s="7">
        <v>52993</v>
      </c>
      <c r="D18" s="7">
        <f>D19+10</f>
        <v>462801</v>
      </c>
      <c r="E18" s="9">
        <v>68699</v>
      </c>
      <c r="F18" s="8">
        <f t="shared" si="0"/>
        <v>584493</v>
      </c>
      <c r="G18" s="23">
        <f t="shared" si="1"/>
        <v>584486.95833333337</v>
      </c>
      <c r="H18" s="7">
        <f t="shared" si="2"/>
        <v>584489.04166666674</v>
      </c>
      <c r="I18" s="7">
        <f>I19+12</f>
        <v>198108</v>
      </c>
      <c r="J18" s="6">
        <f t="shared" si="3"/>
        <v>0</v>
      </c>
      <c r="K18" s="6">
        <f t="shared" si="3"/>
        <v>10</v>
      </c>
      <c r="L18" s="6">
        <f t="shared" si="3"/>
        <v>0</v>
      </c>
      <c r="M18" s="6">
        <f t="shared" si="4"/>
        <v>12</v>
      </c>
      <c r="N18" s="5">
        <f t="shared" si="5"/>
        <v>56.896551724137929</v>
      </c>
      <c r="O18" s="24">
        <f t="shared" si="6"/>
        <v>0</v>
      </c>
      <c r="P18" s="5">
        <f t="shared" si="7"/>
        <v>56.896551724137929</v>
      </c>
      <c r="Q18" s="5">
        <f t="shared" si="8"/>
        <v>2.0833333333721384</v>
      </c>
      <c r="R18" s="7">
        <f t="shared" si="9"/>
        <v>344.82758620689657</v>
      </c>
      <c r="S18" s="6">
        <f t="shared" si="10"/>
        <v>10</v>
      </c>
      <c r="T18" s="7">
        <f t="shared" si="11"/>
        <v>334.82758620689657</v>
      </c>
      <c r="U18" s="7">
        <f t="shared" si="12"/>
        <v>1365.51724137931</v>
      </c>
      <c r="V18" s="7">
        <f t="shared" si="12"/>
        <v>737</v>
      </c>
      <c r="W18" s="7">
        <f t="shared" si="13"/>
        <v>628.51724137931001</v>
      </c>
      <c r="X18" s="7">
        <f t="shared" si="14"/>
        <v>8275.8620689655199</v>
      </c>
      <c r="Y18" s="7">
        <f t="shared" si="14"/>
        <v>3488</v>
      </c>
      <c r="Z18" s="7">
        <f t="shared" si="15"/>
        <v>4787.8620689655199</v>
      </c>
      <c r="AA18" s="25">
        <f t="shared" si="16"/>
        <v>0.64018439966447982</v>
      </c>
      <c r="AB18" s="26"/>
    </row>
    <row r="19" spans="2:28" ht="18" x14ac:dyDescent="0.25">
      <c r="B19" s="3">
        <v>23</v>
      </c>
      <c r="C19" s="7">
        <f>C20+8</f>
        <v>52993</v>
      </c>
      <c r="D19" s="7">
        <f>D20+51</f>
        <v>462791</v>
      </c>
      <c r="E19" s="9">
        <f>E20+8</f>
        <v>68699</v>
      </c>
      <c r="F19" s="8">
        <f t="shared" si="0"/>
        <v>584483</v>
      </c>
      <c r="G19" s="23">
        <f t="shared" si="1"/>
        <v>584442.52083333337</v>
      </c>
      <c r="H19" s="7">
        <f t="shared" si="2"/>
        <v>584453.14583333337</v>
      </c>
      <c r="I19" s="7">
        <f>I20+40</f>
        <v>198096</v>
      </c>
      <c r="J19" s="6">
        <f t="shared" si="3"/>
        <v>8</v>
      </c>
      <c r="K19" s="6">
        <f t="shared" si="3"/>
        <v>51</v>
      </c>
      <c r="L19" s="6">
        <f t="shared" si="3"/>
        <v>8</v>
      </c>
      <c r="M19" s="6">
        <f t="shared" si="4"/>
        <v>40</v>
      </c>
      <c r="N19" s="5">
        <f t="shared" si="5"/>
        <v>56.896551724137929</v>
      </c>
      <c r="O19" s="3">
        <f t="shared" si="6"/>
        <v>8</v>
      </c>
      <c r="P19" s="5">
        <f t="shared" si="7"/>
        <v>48.896551724137929</v>
      </c>
      <c r="Q19" s="5">
        <f t="shared" si="8"/>
        <v>10.625</v>
      </c>
      <c r="R19" s="7">
        <f t="shared" si="9"/>
        <v>344.82758620689657</v>
      </c>
      <c r="S19" s="6">
        <f t="shared" si="10"/>
        <v>67</v>
      </c>
      <c r="T19" s="7">
        <f t="shared" si="11"/>
        <v>277.82758620689657</v>
      </c>
      <c r="U19" s="7">
        <f t="shared" si="12"/>
        <v>1308.6206896551721</v>
      </c>
      <c r="V19" s="7">
        <f t="shared" si="12"/>
        <v>737</v>
      </c>
      <c r="W19" s="7">
        <f t="shared" si="13"/>
        <v>571.6206896551721</v>
      </c>
      <c r="X19" s="7">
        <f t="shared" si="14"/>
        <v>7931.0344827586241</v>
      </c>
      <c r="Y19" s="7">
        <f t="shared" si="14"/>
        <v>3478</v>
      </c>
      <c r="Z19" s="7">
        <f t="shared" si="15"/>
        <v>4453.0344827586241</v>
      </c>
      <c r="AA19" s="25">
        <f t="shared" si="16"/>
        <v>0.85862161190228936</v>
      </c>
      <c r="AB19" s="1"/>
    </row>
    <row r="20" spans="2:28" ht="18" x14ac:dyDescent="0.25">
      <c r="B20" s="3">
        <v>22</v>
      </c>
      <c r="C20" s="7">
        <v>52985</v>
      </c>
      <c r="D20" s="7">
        <v>462740</v>
      </c>
      <c r="E20" s="9">
        <v>68691</v>
      </c>
      <c r="F20" s="8">
        <f t="shared" si="0"/>
        <v>584416</v>
      </c>
      <c r="G20" s="23">
        <f t="shared" si="1"/>
        <v>584312.6875</v>
      </c>
      <c r="H20" s="7">
        <f t="shared" si="2"/>
        <v>584335.39583333337</v>
      </c>
      <c r="I20" s="7">
        <v>198056</v>
      </c>
      <c r="J20" s="6">
        <f t="shared" si="3"/>
        <v>15</v>
      </c>
      <c r="K20" s="6">
        <f t="shared" si="3"/>
        <v>109</v>
      </c>
      <c r="L20" s="6">
        <f t="shared" si="3"/>
        <v>47</v>
      </c>
      <c r="M20" s="6">
        <f t="shared" si="4"/>
        <v>80</v>
      </c>
      <c r="N20" s="5">
        <f t="shared" si="5"/>
        <v>56.896551724137929</v>
      </c>
      <c r="O20" s="3">
        <f t="shared" si="6"/>
        <v>47</v>
      </c>
      <c r="P20" s="5">
        <f t="shared" si="7"/>
        <v>9.8965517241379288</v>
      </c>
      <c r="Q20" s="5">
        <f t="shared" si="8"/>
        <v>22.708333333372138</v>
      </c>
      <c r="R20" s="7">
        <f t="shared" si="9"/>
        <v>344.82758620689657</v>
      </c>
      <c r="S20" s="6">
        <f t="shared" si="10"/>
        <v>171</v>
      </c>
      <c r="T20" s="7">
        <f t="shared" si="11"/>
        <v>173.82758620689657</v>
      </c>
      <c r="U20" s="7">
        <f t="shared" si="12"/>
        <v>1251.7241379310342</v>
      </c>
      <c r="V20" s="7">
        <f t="shared" si="12"/>
        <v>729</v>
      </c>
      <c r="W20" s="7">
        <f t="shared" si="13"/>
        <v>522.72413793103419</v>
      </c>
      <c r="X20" s="7">
        <f t="shared" si="14"/>
        <v>7586.2068965517274</v>
      </c>
      <c r="Y20" s="7">
        <f t="shared" si="14"/>
        <v>3411</v>
      </c>
      <c r="Z20" s="7">
        <f t="shared" si="15"/>
        <v>4175.2068965517274</v>
      </c>
      <c r="AA20" s="25">
        <f t="shared" si="16"/>
        <v>0.90577675256671619</v>
      </c>
      <c r="AB20" s="1"/>
    </row>
    <row r="21" spans="2:28" ht="18" x14ac:dyDescent="0.25">
      <c r="B21" s="3">
        <v>21</v>
      </c>
      <c r="C21" s="7">
        <v>52970</v>
      </c>
      <c r="D21" s="7">
        <v>462631</v>
      </c>
      <c r="E21" s="9">
        <v>68644</v>
      </c>
      <c r="F21" s="8">
        <f t="shared" si="0"/>
        <v>584245</v>
      </c>
      <c r="G21" s="23">
        <f t="shared" si="1"/>
        <v>584103.02083333337</v>
      </c>
      <c r="H21" s="7">
        <f t="shared" si="2"/>
        <v>584131.35416666674</v>
      </c>
      <c r="I21" s="7">
        <v>197976</v>
      </c>
      <c r="J21" s="6">
        <f t="shared" si="3"/>
        <v>53</v>
      </c>
      <c r="K21" s="6">
        <f t="shared" si="3"/>
        <v>136</v>
      </c>
      <c r="L21" s="6">
        <f t="shared" si="3"/>
        <v>46</v>
      </c>
      <c r="M21" s="6">
        <f t="shared" si="4"/>
        <v>71</v>
      </c>
      <c r="N21" s="5">
        <f t="shared" si="5"/>
        <v>56.896551724137929</v>
      </c>
      <c r="O21" s="3">
        <f t="shared" si="6"/>
        <v>46</v>
      </c>
      <c r="P21" s="5">
        <f t="shared" si="7"/>
        <v>10.896551724137929</v>
      </c>
      <c r="Q21" s="5">
        <f t="shared" si="8"/>
        <v>28.333333333372138</v>
      </c>
      <c r="R21" s="7">
        <f t="shared" si="9"/>
        <v>344.82758620689657</v>
      </c>
      <c r="S21" s="6">
        <f t="shared" si="10"/>
        <v>235</v>
      </c>
      <c r="T21" s="7">
        <f t="shared" si="11"/>
        <v>109.82758620689657</v>
      </c>
      <c r="U21" s="7">
        <f t="shared" si="12"/>
        <v>1194.8275862068963</v>
      </c>
      <c r="V21" s="7">
        <f t="shared" si="12"/>
        <v>682</v>
      </c>
      <c r="W21" s="7">
        <f t="shared" si="13"/>
        <v>512.82758620689629</v>
      </c>
      <c r="X21" s="7">
        <f t="shared" si="14"/>
        <v>7241.3793103448306</v>
      </c>
      <c r="Y21" s="7">
        <f t="shared" si="14"/>
        <v>3240</v>
      </c>
      <c r="Z21" s="7">
        <f t="shared" si="15"/>
        <v>4001.3793103448306</v>
      </c>
      <c r="AA21" s="25">
        <f t="shared" si="16"/>
        <v>0.95726389423699154</v>
      </c>
      <c r="AB21" s="1"/>
    </row>
    <row r="22" spans="2:28" ht="18" x14ac:dyDescent="0.25">
      <c r="B22" s="3">
        <v>20</v>
      </c>
      <c r="C22" s="7">
        <v>52917</v>
      </c>
      <c r="D22" s="7">
        <v>462495</v>
      </c>
      <c r="E22" s="9">
        <v>68598</v>
      </c>
      <c r="F22" s="8">
        <f t="shared" si="0"/>
        <v>584010</v>
      </c>
      <c r="G22" s="23">
        <f t="shared" si="1"/>
        <v>583868.02083333337</v>
      </c>
      <c r="H22" s="7">
        <f t="shared" si="2"/>
        <v>583898.22916666674</v>
      </c>
      <c r="I22" s="7">
        <v>197905</v>
      </c>
      <c r="J22" s="6">
        <f t="shared" si="3"/>
        <v>41</v>
      </c>
      <c r="K22" s="6">
        <f t="shared" si="3"/>
        <v>145</v>
      </c>
      <c r="L22" s="6">
        <f t="shared" si="3"/>
        <v>49</v>
      </c>
      <c r="M22" s="6">
        <f t="shared" si="4"/>
        <v>89</v>
      </c>
      <c r="N22" s="5">
        <f t="shared" si="5"/>
        <v>56.896551724137929</v>
      </c>
      <c r="O22" s="3">
        <f t="shared" si="6"/>
        <v>49</v>
      </c>
      <c r="P22" s="5">
        <f t="shared" si="7"/>
        <v>7.8965517241379288</v>
      </c>
      <c r="Q22" s="5">
        <f t="shared" si="8"/>
        <v>30.208333333372138</v>
      </c>
      <c r="R22" s="7">
        <f t="shared" si="9"/>
        <v>344.82758620689657</v>
      </c>
      <c r="S22" s="6">
        <f t="shared" si="10"/>
        <v>235</v>
      </c>
      <c r="T22" s="7">
        <f t="shared" si="11"/>
        <v>109.82758620689657</v>
      </c>
      <c r="U22" s="7">
        <f t="shared" si="12"/>
        <v>1137.9310344827584</v>
      </c>
      <c r="V22" s="7">
        <f t="shared" si="12"/>
        <v>636</v>
      </c>
      <c r="W22" s="7">
        <f t="shared" si="13"/>
        <v>501.93103448275838</v>
      </c>
      <c r="X22" s="7">
        <f t="shared" si="14"/>
        <v>6896.5517241379339</v>
      </c>
      <c r="Y22" s="7">
        <f t="shared" si="14"/>
        <v>3005</v>
      </c>
      <c r="Z22" s="7">
        <f t="shared" si="15"/>
        <v>3891.5517241379339</v>
      </c>
      <c r="AA22" s="25">
        <f t="shared" si="16"/>
        <v>0.93517941713633457</v>
      </c>
      <c r="AB22" s="1"/>
    </row>
    <row r="23" spans="2:28" ht="18" x14ac:dyDescent="0.25">
      <c r="B23" s="3">
        <v>19</v>
      </c>
      <c r="C23" s="7">
        <v>52876</v>
      </c>
      <c r="D23" s="7">
        <v>462350</v>
      </c>
      <c r="E23" s="9">
        <v>68549</v>
      </c>
      <c r="F23" s="8">
        <f t="shared" si="0"/>
        <v>583775</v>
      </c>
      <c r="G23" s="23">
        <f t="shared" si="1"/>
        <v>583610.66666666663</v>
      </c>
      <c r="H23" s="7">
        <f t="shared" si="2"/>
        <v>583643.375</v>
      </c>
      <c r="I23" s="7">
        <v>197816</v>
      </c>
      <c r="J23" s="6">
        <f t="shared" si="3"/>
        <v>61</v>
      </c>
      <c r="K23" s="6">
        <f t="shared" si="3"/>
        <v>157</v>
      </c>
      <c r="L23" s="6">
        <f t="shared" si="3"/>
        <v>54</v>
      </c>
      <c r="M23" s="6">
        <f t="shared" si="4"/>
        <v>101</v>
      </c>
      <c r="N23" s="5">
        <f t="shared" si="5"/>
        <v>56.896551724137929</v>
      </c>
      <c r="O23" s="3">
        <f t="shared" si="6"/>
        <v>54</v>
      </c>
      <c r="P23" s="5">
        <f t="shared" si="7"/>
        <v>2.8965517241379288</v>
      </c>
      <c r="Q23" s="5">
        <f t="shared" si="8"/>
        <v>32.708333333372138</v>
      </c>
      <c r="R23" s="7">
        <f t="shared" si="9"/>
        <v>344.82758620689657</v>
      </c>
      <c r="S23" s="6">
        <f t="shared" si="10"/>
        <v>272</v>
      </c>
      <c r="T23" s="7">
        <f t="shared" si="11"/>
        <v>72.827586206896569</v>
      </c>
      <c r="U23" s="7">
        <f t="shared" si="12"/>
        <v>1081.0344827586205</v>
      </c>
      <c r="V23" s="7">
        <f t="shared" si="12"/>
        <v>587</v>
      </c>
      <c r="W23" s="7">
        <f t="shared" si="13"/>
        <v>494.03448275862047</v>
      </c>
      <c r="X23" s="7">
        <f t="shared" si="14"/>
        <v>6551.7241379310371</v>
      </c>
      <c r="Y23" s="7">
        <f t="shared" si="14"/>
        <v>2770</v>
      </c>
      <c r="Z23" s="7">
        <f t="shared" si="15"/>
        <v>3781.7241379310371</v>
      </c>
      <c r="AA23" s="25">
        <f t="shared" si="16"/>
        <v>0.93745740929962107</v>
      </c>
      <c r="AB23" s="1"/>
    </row>
    <row r="24" spans="2:28" ht="18" x14ac:dyDescent="0.25">
      <c r="B24" s="3">
        <v>18</v>
      </c>
      <c r="C24" s="7">
        <v>52815</v>
      </c>
      <c r="D24" s="7">
        <v>462193</v>
      </c>
      <c r="E24" s="9">
        <v>68495</v>
      </c>
      <c r="F24" s="10">
        <f>C24+D24+E24</f>
        <v>583503</v>
      </c>
      <c r="G24" s="23">
        <f t="shared" si="1"/>
        <v>583446.20833333337</v>
      </c>
      <c r="H24" s="7">
        <f t="shared" si="2"/>
        <v>583458.5</v>
      </c>
      <c r="I24" s="7">
        <v>197715</v>
      </c>
      <c r="J24" s="6">
        <f t="shared" si="3"/>
        <v>21</v>
      </c>
      <c r="K24" s="6">
        <f t="shared" si="3"/>
        <v>59</v>
      </c>
      <c r="L24" s="6">
        <f t="shared" si="3"/>
        <v>14</v>
      </c>
      <c r="M24" s="6">
        <f t="shared" si="4"/>
        <v>25</v>
      </c>
      <c r="N24" s="5">
        <f t="shared" si="5"/>
        <v>56.896551724137929</v>
      </c>
      <c r="O24" s="3">
        <f t="shared" si="6"/>
        <v>14</v>
      </c>
      <c r="P24" s="5">
        <f t="shared" si="7"/>
        <v>42.896551724137929</v>
      </c>
      <c r="Q24" s="5">
        <f t="shared" si="8"/>
        <v>12.291666666627862</v>
      </c>
      <c r="R24" s="7">
        <f t="shared" si="9"/>
        <v>344.82758620689657</v>
      </c>
      <c r="S24" s="6">
        <f t="shared" si="10"/>
        <v>94</v>
      </c>
      <c r="T24" s="7">
        <f t="shared" si="11"/>
        <v>250.82758620689657</v>
      </c>
      <c r="U24" s="7">
        <f t="shared" si="12"/>
        <v>1024.1379310344826</v>
      </c>
      <c r="V24" s="7">
        <f t="shared" si="12"/>
        <v>533</v>
      </c>
      <c r="W24" s="7">
        <f t="shared" si="13"/>
        <v>491.13793103448256</v>
      </c>
      <c r="X24" s="7">
        <f t="shared" si="14"/>
        <v>6206.8965517241404</v>
      </c>
      <c r="Y24" s="7">
        <f t="shared" si="14"/>
        <v>2498</v>
      </c>
      <c r="Z24" s="7">
        <f t="shared" si="15"/>
        <v>3708.8965517241404</v>
      </c>
      <c r="AA24" s="25">
        <f t="shared" si="16"/>
        <v>0.96640536519649056</v>
      </c>
      <c r="AB24" s="1"/>
    </row>
    <row r="25" spans="2:28" ht="18" x14ac:dyDescent="0.25">
      <c r="B25" s="3">
        <v>17</v>
      </c>
      <c r="C25" s="7">
        <f>C26+22</f>
        <v>52794</v>
      </c>
      <c r="D25" s="7">
        <f>D26+56</f>
        <v>462134</v>
      </c>
      <c r="E25" s="9">
        <f>E26+11</f>
        <v>68481</v>
      </c>
      <c r="F25" s="8">
        <f t="shared" si="0"/>
        <v>583409</v>
      </c>
      <c r="G25" s="23">
        <f t="shared" si="1"/>
        <v>583355.22916666663</v>
      </c>
      <c r="H25" s="7">
        <f t="shared" si="2"/>
        <v>583366.89583333326</v>
      </c>
      <c r="I25" s="7">
        <f>I26+17</f>
        <v>197690</v>
      </c>
      <c r="J25" s="6">
        <f t="shared" si="3"/>
        <v>22</v>
      </c>
      <c r="K25" s="6">
        <f t="shared" si="3"/>
        <v>56</v>
      </c>
      <c r="L25" s="6">
        <f t="shared" si="3"/>
        <v>11</v>
      </c>
      <c r="M25" s="7">
        <f t="shared" si="4"/>
        <v>17</v>
      </c>
      <c r="N25" s="5">
        <f t="shared" si="5"/>
        <v>56.896551724137929</v>
      </c>
      <c r="O25" s="3">
        <f t="shared" si="6"/>
        <v>11</v>
      </c>
      <c r="P25" s="5">
        <f t="shared" si="7"/>
        <v>45.896551724137929</v>
      </c>
      <c r="Q25" s="5">
        <f t="shared" si="8"/>
        <v>11.666666666627862</v>
      </c>
      <c r="R25" s="7">
        <f t="shared" si="9"/>
        <v>344.82758620689657</v>
      </c>
      <c r="S25" s="6">
        <f t="shared" si="10"/>
        <v>89</v>
      </c>
      <c r="T25" s="7">
        <f t="shared" si="11"/>
        <v>255.82758620689657</v>
      </c>
      <c r="U25" s="7">
        <f t="shared" si="12"/>
        <v>967.24137931034454</v>
      </c>
      <c r="V25" s="6">
        <f t="shared" si="12"/>
        <v>519</v>
      </c>
      <c r="W25" s="7">
        <f t="shared" si="13"/>
        <v>448.24137931034454</v>
      </c>
      <c r="X25" s="7">
        <f t="shared" si="14"/>
        <v>5862.0689655172437</v>
      </c>
      <c r="Y25" s="7">
        <f t="shared" si="14"/>
        <v>2404</v>
      </c>
      <c r="Z25" s="7">
        <f t="shared" si="15"/>
        <v>3458.0689655172437</v>
      </c>
      <c r="AA25" s="25">
        <f t="shared" si="16"/>
        <v>0.98224183660571229</v>
      </c>
      <c r="AB25" s="1"/>
    </row>
    <row r="26" spans="2:28" ht="18" x14ac:dyDescent="0.25">
      <c r="B26" s="3">
        <v>16</v>
      </c>
      <c r="C26" s="7">
        <f>C27+20</f>
        <v>52772</v>
      </c>
      <c r="D26" s="7">
        <f>D27+61</f>
        <v>462078</v>
      </c>
      <c r="E26" s="9">
        <f>E27+13</f>
        <v>68470</v>
      </c>
      <c r="F26" s="8">
        <f t="shared" si="0"/>
        <v>583320</v>
      </c>
      <c r="G26" s="23">
        <f t="shared" si="1"/>
        <v>583263.20833333337</v>
      </c>
      <c r="H26" s="7">
        <f t="shared" si="2"/>
        <v>583275.91666666674</v>
      </c>
      <c r="I26" s="7">
        <f>I27+19</f>
        <v>197673</v>
      </c>
      <c r="J26" s="6">
        <f t="shared" si="3"/>
        <v>20</v>
      </c>
      <c r="K26" s="6">
        <f t="shared" si="3"/>
        <v>61</v>
      </c>
      <c r="L26" s="6">
        <f t="shared" si="3"/>
        <v>13</v>
      </c>
      <c r="M26" s="7">
        <f t="shared" si="4"/>
        <v>19</v>
      </c>
      <c r="N26" s="5">
        <f t="shared" si="5"/>
        <v>56.896551724137929</v>
      </c>
      <c r="O26" s="3">
        <f t="shared" si="6"/>
        <v>13</v>
      </c>
      <c r="P26" s="5">
        <f t="shared" si="7"/>
        <v>43.896551724137929</v>
      </c>
      <c r="Q26" s="5">
        <f t="shared" si="8"/>
        <v>12.708333333372138</v>
      </c>
      <c r="R26" s="7">
        <f t="shared" si="9"/>
        <v>344.82758620689657</v>
      </c>
      <c r="S26" s="6">
        <f t="shared" si="10"/>
        <v>94</v>
      </c>
      <c r="T26" s="7">
        <f t="shared" si="11"/>
        <v>250.82758620689657</v>
      </c>
      <c r="U26" s="7">
        <f t="shared" si="12"/>
        <v>910.34482758620663</v>
      </c>
      <c r="V26" s="6">
        <f t="shared" si="12"/>
        <v>508</v>
      </c>
      <c r="W26" s="7">
        <f t="shared" si="13"/>
        <v>402.34482758620663</v>
      </c>
      <c r="X26" s="7">
        <f t="shared" si="14"/>
        <v>5517.2413793103469</v>
      </c>
      <c r="Y26" s="7">
        <f t="shared" si="14"/>
        <v>2315</v>
      </c>
      <c r="Z26" s="7">
        <f t="shared" si="15"/>
        <v>3202.2413793103469</v>
      </c>
      <c r="AA26" s="25">
        <f t="shared" si="16"/>
        <v>0.98017757065892586</v>
      </c>
      <c r="AB26" s="1"/>
    </row>
    <row r="27" spans="2:28" ht="18" x14ac:dyDescent="0.25">
      <c r="B27" s="3">
        <v>15</v>
      </c>
      <c r="C27" s="7">
        <f>C28+18</f>
        <v>52752</v>
      </c>
      <c r="D27" s="7">
        <f>D28+54</f>
        <v>462017</v>
      </c>
      <c r="E27" s="9">
        <f>E28+15</f>
        <v>68457</v>
      </c>
      <c r="F27" s="8">
        <f t="shared" si="0"/>
        <v>583226</v>
      </c>
      <c r="G27" s="23">
        <f t="shared" si="1"/>
        <v>583173.4375</v>
      </c>
      <c r="H27" s="7">
        <f t="shared" si="2"/>
        <v>583184.6875</v>
      </c>
      <c r="I27" s="7">
        <f>I28+22</f>
        <v>197654</v>
      </c>
      <c r="J27" s="6">
        <f t="shared" si="3"/>
        <v>18</v>
      </c>
      <c r="K27" s="6">
        <f t="shared" si="3"/>
        <v>54</v>
      </c>
      <c r="L27" s="6">
        <f t="shared" si="3"/>
        <v>15</v>
      </c>
      <c r="M27" s="7">
        <f t="shared" si="4"/>
        <v>22</v>
      </c>
      <c r="N27" s="5">
        <f t="shared" si="5"/>
        <v>56.896551724137929</v>
      </c>
      <c r="O27" s="3">
        <f t="shared" si="6"/>
        <v>15</v>
      </c>
      <c r="P27" s="5">
        <f t="shared" si="7"/>
        <v>41.896551724137929</v>
      </c>
      <c r="Q27" s="5">
        <f t="shared" si="8"/>
        <v>11.25</v>
      </c>
      <c r="R27" s="7">
        <f t="shared" si="9"/>
        <v>344.82758620689657</v>
      </c>
      <c r="S27" s="6">
        <f t="shared" si="10"/>
        <v>87</v>
      </c>
      <c r="T27" s="7">
        <f t="shared" si="11"/>
        <v>257.82758620689657</v>
      </c>
      <c r="U27" s="7">
        <f t="shared" si="12"/>
        <v>853.44827586206873</v>
      </c>
      <c r="V27" s="6">
        <f t="shared" si="12"/>
        <v>495</v>
      </c>
      <c r="W27" s="7">
        <f t="shared" si="13"/>
        <v>358.44827586206873</v>
      </c>
      <c r="X27" s="7">
        <f t="shared" si="14"/>
        <v>5172.4137931034502</v>
      </c>
      <c r="Y27" s="7">
        <f t="shared" si="14"/>
        <v>2221</v>
      </c>
      <c r="Z27" s="7">
        <f t="shared" si="15"/>
        <v>2951.4137931034502</v>
      </c>
      <c r="AA27" s="25">
        <f t="shared" si="16"/>
        <v>0.96948345761715771</v>
      </c>
      <c r="AB27" s="1"/>
    </row>
    <row r="28" spans="2:28" ht="18" x14ac:dyDescent="0.25">
      <c r="B28" s="3">
        <v>14</v>
      </c>
      <c r="C28" s="7">
        <v>52734</v>
      </c>
      <c r="D28" s="7">
        <v>461963</v>
      </c>
      <c r="E28" s="9">
        <v>68442</v>
      </c>
      <c r="F28" s="8">
        <f t="shared" si="0"/>
        <v>583139</v>
      </c>
      <c r="G28" s="23">
        <f t="shared" si="1"/>
        <v>583062.875</v>
      </c>
      <c r="H28" s="7">
        <f t="shared" si="2"/>
        <v>583077.875</v>
      </c>
      <c r="I28" s="7">
        <v>197632</v>
      </c>
      <c r="J28" s="6">
        <f t="shared" si="3"/>
        <v>24</v>
      </c>
      <c r="K28" s="6">
        <f t="shared" si="3"/>
        <v>72</v>
      </c>
      <c r="L28" s="6">
        <f t="shared" si="3"/>
        <v>30</v>
      </c>
      <c r="M28" s="7">
        <f t="shared" si="4"/>
        <v>50</v>
      </c>
      <c r="N28" s="5">
        <f t="shared" si="5"/>
        <v>56.896551724137929</v>
      </c>
      <c r="O28" s="3">
        <f t="shared" si="6"/>
        <v>30</v>
      </c>
      <c r="P28" s="5">
        <f t="shared" si="7"/>
        <v>26.896551724137929</v>
      </c>
      <c r="Q28" s="5">
        <f t="shared" si="8"/>
        <v>15</v>
      </c>
      <c r="R28" s="7">
        <f t="shared" si="9"/>
        <v>344.82758620689657</v>
      </c>
      <c r="S28" s="6">
        <f t="shared" si="10"/>
        <v>126</v>
      </c>
      <c r="T28" s="7">
        <f t="shared" si="11"/>
        <v>218.82758620689657</v>
      </c>
      <c r="U28" s="7">
        <f t="shared" si="12"/>
        <v>796.55172413793082</v>
      </c>
      <c r="V28" s="6">
        <f t="shared" si="12"/>
        <v>480</v>
      </c>
      <c r="W28" s="7">
        <f t="shared" si="13"/>
        <v>316.55172413793082</v>
      </c>
      <c r="X28" s="7">
        <f t="shared" si="14"/>
        <v>4827.5862068965534</v>
      </c>
      <c r="Y28" s="7">
        <f t="shared" si="14"/>
        <v>2134</v>
      </c>
      <c r="Z28" s="7">
        <f t="shared" si="15"/>
        <v>2693.5862068965534</v>
      </c>
      <c r="AA28" s="25">
        <f t="shared" si="16"/>
        <v>0.92949071116963367</v>
      </c>
      <c r="AB28" s="1"/>
    </row>
    <row r="29" spans="2:28" ht="18" x14ac:dyDescent="0.25">
      <c r="B29" s="3">
        <v>13</v>
      </c>
      <c r="C29" s="7">
        <f>C30+22</f>
        <v>52710</v>
      </c>
      <c r="D29" s="7">
        <f>D30+79</f>
        <v>461891</v>
      </c>
      <c r="E29" s="9">
        <f>E30+20</f>
        <v>68412</v>
      </c>
      <c r="F29" s="8">
        <f t="shared" si="0"/>
        <v>583013</v>
      </c>
      <c r="G29" s="23">
        <f t="shared" si="1"/>
        <v>582939.89583333337</v>
      </c>
      <c r="H29" s="7">
        <f t="shared" si="2"/>
        <v>582956.35416666674</v>
      </c>
      <c r="I29" s="7">
        <v>197582</v>
      </c>
      <c r="J29" s="6">
        <f t="shared" si="3"/>
        <v>22</v>
      </c>
      <c r="K29" s="6">
        <f t="shared" si="3"/>
        <v>79</v>
      </c>
      <c r="L29" s="6">
        <f t="shared" si="3"/>
        <v>20</v>
      </c>
      <c r="M29" s="6">
        <f t="shared" si="4"/>
        <v>57</v>
      </c>
      <c r="N29" s="5">
        <f t="shared" si="5"/>
        <v>56.896551724137929</v>
      </c>
      <c r="O29" s="3">
        <f t="shared" si="6"/>
        <v>20</v>
      </c>
      <c r="P29" s="5">
        <f t="shared" si="7"/>
        <v>36.896551724137929</v>
      </c>
      <c r="Q29" s="5">
        <f t="shared" si="8"/>
        <v>16.458333333372138</v>
      </c>
      <c r="R29" s="7">
        <f t="shared" si="9"/>
        <v>344.82758620689657</v>
      </c>
      <c r="S29" s="6">
        <f t="shared" si="10"/>
        <v>121</v>
      </c>
      <c r="T29" s="7">
        <f t="shared" si="11"/>
        <v>223.82758620689657</v>
      </c>
      <c r="U29" s="7">
        <f t="shared" si="12"/>
        <v>739.65517241379291</v>
      </c>
      <c r="V29" s="6">
        <f t="shared" si="12"/>
        <v>450</v>
      </c>
      <c r="W29" s="7">
        <f t="shared" si="13"/>
        <v>289.65517241379291</v>
      </c>
      <c r="X29" s="7">
        <f t="shared" si="14"/>
        <v>4482.7586206896567</v>
      </c>
      <c r="Y29" s="7">
        <f t="shared" si="14"/>
        <v>2008</v>
      </c>
      <c r="Z29" s="7">
        <f t="shared" si="15"/>
        <v>2474.7586206896567</v>
      </c>
      <c r="AA29" s="25">
        <f t="shared" si="16"/>
        <v>0.90464919283760648</v>
      </c>
      <c r="AB29" s="1"/>
    </row>
    <row r="30" spans="2:28" ht="18" x14ac:dyDescent="0.25">
      <c r="B30" s="3">
        <v>12</v>
      </c>
      <c r="C30" s="7">
        <v>52688</v>
      </c>
      <c r="D30" s="7">
        <v>461812</v>
      </c>
      <c r="E30" s="9">
        <v>68392</v>
      </c>
      <c r="F30" s="8">
        <f t="shared" si="0"/>
        <v>582892</v>
      </c>
      <c r="G30" s="23">
        <f t="shared" si="1"/>
        <v>582818.89583333337</v>
      </c>
      <c r="H30" s="7">
        <f t="shared" si="2"/>
        <v>582840.97916666674</v>
      </c>
      <c r="I30" s="7">
        <v>197525</v>
      </c>
      <c r="J30" s="6">
        <f t="shared" si="3"/>
        <v>12</v>
      </c>
      <c r="K30" s="6">
        <f t="shared" si="3"/>
        <v>106</v>
      </c>
      <c r="L30" s="6">
        <f t="shared" si="3"/>
        <v>3</v>
      </c>
      <c r="M30" s="6">
        <f t="shared" si="4"/>
        <v>76</v>
      </c>
      <c r="N30" s="5">
        <f t="shared" si="5"/>
        <v>56.896551724137929</v>
      </c>
      <c r="O30" s="3">
        <f t="shared" si="6"/>
        <v>3</v>
      </c>
      <c r="P30" s="5">
        <f t="shared" si="7"/>
        <v>53.896551724137929</v>
      </c>
      <c r="Q30" s="5">
        <f t="shared" si="8"/>
        <v>22.083333333372138</v>
      </c>
      <c r="R30" s="7">
        <f t="shared" si="9"/>
        <v>344.82758620689657</v>
      </c>
      <c r="S30" s="6">
        <f t="shared" si="10"/>
        <v>121</v>
      </c>
      <c r="T30" s="7">
        <f t="shared" si="11"/>
        <v>223.82758620689657</v>
      </c>
      <c r="U30" s="7">
        <f t="shared" si="12"/>
        <v>682.758620689655</v>
      </c>
      <c r="V30" s="6">
        <f t="shared" si="12"/>
        <v>430</v>
      </c>
      <c r="W30" s="7">
        <f t="shared" si="13"/>
        <v>252.758620689655</v>
      </c>
      <c r="X30" s="7">
        <f t="shared" si="14"/>
        <v>4137.93103448276</v>
      </c>
      <c r="Y30" s="7">
        <f t="shared" si="14"/>
        <v>1887</v>
      </c>
      <c r="Z30" s="7">
        <f t="shared" si="15"/>
        <v>2250.93103448276</v>
      </c>
      <c r="AA30" s="25">
        <f t="shared" si="16"/>
        <v>0.84681668402971377</v>
      </c>
      <c r="AB30" s="1"/>
    </row>
    <row r="31" spans="2:28" ht="18" x14ac:dyDescent="0.25">
      <c r="B31" s="3">
        <v>11</v>
      </c>
      <c r="C31" s="7">
        <v>52676</v>
      </c>
      <c r="D31" s="7">
        <v>461706</v>
      </c>
      <c r="E31" s="9">
        <v>68389</v>
      </c>
      <c r="F31" s="8">
        <f t="shared" si="0"/>
        <v>582771</v>
      </c>
      <c r="G31" s="23">
        <f t="shared" si="1"/>
        <v>582667.08333333337</v>
      </c>
      <c r="H31" s="7">
        <f t="shared" si="2"/>
        <v>582686.875</v>
      </c>
      <c r="I31" s="7">
        <v>197449</v>
      </c>
      <c r="J31" s="6">
        <f t="shared" si="3"/>
        <v>35</v>
      </c>
      <c r="K31" s="6">
        <f t="shared" si="3"/>
        <v>95</v>
      </c>
      <c r="L31" s="6">
        <f t="shared" si="3"/>
        <v>42</v>
      </c>
      <c r="M31" s="6">
        <f t="shared" si="4"/>
        <v>36</v>
      </c>
      <c r="N31" s="5">
        <f t="shared" si="5"/>
        <v>56.896551724137929</v>
      </c>
      <c r="O31" s="3">
        <f t="shared" si="6"/>
        <v>42</v>
      </c>
      <c r="P31" s="5">
        <f t="shared" si="7"/>
        <v>14.896551724137929</v>
      </c>
      <c r="Q31" s="5">
        <f t="shared" si="8"/>
        <v>19.791666666627862</v>
      </c>
      <c r="R31" s="7">
        <f t="shared" si="9"/>
        <v>344.82758620689657</v>
      </c>
      <c r="S31" s="6">
        <f t="shared" si="10"/>
        <v>172</v>
      </c>
      <c r="T31" s="7">
        <f t="shared" si="11"/>
        <v>172.82758620689657</v>
      </c>
      <c r="U31" s="7">
        <f t="shared" si="12"/>
        <v>625.8620689655171</v>
      </c>
      <c r="V31" s="6">
        <f t="shared" si="12"/>
        <v>427</v>
      </c>
      <c r="W31" s="7">
        <f t="shared" si="13"/>
        <v>198.8620689655171</v>
      </c>
      <c r="X31" s="7">
        <f t="shared" si="14"/>
        <v>3793.1034482758632</v>
      </c>
      <c r="Y31" s="7">
        <f t="shared" si="14"/>
        <v>1766</v>
      </c>
      <c r="Z31" s="7">
        <f t="shared" si="15"/>
        <v>2027.1034482758632</v>
      </c>
      <c r="AA31" s="25">
        <f t="shared" si="16"/>
        <v>0.97879062525286864</v>
      </c>
      <c r="AB31" s="1"/>
    </row>
    <row r="32" spans="2:28" ht="18" x14ac:dyDescent="0.25">
      <c r="B32" s="3">
        <v>10</v>
      </c>
      <c r="C32" s="7">
        <f>C33+36</f>
        <v>52641</v>
      </c>
      <c r="D32" s="7">
        <f>D33+87</f>
        <v>461611</v>
      </c>
      <c r="E32" s="9">
        <f>E33+26</f>
        <v>68347</v>
      </c>
      <c r="F32" s="8">
        <f t="shared" si="0"/>
        <v>582599</v>
      </c>
      <c r="G32" s="23">
        <f t="shared" si="1"/>
        <v>582508.97916666663</v>
      </c>
      <c r="H32" s="7">
        <f t="shared" si="2"/>
        <v>582527.10416666663</v>
      </c>
      <c r="I32" s="7">
        <f>I33+35</f>
        <v>197413</v>
      </c>
      <c r="J32" s="6">
        <f t="shared" si="3"/>
        <v>36</v>
      </c>
      <c r="K32" s="6">
        <f t="shared" si="3"/>
        <v>87</v>
      </c>
      <c r="L32" s="6">
        <f t="shared" si="3"/>
        <v>26</v>
      </c>
      <c r="M32" s="6">
        <f t="shared" si="4"/>
        <v>35</v>
      </c>
      <c r="N32" s="5">
        <f t="shared" si="5"/>
        <v>56.896551724137929</v>
      </c>
      <c r="O32" s="3">
        <f t="shared" si="6"/>
        <v>26</v>
      </c>
      <c r="P32" s="5">
        <f t="shared" si="7"/>
        <v>30.896551724137929</v>
      </c>
      <c r="Q32" s="5">
        <f t="shared" si="8"/>
        <v>18.125</v>
      </c>
      <c r="R32" s="7">
        <f t="shared" si="9"/>
        <v>344.82758620689657</v>
      </c>
      <c r="S32" s="6">
        <f t="shared" si="10"/>
        <v>149</v>
      </c>
      <c r="T32" s="7">
        <f t="shared" si="11"/>
        <v>195.82758620689657</v>
      </c>
      <c r="U32" s="7">
        <f t="shared" si="12"/>
        <v>568.96551724137919</v>
      </c>
      <c r="V32" s="6">
        <f t="shared" si="12"/>
        <v>385</v>
      </c>
      <c r="W32" s="7">
        <f t="shared" si="13"/>
        <v>183.96551724137919</v>
      </c>
      <c r="X32" s="7">
        <f t="shared" si="14"/>
        <v>3448.2758620689665</v>
      </c>
      <c r="Y32" s="7">
        <f t="shared" si="14"/>
        <v>1594</v>
      </c>
      <c r="Z32" s="7">
        <f t="shared" si="15"/>
        <v>1854.2758620689665</v>
      </c>
      <c r="AA32" s="25">
        <f t="shared" si="16"/>
        <v>0.97350278645345822</v>
      </c>
      <c r="AB32" s="1"/>
    </row>
    <row r="33" spans="2:28" ht="18" x14ac:dyDescent="0.25">
      <c r="B33" s="3">
        <v>9</v>
      </c>
      <c r="C33" s="7">
        <f>C34+31</f>
        <v>52605</v>
      </c>
      <c r="D33" s="7">
        <f>D34+94</f>
        <v>461524</v>
      </c>
      <c r="E33" s="9">
        <f>E34+29</f>
        <v>68321</v>
      </c>
      <c r="F33" s="8">
        <f t="shared" si="0"/>
        <v>582450</v>
      </c>
      <c r="G33" s="23">
        <f t="shared" si="1"/>
        <v>582356.95833333337</v>
      </c>
      <c r="H33" s="7">
        <f t="shared" si="2"/>
        <v>582376.54166666674</v>
      </c>
      <c r="I33" s="7">
        <f>I34+38</f>
        <v>197378</v>
      </c>
      <c r="J33" s="6">
        <f t="shared" si="3"/>
        <v>31</v>
      </c>
      <c r="K33" s="6">
        <f t="shared" si="3"/>
        <v>94</v>
      </c>
      <c r="L33" s="6">
        <f t="shared" si="3"/>
        <v>29</v>
      </c>
      <c r="M33" s="6">
        <f t="shared" si="4"/>
        <v>38</v>
      </c>
      <c r="N33" s="5">
        <f t="shared" si="5"/>
        <v>56.896551724137929</v>
      </c>
      <c r="O33" s="3">
        <f t="shared" si="6"/>
        <v>29</v>
      </c>
      <c r="P33" s="5">
        <f t="shared" si="7"/>
        <v>27.896551724137929</v>
      </c>
      <c r="Q33" s="5">
        <f t="shared" si="8"/>
        <v>19.583333333372138</v>
      </c>
      <c r="R33" s="7">
        <f t="shared" si="9"/>
        <v>344.82758620689657</v>
      </c>
      <c r="S33" s="6">
        <f t="shared" si="10"/>
        <v>154</v>
      </c>
      <c r="T33" s="7">
        <f t="shared" si="11"/>
        <v>190.82758620689657</v>
      </c>
      <c r="U33" s="7">
        <f t="shared" si="12"/>
        <v>512.06896551724128</v>
      </c>
      <c r="V33" s="6">
        <f t="shared" si="12"/>
        <v>359</v>
      </c>
      <c r="W33" s="7">
        <f t="shared" si="13"/>
        <v>153.06896551724128</v>
      </c>
      <c r="X33" s="7">
        <f t="shared" si="14"/>
        <v>3103.4482758620697</v>
      </c>
      <c r="Y33" s="7">
        <f t="shared" si="14"/>
        <v>1445</v>
      </c>
      <c r="Z33" s="7">
        <f t="shared" si="15"/>
        <v>1658.4482758620697</v>
      </c>
      <c r="AA33" s="25">
        <f t="shared" si="16"/>
        <v>0.97087965948182708</v>
      </c>
      <c r="AB33" s="1"/>
    </row>
    <row r="34" spans="2:28" ht="18" x14ac:dyDescent="0.25">
      <c r="B34" s="3">
        <v>8</v>
      </c>
      <c r="C34" s="7">
        <v>52574</v>
      </c>
      <c r="D34" s="7">
        <v>461430</v>
      </c>
      <c r="E34" s="9">
        <v>68292</v>
      </c>
      <c r="F34" s="8">
        <f t="shared" si="0"/>
        <v>582296</v>
      </c>
      <c r="G34" s="23">
        <f t="shared" si="1"/>
        <v>582217.45833333337</v>
      </c>
      <c r="H34" s="7">
        <f t="shared" si="2"/>
        <v>582236.41666666674</v>
      </c>
      <c r="I34" s="7">
        <v>197340</v>
      </c>
      <c r="J34" s="6">
        <f t="shared" si="3"/>
        <v>14</v>
      </c>
      <c r="K34" s="6">
        <f t="shared" si="3"/>
        <v>91</v>
      </c>
      <c r="L34" s="6">
        <f t="shared" si="3"/>
        <v>25</v>
      </c>
      <c r="M34" s="6">
        <f t="shared" si="4"/>
        <v>108</v>
      </c>
      <c r="N34" s="5">
        <f t="shared" si="5"/>
        <v>56.896551724137929</v>
      </c>
      <c r="O34" s="3">
        <f t="shared" si="6"/>
        <v>25</v>
      </c>
      <c r="P34" s="5">
        <f t="shared" si="7"/>
        <v>31.896551724137929</v>
      </c>
      <c r="Q34" s="5">
        <f t="shared" si="8"/>
        <v>18.958333333372138</v>
      </c>
      <c r="R34" s="7">
        <f t="shared" si="9"/>
        <v>344.82758620689657</v>
      </c>
      <c r="S34" s="6">
        <f t="shared" si="10"/>
        <v>130</v>
      </c>
      <c r="T34" s="7">
        <f t="shared" si="11"/>
        <v>214.82758620689657</v>
      </c>
      <c r="U34" s="7">
        <f t="shared" si="12"/>
        <v>455.17241379310337</v>
      </c>
      <c r="V34" s="6">
        <f t="shared" si="12"/>
        <v>330</v>
      </c>
      <c r="W34" s="7">
        <f t="shared" si="13"/>
        <v>125.17241379310337</v>
      </c>
      <c r="X34" s="7">
        <f t="shared" si="14"/>
        <v>2758.620689655173</v>
      </c>
      <c r="Y34" s="7">
        <f t="shared" si="14"/>
        <v>1291</v>
      </c>
      <c r="Z34" s="7">
        <f t="shared" si="15"/>
        <v>1467.620689655173</v>
      </c>
      <c r="AA34" s="25">
        <f t="shared" si="16"/>
        <v>0.76919037305195059</v>
      </c>
      <c r="AB34" s="1"/>
    </row>
    <row r="35" spans="2:28" ht="18" x14ac:dyDescent="0.25">
      <c r="B35" s="3">
        <v>7</v>
      </c>
      <c r="C35" s="7">
        <v>52560</v>
      </c>
      <c r="D35" s="7">
        <v>461339</v>
      </c>
      <c r="E35" s="9">
        <v>68267</v>
      </c>
      <c r="F35" s="8">
        <f t="shared" si="0"/>
        <v>582166</v>
      </c>
      <c r="G35" s="23">
        <f t="shared" si="1"/>
        <v>582062.08333333337</v>
      </c>
      <c r="H35" s="7">
        <f t="shared" si="2"/>
        <v>582081.875</v>
      </c>
      <c r="I35" s="7">
        <v>197232</v>
      </c>
      <c r="J35" s="6">
        <f t="shared" si="3"/>
        <v>40</v>
      </c>
      <c r="K35" s="6">
        <f t="shared" si="3"/>
        <v>95</v>
      </c>
      <c r="L35" s="6">
        <f t="shared" si="3"/>
        <v>37</v>
      </c>
      <c r="M35" s="6">
        <f t="shared" si="4"/>
        <v>100</v>
      </c>
      <c r="N35" s="5">
        <f t="shared" si="5"/>
        <v>56.896551724137929</v>
      </c>
      <c r="O35" s="3">
        <f t="shared" si="6"/>
        <v>37</v>
      </c>
      <c r="P35" s="5">
        <f t="shared" si="7"/>
        <v>19.896551724137929</v>
      </c>
      <c r="Q35" s="5">
        <f t="shared" si="8"/>
        <v>19.791666666627862</v>
      </c>
      <c r="R35" s="7">
        <f t="shared" si="9"/>
        <v>344.82758620689657</v>
      </c>
      <c r="S35" s="6">
        <f t="shared" si="10"/>
        <v>172</v>
      </c>
      <c r="T35" s="7">
        <f t="shared" si="11"/>
        <v>172.82758620689657</v>
      </c>
      <c r="U35" s="7">
        <f t="shared" si="12"/>
        <v>398.27586206896547</v>
      </c>
      <c r="V35" s="6">
        <f t="shared" si="12"/>
        <v>305</v>
      </c>
      <c r="W35" s="7">
        <f t="shared" si="13"/>
        <v>93.275862068965466</v>
      </c>
      <c r="X35" s="7">
        <f t="shared" si="14"/>
        <v>2413.7931034482763</v>
      </c>
      <c r="Y35" s="7">
        <f t="shared" si="14"/>
        <v>1161</v>
      </c>
      <c r="Z35" s="7">
        <f t="shared" si="15"/>
        <v>1252.7931034482763</v>
      </c>
      <c r="AA35" s="25">
        <f t="shared" si="16"/>
        <v>0.86450718668419269</v>
      </c>
      <c r="AB35" s="1"/>
    </row>
    <row r="36" spans="2:28" ht="18" x14ac:dyDescent="0.25">
      <c r="B36" s="3">
        <v>6</v>
      </c>
      <c r="C36" s="7">
        <v>52520</v>
      </c>
      <c r="D36" s="7">
        <v>461244</v>
      </c>
      <c r="E36" s="9">
        <v>68230</v>
      </c>
      <c r="F36" s="8">
        <f t="shared" si="0"/>
        <v>581994</v>
      </c>
      <c r="G36" s="23">
        <f t="shared" si="1"/>
        <v>581900.95833333337</v>
      </c>
      <c r="H36" s="7">
        <f t="shared" si="2"/>
        <v>581919.70833333337</v>
      </c>
      <c r="I36" s="7">
        <v>197132</v>
      </c>
      <c r="J36" s="6">
        <f t="shared" si="3"/>
        <v>26</v>
      </c>
      <c r="K36" s="6">
        <f t="shared" si="3"/>
        <v>90</v>
      </c>
      <c r="L36" s="6">
        <f t="shared" si="3"/>
        <v>38</v>
      </c>
      <c r="M36" s="6">
        <f t="shared" si="4"/>
        <v>88</v>
      </c>
      <c r="N36" s="5">
        <f t="shared" si="5"/>
        <v>56.896551724137929</v>
      </c>
      <c r="O36" s="3">
        <f t="shared" si="6"/>
        <v>38</v>
      </c>
      <c r="P36" s="5">
        <f t="shared" si="7"/>
        <v>18.896551724137929</v>
      </c>
      <c r="Q36" s="5">
        <f t="shared" si="8"/>
        <v>18.75</v>
      </c>
      <c r="R36" s="7">
        <f t="shared" si="9"/>
        <v>344.82758620689657</v>
      </c>
      <c r="S36" s="6">
        <f t="shared" si="10"/>
        <v>154</v>
      </c>
      <c r="T36" s="7">
        <f t="shared" si="11"/>
        <v>190.82758620689657</v>
      </c>
      <c r="U36" s="7">
        <f t="shared" si="12"/>
        <v>341.37931034482756</v>
      </c>
      <c r="V36" s="6">
        <f t="shared" si="12"/>
        <v>268</v>
      </c>
      <c r="W36" s="7">
        <f t="shared" si="13"/>
        <v>73.379310344827559</v>
      </c>
      <c r="X36" s="7">
        <f t="shared" si="14"/>
        <v>2068.9655172413795</v>
      </c>
      <c r="Y36" s="7">
        <f t="shared" si="14"/>
        <v>989</v>
      </c>
      <c r="Z36" s="7">
        <f t="shared" si="15"/>
        <v>1079.9655172413795</v>
      </c>
      <c r="AA36" s="25">
        <f t="shared" si="16"/>
        <v>0.86824314212445919</v>
      </c>
      <c r="AB36" s="1"/>
    </row>
    <row r="37" spans="2:28" ht="18" x14ac:dyDescent="0.25">
      <c r="B37" s="3">
        <v>5</v>
      </c>
      <c r="C37" s="7">
        <v>52494</v>
      </c>
      <c r="D37" s="7">
        <v>461154</v>
      </c>
      <c r="E37" s="9">
        <v>68192</v>
      </c>
      <c r="F37" s="8">
        <f t="shared" si="0"/>
        <v>581840</v>
      </c>
      <c r="G37" s="23">
        <f t="shared" si="1"/>
        <v>581735.47916666663</v>
      </c>
      <c r="H37" s="7">
        <f t="shared" si="2"/>
        <v>581756.9375</v>
      </c>
      <c r="I37" s="7">
        <v>197044</v>
      </c>
      <c r="J37" s="6">
        <f t="shared" si="3"/>
        <v>17</v>
      </c>
      <c r="K37" s="6">
        <f t="shared" si="3"/>
        <v>103</v>
      </c>
      <c r="L37" s="6">
        <f t="shared" si="3"/>
        <v>53</v>
      </c>
      <c r="M37" s="6">
        <f t="shared" si="4"/>
        <v>77</v>
      </c>
      <c r="N37" s="5">
        <f t="shared" si="5"/>
        <v>56.896551724137929</v>
      </c>
      <c r="O37" s="3">
        <f t="shared" si="6"/>
        <v>53</v>
      </c>
      <c r="P37" s="5">
        <f t="shared" si="7"/>
        <v>3.8965517241379288</v>
      </c>
      <c r="Q37" s="5">
        <f t="shared" si="8"/>
        <v>21.458333333372138</v>
      </c>
      <c r="R37" s="7">
        <f t="shared" si="9"/>
        <v>344.82758620689657</v>
      </c>
      <c r="S37" s="6">
        <f t="shared" si="10"/>
        <v>173</v>
      </c>
      <c r="T37" s="7">
        <f t="shared" si="11"/>
        <v>171.82758620689657</v>
      </c>
      <c r="U37" s="7">
        <f t="shared" si="12"/>
        <v>284.48275862068965</v>
      </c>
      <c r="V37" s="6">
        <f t="shared" si="12"/>
        <v>230</v>
      </c>
      <c r="W37" s="7">
        <f t="shared" si="13"/>
        <v>54.482758620689651</v>
      </c>
      <c r="X37" s="7">
        <f t="shared" si="14"/>
        <v>1724.1379310344828</v>
      </c>
      <c r="Y37" s="7">
        <f t="shared" si="14"/>
        <v>835</v>
      </c>
      <c r="Z37" s="7">
        <f t="shared" si="15"/>
        <v>889.13793103448279</v>
      </c>
      <c r="AA37" s="25">
        <f t="shared" si="16"/>
        <v>0.91359364867531934</v>
      </c>
      <c r="AB37" s="1"/>
    </row>
    <row r="38" spans="2:28" ht="18" x14ac:dyDescent="0.25">
      <c r="B38" s="3">
        <v>4</v>
      </c>
      <c r="C38" s="7">
        <f>C39+19</f>
        <v>52477</v>
      </c>
      <c r="D38" s="7">
        <f>D39+97</f>
        <v>461051</v>
      </c>
      <c r="E38" s="9">
        <f>E39+51</f>
        <v>68139</v>
      </c>
      <c r="F38" s="8">
        <f t="shared" si="0"/>
        <v>581667</v>
      </c>
      <c r="G38" s="23">
        <f t="shared" si="1"/>
        <v>581566.10416666663</v>
      </c>
      <c r="H38" s="7">
        <f t="shared" si="2"/>
        <v>581586.3125</v>
      </c>
      <c r="I38" s="7">
        <f>I39+73</f>
        <v>196967</v>
      </c>
      <c r="J38" s="6">
        <f t="shared" si="3"/>
        <v>19</v>
      </c>
      <c r="K38" s="6">
        <f t="shared" si="3"/>
        <v>97</v>
      </c>
      <c r="L38" s="6">
        <f t="shared" si="3"/>
        <v>51</v>
      </c>
      <c r="M38" s="6">
        <f t="shared" si="4"/>
        <v>73</v>
      </c>
      <c r="N38" s="5">
        <f t="shared" si="5"/>
        <v>56.896551724137929</v>
      </c>
      <c r="O38" s="3">
        <f t="shared" si="6"/>
        <v>51</v>
      </c>
      <c r="P38" s="5">
        <f t="shared" si="7"/>
        <v>5.8965517241379288</v>
      </c>
      <c r="Q38" s="5">
        <f t="shared" si="8"/>
        <v>20.208333333372138</v>
      </c>
      <c r="R38" s="7">
        <f t="shared" si="9"/>
        <v>344.82758620689657</v>
      </c>
      <c r="S38" s="6">
        <f t="shared" si="10"/>
        <v>167</v>
      </c>
      <c r="T38" s="7">
        <f t="shared" si="11"/>
        <v>177.82758620689657</v>
      </c>
      <c r="U38" s="7">
        <f t="shared" si="12"/>
        <v>227.58620689655172</v>
      </c>
      <c r="V38" s="6">
        <f t="shared" si="12"/>
        <v>177</v>
      </c>
      <c r="W38" s="7">
        <f t="shared" si="13"/>
        <v>50.586206896551715</v>
      </c>
      <c r="X38" s="7">
        <f t="shared" si="14"/>
        <v>1379.3103448275863</v>
      </c>
      <c r="Y38" s="7">
        <f t="shared" si="14"/>
        <v>662</v>
      </c>
      <c r="Z38" s="7">
        <f t="shared" si="15"/>
        <v>717.31034482758628</v>
      </c>
      <c r="AA38" s="25">
        <f t="shared" si="16"/>
        <v>0.9162832145440748</v>
      </c>
      <c r="AB38" s="1"/>
    </row>
    <row r="39" spans="2:28" ht="18" x14ac:dyDescent="0.25">
      <c r="B39" s="3">
        <v>3</v>
      </c>
      <c r="C39" s="7">
        <f>C40+23</f>
        <v>52458</v>
      </c>
      <c r="D39" s="7">
        <f>D40+98</f>
        <v>460954</v>
      </c>
      <c r="E39" s="9">
        <f>E40+41</f>
        <v>68088</v>
      </c>
      <c r="F39" s="8">
        <f t="shared" si="0"/>
        <v>581500</v>
      </c>
      <c r="G39" s="23">
        <f t="shared" si="1"/>
        <v>581402.125</v>
      </c>
      <c r="H39" s="7">
        <f t="shared" si="2"/>
        <v>581422.54166666663</v>
      </c>
      <c r="I39" s="7">
        <f>I40+74</f>
        <v>196894</v>
      </c>
      <c r="J39" s="6">
        <f t="shared" si="3"/>
        <v>23</v>
      </c>
      <c r="K39" s="6">
        <f t="shared" si="3"/>
        <v>98</v>
      </c>
      <c r="L39" s="6">
        <f t="shared" si="3"/>
        <v>41</v>
      </c>
      <c r="M39" s="6">
        <f t="shared" si="4"/>
        <v>74</v>
      </c>
      <c r="N39" s="5">
        <f t="shared" si="5"/>
        <v>56.896551724137929</v>
      </c>
      <c r="O39" s="3">
        <f t="shared" si="6"/>
        <v>41</v>
      </c>
      <c r="P39" s="5">
        <f t="shared" si="7"/>
        <v>15.896551724137929</v>
      </c>
      <c r="Q39" s="5">
        <f t="shared" si="8"/>
        <v>20.416666666627862</v>
      </c>
      <c r="R39" s="7">
        <f t="shared" si="9"/>
        <v>344.82758620689657</v>
      </c>
      <c r="S39" s="6">
        <f t="shared" si="10"/>
        <v>162</v>
      </c>
      <c r="T39" s="7">
        <f t="shared" si="11"/>
        <v>182.82758620689657</v>
      </c>
      <c r="U39" s="7">
        <f t="shared" si="12"/>
        <v>170.68965517241378</v>
      </c>
      <c r="V39" s="6">
        <f t="shared" si="12"/>
        <v>126</v>
      </c>
      <c r="W39" s="7">
        <f t="shared" si="13"/>
        <v>44.689655172413779</v>
      </c>
      <c r="X39" s="7">
        <f t="shared" si="14"/>
        <v>1034.4827586206898</v>
      </c>
      <c r="Y39" s="7">
        <f t="shared" si="14"/>
        <v>495</v>
      </c>
      <c r="Z39" s="7">
        <f t="shared" si="15"/>
        <v>539.48275862068976</v>
      </c>
      <c r="AA39" s="25">
        <f t="shared" si="16"/>
        <v>0.90959575572880103</v>
      </c>
      <c r="AB39" s="1"/>
    </row>
    <row r="40" spans="2:28" ht="18" x14ac:dyDescent="0.25">
      <c r="B40" s="3">
        <v>2</v>
      </c>
      <c r="C40" s="7">
        <f>C41+21</f>
        <v>52435</v>
      </c>
      <c r="D40" s="7">
        <f>D41+105</f>
        <v>460856</v>
      </c>
      <c r="E40" s="9">
        <f>E41+40</f>
        <v>68047</v>
      </c>
      <c r="F40" s="8">
        <f t="shared" si="0"/>
        <v>581338</v>
      </c>
      <c r="G40" s="23">
        <f t="shared" si="1"/>
        <v>581237.70833333337</v>
      </c>
      <c r="H40" s="7">
        <f t="shared" si="2"/>
        <v>581259.58333333337</v>
      </c>
      <c r="I40" s="7">
        <f>I41+68</f>
        <v>196820</v>
      </c>
      <c r="J40" s="6">
        <f t="shared" si="3"/>
        <v>21</v>
      </c>
      <c r="K40" s="6">
        <f t="shared" si="3"/>
        <v>105</v>
      </c>
      <c r="L40" s="6">
        <f t="shared" si="3"/>
        <v>40</v>
      </c>
      <c r="M40" s="6">
        <f t="shared" si="4"/>
        <v>68</v>
      </c>
      <c r="N40" s="5">
        <f t="shared" si="5"/>
        <v>56.896551724137929</v>
      </c>
      <c r="O40" s="3">
        <f t="shared" si="6"/>
        <v>40</v>
      </c>
      <c r="P40" s="5">
        <f t="shared" si="7"/>
        <v>16.896551724137929</v>
      </c>
      <c r="Q40" s="5">
        <f t="shared" si="8"/>
        <v>21.875</v>
      </c>
      <c r="R40" s="7">
        <f>R41</f>
        <v>344.82758620689657</v>
      </c>
      <c r="S40" s="6">
        <f t="shared" si="10"/>
        <v>166</v>
      </c>
      <c r="T40" s="7">
        <f t="shared" si="11"/>
        <v>178.82758620689657</v>
      </c>
      <c r="U40" s="7">
        <f t="shared" si="12"/>
        <v>113.79310344827586</v>
      </c>
      <c r="V40" s="6">
        <f t="shared" si="12"/>
        <v>85</v>
      </c>
      <c r="W40" s="7">
        <f t="shared" si="13"/>
        <v>28.793103448275858</v>
      </c>
      <c r="X40" s="7">
        <f t="shared" si="14"/>
        <v>689.65517241379314</v>
      </c>
      <c r="Y40" s="7">
        <f t="shared" si="14"/>
        <v>333</v>
      </c>
      <c r="Z40" s="7">
        <f t="shared" si="15"/>
        <v>356.65517241379314</v>
      </c>
      <c r="AA40" s="25">
        <f t="shared" si="16"/>
        <v>0.92536925927098368</v>
      </c>
      <c r="AB40" s="1"/>
    </row>
    <row r="41" spans="2:28" ht="18" x14ac:dyDescent="0.25">
      <c r="B41" s="3">
        <v>1</v>
      </c>
      <c r="C41" s="7">
        <f>C42+18</f>
        <v>52414</v>
      </c>
      <c r="D41" s="7">
        <f>D42+104</f>
        <v>460751</v>
      </c>
      <c r="E41" s="9">
        <f>E42+45</f>
        <v>68007</v>
      </c>
      <c r="F41" s="8">
        <f t="shared" si="0"/>
        <v>581172</v>
      </c>
      <c r="G41" s="23">
        <f>(C42+D42+E42)+((S41/24)*9.5)</f>
        <v>581071.10416666663</v>
      </c>
      <c r="H41" s="7">
        <f>G41+((K41/12)*2.5)</f>
        <v>581092.77083333326</v>
      </c>
      <c r="I41" s="7">
        <f>I42+71</f>
        <v>196752</v>
      </c>
      <c r="J41" s="6">
        <f t="shared" si="3"/>
        <v>18</v>
      </c>
      <c r="K41" s="6">
        <f t="shared" si="3"/>
        <v>104</v>
      </c>
      <c r="L41" s="6">
        <f t="shared" si="3"/>
        <v>45</v>
      </c>
      <c r="M41" s="6">
        <f t="shared" si="4"/>
        <v>71</v>
      </c>
      <c r="N41" s="44">
        <f>O6/29</f>
        <v>56.896551724137929</v>
      </c>
      <c r="O41" s="3">
        <f t="shared" si="6"/>
        <v>45</v>
      </c>
      <c r="P41" s="5">
        <f t="shared" si="7"/>
        <v>11.896551724137929</v>
      </c>
      <c r="Q41" s="5">
        <f t="shared" si="8"/>
        <v>21.666666666627862</v>
      </c>
      <c r="R41" s="46">
        <f>S6/29</f>
        <v>344.82758620689657</v>
      </c>
      <c r="S41" s="6">
        <f t="shared" si="10"/>
        <v>167</v>
      </c>
      <c r="T41" s="7">
        <f t="shared" si="11"/>
        <v>177.82758620689657</v>
      </c>
      <c r="U41" s="7">
        <f>N41</f>
        <v>56.896551724137929</v>
      </c>
      <c r="V41" s="6">
        <f>O41</f>
        <v>45</v>
      </c>
      <c r="W41" s="7">
        <f t="shared" si="13"/>
        <v>11.896551724137929</v>
      </c>
      <c r="X41" s="7">
        <f>R41</f>
        <v>344.82758620689657</v>
      </c>
      <c r="Y41" s="7">
        <f>S41</f>
        <v>167</v>
      </c>
      <c r="Z41" s="7">
        <f t="shared" si="15"/>
        <v>177.82758620689657</v>
      </c>
      <c r="AA41" s="25">
        <f t="shared" si="16"/>
        <v>0.92028131797895096</v>
      </c>
      <c r="AB41" s="1"/>
    </row>
    <row r="42" spans="2:28" ht="54" x14ac:dyDescent="0.25">
      <c r="B42" s="34" t="s">
        <v>13</v>
      </c>
      <c r="C42" s="8">
        <v>52396</v>
      </c>
      <c r="D42" s="8">
        <v>460647</v>
      </c>
      <c r="E42" s="8">
        <v>67962</v>
      </c>
      <c r="F42" s="8">
        <v>581005</v>
      </c>
      <c r="G42" s="10">
        <v>580931.29166666663</v>
      </c>
      <c r="H42" s="10">
        <v>580942.75</v>
      </c>
      <c r="I42" s="8">
        <v>196681</v>
      </c>
      <c r="J42" s="11"/>
      <c r="K42" s="11"/>
      <c r="L42" s="11"/>
      <c r="M42" s="47">
        <f>SUM(M13:M41)</f>
        <v>1698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2:28" ht="18" x14ac:dyDescent="0.25"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2:28" ht="18" x14ac:dyDescent="0.25">
      <c r="B44" s="11"/>
      <c r="C44" s="11"/>
      <c r="D44" s="11"/>
      <c r="E44" s="11"/>
      <c r="F44" s="11"/>
      <c r="G44" s="4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2:28" ht="18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50" spans="26:27" ht="18" x14ac:dyDescent="0.25">
      <c r="Z50" s="11" t="s">
        <v>38</v>
      </c>
    </row>
    <row r="51" spans="26:27" ht="18" x14ac:dyDescent="0.25">
      <c r="Z51" s="11" t="s">
        <v>44</v>
      </c>
      <c r="AA51" s="11"/>
    </row>
    <row r="52" spans="26:27" ht="18" x14ac:dyDescent="0.25">
      <c r="Z52" s="11" t="s">
        <v>45</v>
      </c>
      <c r="AA52" s="11"/>
    </row>
    <row r="53" spans="26:27" ht="18" x14ac:dyDescent="0.25">
      <c r="Z53" s="11" t="s">
        <v>12</v>
      </c>
      <c r="AA53" s="11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2:AB55"/>
  <sheetViews>
    <sheetView tabSelected="1" zoomScale="85" zoomScaleNormal="85" zoomScaleSheetLayoutView="95" workbookViewId="0">
      <pane ySplit="1" topLeftCell="A8" activePane="bottomLeft" state="frozen"/>
      <selection pane="bottomLeft" activeCell="A11" sqref="A11:XFD12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7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7" t="s">
        <v>29</v>
      </c>
    </row>
    <row r="3" spans="2:28" ht="15.75" customHeight="1" x14ac:dyDescent="0.25">
      <c r="G3" s="27" t="s">
        <v>28</v>
      </c>
    </row>
    <row r="4" spans="2:28" ht="15.75" customHeight="1" x14ac:dyDescent="0.3">
      <c r="G4" s="28" t="s">
        <v>30</v>
      </c>
      <c r="N4" s="29">
        <f>'Ciencia A'!N4</f>
        <v>45323</v>
      </c>
    </row>
    <row r="5" spans="2:28" x14ac:dyDescent="0.25">
      <c r="C5" s="58" t="s">
        <v>37</v>
      </c>
      <c r="D5" s="58"/>
      <c r="E5" s="58"/>
      <c r="T5" s="53"/>
      <c r="U5" s="53" t="s">
        <v>42</v>
      </c>
      <c r="V5" s="53" t="s">
        <v>43</v>
      </c>
      <c r="W5" s="43"/>
    </row>
    <row r="6" spans="2:28" ht="15.75" x14ac:dyDescent="0.25">
      <c r="N6" s="14" t="s">
        <v>27</v>
      </c>
      <c r="O6" s="30">
        <f>S6*16.5%</f>
        <v>787.54500000000007</v>
      </c>
      <c r="P6" s="31" t="s">
        <v>26</v>
      </c>
      <c r="Q6" s="12">
        <f>(S6*8)/100</f>
        <v>381.84</v>
      </c>
      <c r="R6" s="18" t="s">
        <v>25</v>
      </c>
      <c r="S6" s="12">
        <v>4773</v>
      </c>
      <c r="T6" s="53" t="s">
        <v>41</v>
      </c>
      <c r="U6" s="53">
        <v>395.48</v>
      </c>
      <c r="V6" s="52">
        <f>U6/30</f>
        <v>13.182666666666668</v>
      </c>
    </row>
    <row r="7" spans="2:28" ht="46.5" customHeight="1" x14ac:dyDescent="0.25">
      <c r="B7" s="61" t="s">
        <v>24</v>
      </c>
      <c r="C7" s="59" t="s">
        <v>9</v>
      </c>
      <c r="D7" s="59"/>
      <c r="E7" s="59"/>
      <c r="F7" s="59"/>
      <c r="G7" s="59"/>
      <c r="H7" s="59"/>
      <c r="I7" s="59"/>
      <c r="J7" s="59" t="s">
        <v>23</v>
      </c>
      <c r="K7" s="59"/>
      <c r="L7" s="59"/>
      <c r="M7" s="59"/>
      <c r="N7" s="59" t="s">
        <v>22</v>
      </c>
      <c r="O7" s="59"/>
      <c r="P7" s="59"/>
      <c r="Q7" s="60" t="s">
        <v>21</v>
      </c>
      <c r="R7" s="59" t="s">
        <v>20</v>
      </c>
      <c r="S7" s="59"/>
      <c r="T7" s="59"/>
      <c r="U7" s="59" t="s">
        <v>10</v>
      </c>
      <c r="V7" s="59"/>
      <c r="W7" s="59"/>
      <c r="X7" s="59" t="s">
        <v>11</v>
      </c>
      <c r="Y7" s="59"/>
      <c r="Z7" s="59"/>
      <c r="AA7" s="59"/>
      <c r="AB7" s="60" t="s">
        <v>8</v>
      </c>
    </row>
    <row r="8" spans="2:28" ht="30" x14ac:dyDescent="0.25">
      <c r="B8" s="61"/>
      <c r="C8" s="15" t="s">
        <v>1</v>
      </c>
      <c r="D8" s="15" t="s">
        <v>0</v>
      </c>
      <c r="E8" s="15" t="s">
        <v>2</v>
      </c>
      <c r="F8" s="15" t="s">
        <v>19</v>
      </c>
      <c r="G8" s="15" t="s">
        <v>18</v>
      </c>
      <c r="H8" s="15" t="s">
        <v>17</v>
      </c>
      <c r="I8" s="15" t="s">
        <v>3</v>
      </c>
      <c r="J8" s="15" t="s">
        <v>1</v>
      </c>
      <c r="K8" s="15" t="s">
        <v>0</v>
      </c>
      <c r="L8" s="15" t="s">
        <v>2</v>
      </c>
      <c r="M8" s="15" t="s">
        <v>3</v>
      </c>
      <c r="N8" s="15" t="s">
        <v>4</v>
      </c>
      <c r="O8" s="15" t="s">
        <v>5</v>
      </c>
      <c r="P8" s="15" t="s">
        <v>16</v>
      </c>
      <c r="Q8" s="60"/>
      <c r="R8" s="19" t="s">
        <v>6</v>
      </c>
      <c r="S8" s="15" t="s">
        <v>15</v>
      </c>
      <c r="T8" s="15" t="s">
        <v>16</v>
      </c>
      <c r="U8" s="15" t="s">
        <v>4</v>
      </c>
      <c r="V8" s="15" t="s">
        <v>5</v>
      </c>
      <c r="W8" s="15" t="s">
        <v>16</v>
      </c>
      <c r="X8" s="15" t="s">
        <v>6</v>
      </c>
      <c r="Y8" s="15" t="s">
        <v>15</v>
      </c>
      <c r="Z8" s="32" t="s">
        <v>14</v>
      </c>
      <c r="AA8" s="15" t="s">
        <v>7</v>
      </c>
      <c r="AB8" s="60"/>
    </row>
    <row r="9" spans="2:28" x14ac:dyDescent="0.25">
      <c r="B9" s="33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0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21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7"/>
      <c r="G11" s="23"/>
      <c r="H11" s="7"/>
      <c r="I11" s="7"/>
      <c r="J11" s="6"/>
      <c r="K11" s="6"/>
      <c r="L11" s="6"/>
      <c r="M11" s="6"/>
      <c r="N11" s="5"/>
      <c r="O11" s="24"/>
      <c r="P11" s="5"/>
      <c r="Q11" s="5"/>
      <c r="R11" s="21"/>
      <c r="S11" s="6"/>
      <c r="T11" s="7"/>
      <c r="U11" s="7"/>
      <c r="V11" s="7"/>
      <c r="W11" s="7"/>
      <c r="X11" s="7"/>
      <c r="Y11" s="7"/>
      <c r="Z11" s="7"/>
      <c r="AA11" s="25"/>
      <c r="AB11" s="26"/>
    </row>
    <row r="12" spans="2:28" ht="18" x14ac:dyDescent="0.25">
      <c r="B12" s="3"/>
      <c r="C12" s="7"/>
      <c r="D12" s="7"/>
      <c r="E12" s="7"/>
      <c r="F12" s="10"/>
      <c r="G12" s="23"/>
      <c r="H12" s="7"/>
      <c r="I12" s="7"/>
      <c r="J12" s="6"/>
      <c r="K12" s="6"/>
      <c r="L12" s="6"/>
      <c r="M12" s="6"/>
      <c r="N12" s="5"/>
      <c r="O12" s="24"/>
      <c r="P12" s="5"/>
      <c r="Q12" s="5"/>
      <c r="R12" s="21"/>
      <c r="S12" s="6"/>
      <c r="T12" s="7"/>
      <c r="U12" s="7"/>
      <c r="V12" s="7"/>
      <c r="W12" s="7"/>
      <c r="X12" s="7"/>
      <c r="Y12" s="7"/>
      <c r="Z12" s="7"/>
      <c r="AA12" s="25"/>
      <c r="AB12" s="26"/>
    </row>
    <row r="13" spans="2:28" ht="18" x14ac:dyDescent="0.25">
      <c r="B13" s="3">
        <v>29</v>
      </c>
      <c r="C13" s="7">
        <v>145342</v>
      </c>
      <c r="D13" s="7">
        <v>1427992</v>
      </c>
      <c r="E13" s="7">
        <v>290557</v>
      </c>
      <c r="F13" s="8">
        <f t="shared" ref="F13:F41" si="0">C13+D13+E13</f>
        <v>1863891</v>
      </c>
      <c r="G13" s="23">
        <f t="shared" ref="G13:G40" si="1">(C14+D14+E14)+((S14/24)*3)</f>
        <v>1863848</v>
      </c>
      <c r="H13" s="7">
        <f t="shared" ref="H13:H40" si="2">G13+((K13/12)*1.5)</f>
        <v>1863850.875</v>
      </c>
      <c r="I13" s="7">
        <v>972106</v>
      </c>
      <c r="J13" s="6">
        <f t="shared" ref="J13:L41" si="3">C13-C14</f>
        <v>20</v>
      </c>
      <c r="K13" s="6">
        <f t="shared" si="3"/>
        <v>23</v>
      </c>
      <c r="L13" s="6">
        <f t="shared" si="3"/>
        <v>8</v>
      </c>
      <c r="M13" s="6">
        <f t="shared" ref="M13:M41" si="4">I13-I14</f>
        <v>30</v>
      </c>
      <c r="N13" s="5">
        <f t="shared" ref="N13:N40" si="5">N14</f>
        <v>27.156724137931036</v>
      </c>
      <c r="O13" s="24">
        <f t="shared" ref="O13:O41" si="6">L13</f>
        <v>8</v>
      </c>
      <c r="P13" s="5">
        <f t="shared" ref="P13:P41" si="7">N13-O13</f>
        <v>19.156724137931036</v>
      </c>
      <c r="Q13" s="5">
        <f t="shared" ref="Q13:Q41" si="8">H13-G13</f>
        <v>2.875</v>
      </c>
      <c r="R13" s="21">
        <f t="shared" ref="R13:R38" si="9">R14</f>
        <v>164.58620689655172</v>
      </c>
      <c r="S13" s="6">
        <f t="shared" ref="S13:S41" si="10">J13+K13+L13</f>
        <v>51</v>
      </c>
      <c r="T13" s="7">
        <f t="shared" ref="T13:T41" si="11">R13-S13</f>
        <v>113.58620689655172</v>
      </c>
      <c r="U13" s="7">
        <f t="shared" ref="U13:V40" si="12">U14+N13</f>
        <v>787.54500000000053</v>
      </c>
      <c r="V13" s="7">
        <f t="shared" si="12"/>
        <v>401</v>
      </c>
      <c r="W13" s="7">
        <f t="shared" ref="W13:W41" si="13">U13-V13</f>
        <v>386.54500000000053</v>
      </c>
      <c r="X13" s="7">
        <f t="shared" ref="X13:Y40" si="14">X14+R13</f>
        <v>4772.9999999999982</v>
      </c>
      <c r="Y13" s="7">
        <f t="shared" si="14"/>
        <v>2300</v>
      </c>
      <c r="Z13" s="7">
        <f t="shared" ref="Z13:Z41" si="15">X13-Y13</f>
        <v>2472.9999999999982</v>
      </c>
      <c r="AA13" s="25">
        <f t="shared" ref="AA13:AA41" si="16">COS(ATAN(M13/S13))</f>
        <v>0.86193421515776947</v>
      </c>
      <c r="AB13" s="26"/>
    </row>
    <row r="14" spans="2:28" ht="18" x14ac:dyDescent="0.25">
      <c r="B14" s="3">
        <v>28</v>
      </c>
      <c r="C14" s="7">
        <v>145322</v>
      </c>
      <c r="D14" s="7">
        <v>1427969</v>
      </c>
      <c r="E14" s="7">
        <v>290549</v>
      </c>
      <c r="F14" s="8">
        <f t="shared" si="0"/>
        <v>1863840</v>
      </c>
      <c r="G14" s="23">
        <f t="shared" si="1"/>
        <v>1863785.375</v>
      </c>
      <c r="H14" s="7">
        <f t="shared" si="2"/>
        <v>1863788.625</v>
      </c>
      <c r="I14" s="7">
        <v>972076</v>
      </c>
      <c r="J14" s="7">
        <f>C14-C15</f>
        <v>27</v>
      </c>
      <c r="K14" s="6">
        <f t="shared" si="3"/>
        <v>26</v>
      </c>
      <c r="L14" s="6">
        <f t="shared" si="3"/>
        <v>11</v>
      </c>
      <c r="M14" s="6">
        <f t="shared" si="4"/>
        <v>39</v>
      </c>
      <c r="N14" s="5">
        <f t="shared" si="5"/>
        <v>27.156724137931036</v>
      </c>
      <c r="O14" s="24">
        <f t="shared" si="6"/>
        <v>11</v>
      </c>
      <c r="P14" s="5">
        <f t="shared" si="7"/>
        <v>16.156724137931036</v>
      </c>
      <c r="Q14" s="5">
        <f t="shared" si="8"/>
        <v>3.25</v>
      </c>
      <c r="R14" s="21">
        <f t="shared" si="9"/>
        <v>164.58620689655172</v>
      </c>
      <c r="S14" s="6">
        <f t="shared" si="10"/>
        <v>64</v>
      </c>
      <c r="T14" s="7">
        <f t="shared" si="11"/>
        <v>100.58620689655172</v>
      </c>
      <c r="U14" s="7">
        <f t="shared" si="12"/>
        <v>760.38827586206946</v>
      </c>
      <c r="V14" s="7">
        <f t="shared" si="12"/>
        <v>393</v>
      </c>
      <c r="W14" s="7">
        <f t="shared" si="13"/>
        <v>367.38827586206946</v>
      </c>
      <c r="X14" s="7">
        <f t="shared" si="14"/>
        <v>4608.4137931034466</v>
      </c>
      <c r="Y14" s="7">
        <f t="shared" si="14"/>
        <v>2249</v>
      </c>
      <c r="Z14" s="7">
        <f t="shared" si="15"/>
        <v>2359.4137931034466</v>
      </c>
      <c r="AA14" s="25">
        <f t="shared" si="16"/>
        <v>0.85394079618537366</v>
      </c>
      <c r="AB14" s="26"/>
    </row>
    <row r="15" spans="2:28" ht="18" x14ac:dyDescent="0.25">
      <c r="B15" s="3">
        <v>27</v>
      </c>
      <c r="C15" s="7">
        <v>145295</v>
      </c>
      <c r="D15" s="7">
        <v>1427943</v>
      </c>
      <c r="E15" s="7">
        <v>290538</v>
      </c>
      <c r="F15" s="8">
        <f t="shared" si="0"/>
        <v>1863776</v>
      </c>
      <c r="G15" s="23">
        <f>(C16+D16+E16)+((S16/24)*3)</f>
        <v>1863712.625</v>
      </c>
      <c r="H15" s="7">
        <f t="shared" si="2"/>
        <v>1863717.25</v>
      </c>
      <c r="I15" s="7">
        <v>972037</v>
      </c>
      <c r="J15" s="6">
        <f t="shared" si="3"/>
        <v>24</v>
      </c>
      <c r="K15" s="6">
        <f>D15-D16</f>
        <v>37</v>
      </c>
      <c r="L15" s="6">
        <f t="shared" si="3"/>
        <v>14</v>
      </c>
      <c r="M15" s="6">
        <f t="shared" si="4"/>
        <v>42</v>
      </c>
      <c r="N15" s="5">
        <f t="shared" si="5"/>
        <v>27.156724137931036</v>
      </c>
      <c r="O15" s="24">
        <f t="shared" si="6"/>
        <v>14</v>
      </c>
      <c r="P15" s="5">
        <f t="shared" si="7"/>
        <v>13.156724137931036</v>
      </c>
      <c r="Q15" s="5">
        <f t="shared" si="8"/>
        <v>4.625</v>
      </c>
      <c r="R15" s="21">
        <f t="shared" si="9"/>
        <v>164.58620689655172</v>
      </c>
      <c r="S15" s="6">
        <f t="shared" si="10"/>
        <v>75</v>
      </c>
      <c r="T15" s="7">
        <f t="shared" si="11"/>
        <v>89.586206896551715</v>
      </c>
      <c r="U15" s="7">
        <f t="shared" si="12"/>
        <v>733.2315517241384</v>
      </c>
      <c r="V15" s="7">
        <f t="shared" si="12"/>
        <v>382</v>
      </c>
      <c r="W15" s="7">
        <f t="shared" si="13"/>
        <v>351.2315517241384</v>
      </c>
      <c r="X15" s="7">
        <f t="shared" si="14"/>
        <v>4443.8275862068949</v>
      </c>
      <c r="Y15" s="7">
        <f t="shared" si="14"/>
        <v>2185</v>
      </c>
      <c r="Z15" s="7">
        <f t="shared" si="15"/>
        <v>2258.8275862068949</v>
      </c>
      <c r="AA15" s="25">
        <f t="shared" si="16"/>
        <v>0.87250601594971999</v>
      </c>
      <c r="AB15" s="26"/>
    </row>
    <row r="16" spans="2:28" ht="18" x14ac:dyDescent="0.25">
      <c r="B16" s="3">
        <v>26</v>
      </c>
      <c r="C16" s="7">
        <v>145271</v>
      </c>
      <c r="D16" s="7">
        <v>1427906</v>
      </c>
      <c r="E16" s="7">
        <v>290524</v>
      </c>
      <c r="F16" s="8">
        <f>C16+D16+E16</f>
        <v>1863701</v>
      </c>
      <c r="G16" s="23">
        <f>(C17+D17+E17)+((S17/24)*3)</f>
        <v>1863619</v>
      </c>
      <c r="H16" s="7">
        <f t="shared" si="2"/>
        <v>1863624.625</v>
      </c>
      <c r="I16" s="7">
        <v>971995</v>
      </c>
      <c r="J16" s="6">
        <f t="shared" si="3"/>
        <v>32</v>
      </c>
      <c r="K16" s="6">
        <f>D16-D17</f>
        <v>45</v>
      </c>
      <c r="L16" s="6">
        <f t="shared" si="3"/>
        <v>16</v>
      </c>
      <c r="M16" s="6">
        <f t="shared" si="4"/>
        <v>52</v>
      </c>
      <c r="N16" s="5">
        <f t="shared" si="5"/>
        <v>27.156724137931036</v>
      </c>
      <c r="O16" s="24">
        <f t="shared" si="6"/>
        <v>16</v>
      </c>
      <c r="P16" s="5">
        <f t="shared" si="7"/>
        <v>11.156724137931036</v>
      </c>
      <c r="Q16" s="5">
        <f t="shared" si="8"/>
        <v>5.625</v>
      </c>
      <c r="R16" s="21">
        <f t="shared" si="9"/>
        <v>164.58620689655172</v>
      </c>
      <c r="S16" s="6">
        <f t="shared" si="10"/>
        <v>93</v>
      </c>
      <c r="T16" s="7">
        <f t="shared" si="11"/>
        <v>71.586206896551715</v>
      </c>
      <c r="U16" s="7">
        <f t="shared" si="12"/>
        <v>706.07482758620733</v>
      </c>
      <c r="V16" s="7">
        <f t="shared" si="12"/>
        <v>368</v>
      </c>
      <c r="W16" s="7">
        <f t="shared" si="13"/>
        <v>338.07482758620733</v>
      </c>
      <c r="X16" s="7">
        <f t="shared" si="14"/>
        <v>4279.2413793103433</v>
      </c>
      <c r="Y16" s="7">
        <f t="shared" si="14"/>
        <v>2110</v>
      </c>
      <c r="Z16" s="7">
        <f t="shared" si="15"/>
        <v>2169.2413793103433</v>
      </c>
      <c r="AA16" s="25">
        <f t="shared" si="16"/>
        <v>0.87282590948246663</v>
      </c>
      <c r="AB16" s="26"/>
    </row>
    <row r="17" spans="2:28" ht="18" x14ac:dyDescent="0.25">
      <c r="B17" s="3">
        <v>25</v>
      </c>
      <c r="C17" s="7">
        <v>145239</v>
      </c>
      <c r="D17" s="7">
        <v>1427861</v>
      </c>
      <c r="E17" s="7">
        <v>290508</v>
      </c>
      <c r="F17" s="8">
        <f>C17+D17+E17</f>
        <v>1863608</v>
      </c>
      <c r="G17" s="23">
        <f>(C18+D18+E18)+((S18/24)*3)</f>
        <v>1863530.625</v>
      </c>
      <c r="H17" s="7">
        <f t="shared" si="2"/>
        <v>1863535.375</v>
      </c>
      <c r="I17" s="7">
        <v>971943</v>
      </c>
      <c r="J17" s="6">
        <f t="shared" si="3"/>
        <v>33</v>
      </c>
      <c r="K17" s="6">
        <f>D17-D18</f>
        <v>38</v>
      </c>
      <c r="L17" s="6">
        <f t="shared" si="3"/>
        <v>17</v>
      </c>
      <c r="M17" s="6">
        <f t="shared" si="4"/>
        <v>43</v>
      </c>
      <c r="N17" s="5">
        <f t="shared" si="5"/>
        <v>27.156724137931036</v>
      </c>
      <c r="O17" s="24">
        <f t="shared" si="6"/>
        <v>17</v>
      </c>
      <c r="P17" s="5">
        <f t="shared" si="7"/>
        <v>10.156724137931036</v>
      </c>
      <c r="Q17" s="5">
        <f t="shared" si="8"/>
        <v>4.75</v>
      </c>
      <c r="R17" s="21">
        <f t="shared" si="9"/>
        <v>164.58620689655172</v>
      </c>
      <c r="S17" s="6">
        <f t="shared" si="10"/>
        <v>88</v>
      </c>
      <c r="T17" s="7">
        <f t="shared" si="11"/>
        <v>76.586206896551715</v>
      </c>
      <c r="U17" s="7">
        <f t="shared" si="12"/>
        <v>678.91810344827627</v>
      </c>
      <c r="V17" s="7">
        <f t="shared" si="12"/>
        <v>352</v>
      </c>
      <c r="W17" s="7">
        <f t="shared" si="13"/>
        <v>326.91810344827627</v>
      </c>
      <c r="X17" s="7">
        <f t="shared" si="14"/>
        <v>4114.6551724137917</v>
      </c>
      <c r="Y17" s="7">
        <f t="shared" si="14"/>
        <v>2017</v>
      </c>
      <c r="Z17" s="7">
        <f t="shared" si="15"/>
        <v>2097.6551724137917</v>
      </c>
      <c r="AA17" s="25">
        <f t="shared" si="16"/>
        <v>0.8984738673527769</v>
      </c>
      <c r="AB17" s="26"/>
    </row>
    <row r="18" spans="2:28" ht="18" x14ac:dyDescent="0.25">
      <c r="B18" s="3">
        <v>24</v>
      </c>
      <c r="C18" s="7">
        <f>C19+31</f>
        <v>145206</v>
      </c>
      <c r="D18" s="7">
        <f>D19+37</f>
        <v>1427823</v>
      </c>
      <c r="E18" s="7">
        <f>E19+17</f>
        <v>290491</v>
      </c>
      <c r="F18" s="8">
        <f t="shared" si="0"/>
        <v>1863520</v>
      </c>
      <c r="G18" s="23">
        <f t="shared" si="1"/>
        <v>1863444.5</v>
      </c>
      <c r="H18" s="7">
        <f t="shared" si="2"/>
        <v>1863449.125</v>
      </c>
      <c r="I18" s="7">
        <f>I19+40</f>
        <v>971900</v>
      </c>
      <c r="J18" s="6">
        <f t="shared" si="3"/>
        <v>31</v>
      </c>
      <c r="K18" s="6">
        <f t="shared" si="3"/>
        <v>37</v>
      </c>
      <c r="L18" s="6">
        <f t="shared" si="3"/>
        <v>17</v>
      </c>
      <c r="M18" s="6">
        <f t="shared" si="4"/>
        <v>40</v>
      </c>
      <c r="N18" s="5">
        <f t="shared" si="5"/>
        <v>27.156724137931036</v>
      </c>
      <c r="O18" s="24">
        <f t="shared" si="6"/>
        <v>17</v>
      </c>
      <c r="P18" s="5">
        <f t="shared" si="7"/>
        <v>10.156724137931036</v>
      </c>
      <c r="Q18" s="5">
        <f t="shared" si="8"/>
        <v>4.625</v>
      </c>
      <c r="R18" s="21">
        <f t="shared" si="9"/>
        <v>164.58620689655172</v>
      </c>
      <c r="S18" s="6">
        <f t="shared" si="10"/>
        <v>85</v>
      </c>
      <c r="T18" s="7">
        <f t="shared" si="11"/>
        <v>79.586206896551715</v>
      </c>
      <c r="U18" s="7">
        <f t="shared" si="12"/>
        <v>651.76137931034521</v>
      </c>
      <c r="V18" s="7">
        <f t="shared" si="12"/>
        <v>335</v>
      </c>
      <c r="W18" s="7">
        <f t="shared" si="13"/>
        <v>316.76137931034521</v>
      </c>
      <c r="X18" s="7">
        <f t="shared" si="14"/>
        <v>3950.06896551724</v>
      </c>
      <c r="Y18" s="7">
        <f t="shared" si="14"/>
        <v>1929</v>
      </c>
      <c r="Z18" s="7">
        <f t="shared" si="15"/>
        <v>2021.06896551724</v>
      </c>
      <c r="AA18" s="25">
        <f t="shared" si="16"/>
        <v>0.90481870220099403</v>
      </c>
      <c r="AB18" s="26"/>
    </row>
    <row r="19" spans="2:28" ht="18" x14ac:dyDescent="0.25">
      <c r="B19" s="3">
        <v>23</v>
      </c>
      <c r="C19" s="7">
        <f>C20+27</f>
        <v>145175</v>
      </c>
      <c r="D19" s="7">
        <f>D20+35</f>
        <v>1427786</v>
      </c>
      <c r="E19" s="7">
        <f>E20+14</f>
        <v>290474</v>
      </c>
      <c r="F19" s="8">
        <f t="shared" si="0"/>
        <v>1863435</v>
      </c>
      <c r="G19" s="23">
        <f t="shared" si="1"/>
        <v>1863369.625</v>
      </c>
      <c r="H19" s="7">
        <f t="shared" si="2"/>
        <v>1863374</v>
      </c>
      <c r="I19" s="7">
        <f>I20+38</f>
        <v>971860</v>
      </c>
      <c r="J19" s="6">
        <f t="shared" si="3"/>
        <v>27</v>
      </c>
      <c r="K19" s="6">
        <f t="shared" si="3"/>
        <v>35</v>
      </c>
      <c r="L19" s="6">
        <f t="shared" si="3"/>
        <v>14</v>
      </c>
      <c r="M19" s="6">
        <f t="shared" si="4"/>
        <v>38</v>
      </c>
      <c r="N19" s="5">
        <f t="shared" si="5"/>
        <v>27.156724137931036</v>
      </c>
      <c r="O19" s="3">
        <f t="shared" si="6"/>
        <v>14</v>
      </c>
      <c r="P19" s="5">
        <f t="shared" si="7"/>
        <v>13.156724137931036</v>
      </c>
      <c r="Q19" s="5">
        <f t="shared" si="8"/>
        <v>4.375</v>
      </c>
      <c r="R19" s="21">
        <f t="shared" si="9"/>
        <v>164.58620689655172</v>
      </c>
      <c r="S19" s="6">
        <f t="shared" si="10"/>
        <v>76</v>
      </c>
      <c r="T19" s="7">
        <f t="shared" si="11"/>
        <v>88.586206896551715</v>
      </c>
      <c r="U19" s="7">
        <f t="shared" si="12"/>
        <v>624.60465517241414</v>
      </c>
      <c r="V19" s="7">
        <f t="shared" si="12"/>
        <v>318</v>
      </c>
      <c r="W19" s="7">
        <f t="shared" si="13"/>
        <v>306.60465517241414</v>
      </c>
      <c r="X19" s="7">
        <f t="shared" si="14"/>
        <v>3785.4827586206884</v>
      </c>
      <c r="Y19" s="7">
        <f t="shared" si="14"/>
        <v>1844</v>
      </c>
      <c r="Z19" s="7">
        <f t="shared" si="15"/>
        <v>1941.4827586206884</v>
      </c>
      <c r="AA19" s="25">
        <f t="shared" si="16"/>
        <v>0.89442719099991586</v>
      </c>
      <c r="AB19" s="1"/>
    </row>
    <row r="20" spans="2:28" ht="18" x14ac:dyDescent="0.25">
      <c r="B20" s="3">
        <v>22</v>
      </c>
      <c r="C20" s="7">
        <v>145148</v>
      </c>
      <c r="D20" s="7">
        <v>1427751</v>
      </c>
      <c r="E20" s="7">
        <v>290460</v>
      </c>
      <c r="F20" s="8">
        <f t="shared" si="0"/>
        <v>1863359</v>
      </c>
      <c r="G20" s="23">
        <f t="shared" si="1"/>
        <v>1863284.375</v>
      </c>
      <c r="H20" s="7">
        <f t="shared" si="2"/>
        <v>1863289.375</v>
      </c>
      <c r="I20" s="7">
        <v>971822</v>
      </c>
      <c r="J20" s="6">
        <f t="shared" si="3"/>
        <v>30</v>
      </c>
      <c r="K20" s="6">
        <f t="shared" si="3"/>
        <v>40</v>
      </c>
      <c r="L20" s="6">
        <f t="shared" si="3"/>
        <v>15</v>
      </c>
      <c r="M20" s="6">
        <f t="shared" si="4"/>
        <v>44</v>
      </c>
      <c r="N20" s="5">
        <f t="shared" si="5"/>
        <v>27.156724137931036</v>
      </c>
      <c r="O20" s="3">
        <f t="shared" si="6"/>
        <v>15</v>
      </c>
      <c r="P20" s="5">
        <f t="shared" si="7"/>
        <v>12.156724137931036</v>
      </c>
      <c r="Q20" s="5">
        <f t="shared" si="8"/>
        <v>5</v>
      </c>
      <c r="R20" s="21">
        <f t="shared" si="9"/>
        <v>164.58620689655172</v>
      </c>
      <c r="S20" s="6">
        <f t="shared" si="10"/>
        <v>85</v>
      </c>
      <c r="T20" s="7">
        <f t="shared" si="11"/>
        <v>79.586206896551715</v>
      </c>
      <c r="U20" s="7">
        <f t="shared" si="12"/>
        <v>597.44793103448308</v>
      </c>
      <c r="V20" s="7">
        <f t="shared" si="12"/>
        <v>304</v>
      </c>
      <c r="W20" s="7">
        <f t="shared" si="13"/>
        <v>293.44793103448308</v>
      </c>
      <c r="X20" s="7">
        <f t="shared" si="14"/>
        <v>3620.8965517241368</v>
      </c>
      <c r="Y20" s="7">
        <f t="shared" si="14"/>
        <v>1768</v>
      </c>
      <c r="Z20" s="7">
        <f t="shared" si="15"/>
        <v>1852.8965517241368</v>
      </c>
      <c r="AA20" s="25">
        <f t="shared" si="16"/>
        <v>0.88807058235269654</v>
      </c>
      <c r="AB20" s="1"/>
    </row>
    <row r="21" spans="2:28" ht="18" x14ac:dyDescent="0.25">
      <c r="B21" s="3">
        <v>21</v>
      </c>
      <c r="C21" s="7">
        <v>145118</v>
      </c>
      <c r="D21" s="7">
        <v>1427711</v>
      </c>
      <c r="E21" s="7">
        <v>290445</v>
      </c>
      <c r="F21" s="8">
        <f t="shared" si="0"/>
        <v>1863274</v>
      </c>
      <c r="G21" s="23">
        <f t="shared" si="1"/>
        <v>1863201</v>
      </c>
      <c r="H21" s="7">
        <f t="shared" si="2"/>
        <v>1863206.125</v>
      </c>
      <c r="I21" s="7">
        <v>971778</v>
      </c>
      <c r="J21" s="6">
        <f t="shared" si="3"/>
        <v>28</v>
      </c>
      <c r="K21" s="6">
        <f t="shared" si="3"/>
        <v>41</v>
      </c>
      <c r="L21" s="6">
        <f t="shared" si="3"/>
        <v>14</v>
      </c>
      <c r="M21" s="6">
        <f t="shared" si="4"/>
        <v>44</v>
      </c>
      <c r="N21" s="5">
        <f t="shared" si="5"/>
        <v>27.156724137931036</v>
      </c>
      <c r="O21" s="3">
        <f t="shared" si="6"/>
        <v>14</v>
      </c>
      <c r="P21" s="5">
        <f t="shared" si="7"/>
        <v>13.156724137931036</v>
      </c>
      <c r="Q21" s="5">
        <f t="shared" si="8"/>
        <v>5.125</v>
      </c>
      <c r="R21" s="21">
        <f t="shared" si="9"/>
        <v>164.58620689655172</v>
      </c>
      <c r="S21" s="6">
        <f t="shared" si="10"/>
        <v>83</v>
      </c>
      <c r="T21" s="7">
        <f t="shared" si="11"/>
        <v>81.586206896551715</v>
      </c>
      <c r="U21" s="7">
        <f t="shared" si="12"/>
        <v>570.29120689655201</v>
      </c>
      <c r="V21" s="7">
        <f t="shared" si="12"/>
        <v>289</v>
      </c>
      <c r="W21" s="7">
        <f t="shared" si="13"/>
        <v>281.29120689655201</v>
      </c>
      <c r="X21" s="7">
        <f t="shared" si="14"/>
        <v>3456.3103448275851</v>
      </c>
      <c r="Y21" s="7">
        <f t="shared" si="14"/>
        <v>1683</v>
      </c>
      <c r="Z21" s="7">
        <f t="shared" si="15"/>
        <v>1773.3103448275851</v>
      </c>
      <c r="AA21" s="25">
        <f t="shared" si="16"/>
        <v>0.88352885038450013</v>
      </c>
      <c r="AB21" s="1"/>
    </row>
    <row r="22" spans="2:28" ht="18" x14ac:dyDescent="0.25">
      <c r="B22" s="3">
        <v>20</v>
      </c>
      <c r="C22" s="7">
        <v>145090</v>
      </c>
      <c r="D22" s="7">
        <v>1427670</v>
      </c>
      <c r="E22" s="7">
        <v>290431</v>
      </c>
      <c r="F22" s="10">
        <f>C22+D22+E22</f>
        <v>1863191</v>
      </c>
      <c r="G22" s="23">
        <f t="shared" si="1"/>
        <v>1863121</v>
      </c>
      <c r="H22" s="7">
        <f t="shared" si="2"/>
        <v>1863125.625</v>
      </c>
      <c r="I22" s="7">
        <v>971734</v>
      </c>
      <c r="J22" s="6">
        <f t="shared" si="3"/>
        <v>28</v>
      </c>
      <c r="K22" s="6">
        <f t="shared" si="3"/>
        <v>37</v>
      </c>
      <c r="L22" s="6">
        <f t="shared" si="3"/>
        <v>15</v>
      </c>
      <c r="M22" s="6">
        <f t="shared" si="4"/>
        <v>46</v>
      </c>
      <c r="N22" s="5">
        <f t="shared" si="5"/>
        <v>27.156724137931036</v>
      </c>
      <c r="O22" s="3">
        <f t="shared" si="6"/>
        <v>15</v>
      </c>
      <c r="P22" s="5">
        <f t="shared" si="7"/>
        <v>12.156724137931036</v>
      </c>
      <c r="Q22" s="5">
        <f t="shared" si="8"/>
        <v>4.625</v>
      </c>
      <c r="R22" s="21">
        <f t="shared" si="9"/>
        <v>164.58620689655172</v>
      </c>
      <c r="S22" s="6">
        <f t="shared" si="10"/>
        <v>80</v>
      </c>
      <c r="T22" s="7">
        <f t="shared" si="11"/>
        <v>84.586206896551715</v>
      </c>
      <c r="U22" s="7">
        <f t="shared" si="12"/>
        <v>543.13448275862095</v>
      </c>
      <c r="V22" s="7">
        <f t="shared" si="12"/>
        <v>275</v>
      </c>
      <c r="W22" s="7">
        <f t="shared" si="13"/>
        <v>268.13448275862095</v>
      </c>
      <c r="X22" s="7">
        <f t="shared" si="14"/>
        <v>3291.7241379310335</v>
      </c>
      <c r="Y22" s="7">
        <f t="shared" si="14"/>
        <v>1600</v>
      </c>
      <c r="Z22" s="7">
        <f t="shared" si="15"/>
        <v>1691.7241379310335</v>
      </c>
      <c r="AA22" s="25">
        <f t="shared" si="16"/>
        <v>0.86690630305753524</v>
      </c>
      <c r="AB22" s="1"/>
    </row>
    <row r="23" spans="2:28" ht="18" x14ac:dyDescent="0.25">
      <c r="B23" s="3">
        <v>19</v>
      </c>
      <c r="C23" s="7">
        <v>145062</v>
      </c>
      <c r="D23" s="7">
        <v>1427633</v>
      </c>
      <c r="E23" s="7">
        <v>290416</v>
      </c>
      <c r="F23" s="8">
        <f t="shared" si="0"/>
        <v>1863111</v>
      </c>
      <c r="G23" s="23">
        <f t="shared" si="1"/>
        <v>1863040.875</v>
      </c>
      <c r="H23" s="7">
        <f t="shared" si="2"/>
        <v>1863045.75</v>
      </c>
      <c r="I23" s="7">
        <v>971688</v>
      </c>
      <c r="J23" s="6">
        <f t="shared" si="3"/>
        <v>28</v>
      </c>
      <c r="K23" s="6">
        <f t="shared" si="3"/>
        <v>39</v>
      </c>
      <c r="L23" s="6">
        <f t="shared" si="3"/>
        <v>13</v>
      </c>
      <c r="M23" s="6">
        <f t="shared" si="4"/>
        <v>43</v>
      </c>
      <c r="N23" s="5">
        <f t="shared" si="5"/>
        <v>27.156724137931036</v>
      </c>
      <c r="O23" s="3">
        <f t="shared" si="6"/>
        <v>13</v>
      </c>
      <c r="P23" s="5">
        <f t="shared" si="7"/>
        <v>14.156724137931036</v>
      </c>
      <c r="Q23" s="5">
        <f t="shared" si="8"/>
        <v>4.875</v>
      </c>
      <c r="R23" s="21">
        <f t="shared" si="9"/>
        <v>164.58620689655172</v>
      </c>
      <c r="S23" s="6">
        <f t="shared" si="10"/>
        <v>80</v>
      </c>
      <c r="T23" s="7">
        <f t="shared" si="11"/>
        <v>84.586206896551715</v>
      </c>
      <c r="U23" s="7">
        <f t="shared" si="12"/>
        <v>515.97775862068988</v>
      </c>
      <c r="V23" s="7">
        <f t="shared" si="12"/>
        <v>260</v>
      </c>
      <c r="W23" s="7">
        <f t="shared" si="13"/>
        <v>255.97775862068988</v>
      </c>
      <c r="X23" s="7">
        <f t="shared" si="14"/>
        <v>3127.1379310344819</v>
      </c>
      <c r="Y23" s="7">
        <f t="shared" si="14"/>
        <v>1520</v>
      </c>
      <c r="Z23" s="7">
        <f t="shared" si="15"/>
        <v>1607.1379310344819</v>
      </c>
      <c r="AA23" s="25">
        <f t="shared" si="16"/>
        <v>0.88082439701565107</v>
      </c>
      <c r="AB23" s="1"/>
    </row>
    <row r="24" spans="2:28" ht="18" x14ac:dyDescent="0.25">
      <c r="B24" s="3">
        <v>18</v>
      </c>
      <c r="C24" s="7">
        <v>145034</v>
      </c>
      <c r="D24" s="7">
        <v>1427594</v>
      </c>
      <c r="E24" s="7">
        <v>290403</v>
      </c>
      <c r="F24" s="8">
        <f t="shared" si="0"/>
        <v>1863031</v>
      </c>
      <c r="G24" s="23">
        <f t="shared" si="1"/>
        <v>1862960.25</v>
      </c>
      <c r="H24" s="7">
        <f t="shared" si="2"/>
        <v>1862965</v>
      </c>
      <c r="I24" s="7">
        <v>971645</v>
      </c>
      <c r="J24" s="6">
        <f t="shared" si="3"/>
        <v>30</v>
      </c>
      <c r="K24" s="6">
        <f t="shared" si="3"/>
        <v>38</v>
      </c>
      <c r="L24" s="6">
        <f t="shared" si="3"/>
        <v>11</v>
      </c>
      <c r="M24" s="6">
        <f t="shared" si="4"/>
        <v>45</v>
      </c>
      <c r="N24" s="5">
        <f t="shared" si="5"/>
        <v>27.156724137931036</v>
      </c>
      <c r="O24" s="3">
        <f t="shared" si="6"/>
        <v>11</v>
      </c>
      <c r="P24" s="5">
        <f t="shared" si="7"/>
        <v>16.156724137931036</v>
      </c>
      <c r="Q24" s="5">
        <f t="shared" si="8"/>
        <v>4.75</v>
      </c>
      <c r="R24" s="21">
        <f t="shared" si="9"/>
        <v>164.58620689655172</v>
      </c>
      <c r="S24" s="6">
        <f t="shared" si="10"/>
        <v>79</v>
      </c>
      <c r="T24" s="7">
        <f t="shared" si="11"/>
        <v>85.586206896551715</v>
      </c>
      <c r="U24" s="7">
        <f t="shared" si="12"/>
        <v>488.82103448275882</v>
      </c>
      <c r="V24" s="7">
        <f t="shared" si="12"/>
        <v>247</v>
      </c>
      <c r="W24" s="7">
        <f t="shared" si="13"/>
        <v>241.82103448275882</v>
      </c>
      <c r="X24" s="7">
        <f t="shared" si="14"/>
        <v>2962.5517241379303</v>
      </c>
      <c r="Y24" s="7">
        <f t="shared" si="14"/>
        <v>1440</v>
      </c>
      <c r="Z24" s="7">
        <f t="shared" si="15"/>
        <v>1522.5517241379303</v>
      </c>
      <c r="AA24" s="25">
        <f t="shared" si="16"/>
        <v>0.8689191942722243</v>
      </c>
      <c r="AB24" s="1"/>
    </row>
    <row r="25" spans="2:28" ht="18" x14ac:dyDescent="0.25">
      <c r="B25" s="3">
        <v>17</v>
      </c>
      <c r="C25" s="7">
        <f>C26+26</f>
        <v>145004</v>
      </c>
      <c r="D25" s="7">
        <f>D26+27</f>
        <v>1427556</v>
      </c>
      <c r="E25" s="9">
        <f>E26+13</f>
        <v>290392</v>
      </c>
      <c r="F25" s="8">
        <f t="shared" si="0"/>
        <v>1862952</v>
      </c>
      <c r="G25" s="23">
        <f t="shared" si="1"/>
        <v>1862894</v>
      </c>
      <c r="H25" s="7">
        <f t="shared" si="2"/>
        <v>1862897.375</v>
      </c>
      <c r="I25" s="7">
        <f>I26+42</f>
        <v>971600</v>
      </c>
      <c r="J25" s="6">
        <f t="shared" si="3"/>
        <v>26</v>
      </c>
      <c r="K25" s="6">
        <f t="shared" si="3"/>
        <v>27</v>
      </c>
      <c r="L25" s="6">
        <f t="shared" si="3"/>
        <v>13</v>
      </c>
      <c r="M25" s="7">
        <f t="shared" si="4"/>
        <v>42</v>
      </c>
      <c r="N25" s="5">
        <f t="shared" si="5"/>
        <v>27.156724137931036</v>
      </c>
      <c r="O25" s="3">
        <f t="shared" si="6"/>
        <v>13</v>
      </c>
      <c r="P25" s="5">
        <f t="shared" si="7"/>
        <v>14.156724137931036</v>
      </c>
      <c r="Q25" s="5">
        <f t="shared" si="8"/>
        <v>3.375</v>
      </c>
      <c r="R25" s="21">
        <f t="shared" si="9"/>
        <v>164.58620689655172</v>
      </c>
      <c r="S25" s="6">
        <f t="shared" si="10"/>
        <v>66</v>
      </c>
      <c r="T25" s="7">
        <f t="shared" si="11"/>
        <v>98.586206896551715</v>
      </c>
      <c r="U25" s="7">
        <f t="shared" si="12"/>
        <v>461.66431034482775</v>
      </c>
      <c r="V25" s="6">
        <f t="shared" si="12"/>
        <v>236</v>
      </c>
      <c r="W25" s="7">
        <f t="shared" si="13"/>
        <v>225.66431034482775</v>
      </c>
      <c r="X25" s="7">
        <f t="shared" si="14"/>
        <v>2797.9655172413786</v>
      </c>
      <c r="Y25" s="7">
        <f t="shared" si="14"/>
        <v>1361</v>
      </c>
      <c r="Z25" s="7">
        <f t="shared" si="15"/>
        <v>1436.9655172413786</v>
      </c>
      <c r="AA25" s="25">
        <f t="shared" si="16"/>
        <v>0.84366148773210747</v>
      </c>
      <c r="AB25" s="1"/>
    </row>
    <row r="26" spans="2:28" ht="18" x14ac:dyDescent="0.25">
      <c r="B26" s="3">
        <v>16</v>
      </c>
      <c r="C26" s="7">
        <f>C27+24</f>
        <v>144978</v>
      </c>
      <c r="D26" s="7">
        <f>D27+31</f>
        <v>1427529</v>
      </c>
      <c r="E26" s="9">
        <f>E27+9</f>
        <v>290379</v>
      </c>
      <c r="F26" s="8">
        <f t="shared" si="0"/>
        <v>1862886</v>
      </c>
      <c r="G26" s="23">
        <f t="shared" si="1"/>
        <v>1862830.875</v>
      </c>
      <c r="H26" s="7">
        <f t="shared" si="2"/>
        <v>1862834.75</v>
      </c>
      <c r="I26" s="7">
        <f>I27+40</f>
        <v>971558</v>
      </c>
      <c r="J26" s="6">
        <f t="shared" si="3"/>
        <v>24</v>
      </c>
      <c r="K26" s="6">
        <f t="shared" si="3"/>
        <v>31</v>
      </c>
      <c r="L26" s="6">
        <f t="shared" si="3"/>
        <v>9</v>
      </c>
      <c r="M26" s="7">
        <f t="shared" si="4"/>
        <v>40</v>
      </c>
      <c r="N26" s="5">
        <f t="shared" si="5"/>
        <v>27.156724137931036</v>
      </c>
      <c r="O26" s="3">
        <f t="shared" si="6"/>
        <v>9</v>
      </c>
      <c r="P26" s="5">
        <f t="shared" si="7"/>
        <v>18.156724137931036</v>
      </c>
      <c r="Q26" s="5">
        <f t="shared" si="8"/>
        <v>3.875</v>
      </c>
      <c r="R26" s="21">
        <f t="shared" si="9"/>
        <v>164.58620689655172</v>
      </c>
      <c r="S26" s="6">
        <f t="shared" si="10"/>
        <v>64</v>
      </c>
      <c r="T26" s="7">
        <f t="shared" si="11"/>
        <v>100.58620689655172</v>
      </c>
      <c r="U26" s="7">
        <f t="shared" si="12"/>
        <v>434.50758620689669</v>
      </c>
      <c r="V26" s="6">
        <f t="shared" si="12"/>
        <v>223</v>
      </c>
      <c r="W26" s="7">
        <f t="shared" si="13"/>
        <v>211.50758620689669</v>
      </c>
      <c r="X26" s="7">
        <f t="shared" si="14"/>
        <v>2633.379310344827</v>
      </c>
      <c r="Y26" s="7">
        <f t="shared" si="14"/>
        <v>1295</v>
      </c>
      <c r="Z26" s="7">
        <f t="shared" si="15"/>
        <v>1338.379310344827</v>
      </c>
      <c r="AA26" s="25">
        <f t="shared" si="16"/>
        <v>0.84799830400508802</v>
      </c>
      <c r="AB26" s="1"/>
    </row>
    <row r="27" spans="2:28" ht="18" x14ac:dyDescent="0.25">
      <c r="B27" s="3">
        <v>15</v>
      </c>
      <c r="C27" s="7">
        <v>144954</v>
      </c>
      <c r="D27" s="7">
        <v>1427498</v>
      </c>
      <c r="E27" s="9">
        <v>290370</v>
      </c>
      <c r="F27" s="8">
        <f t="shared" si="0"/>
        <v>1862822</v>
      </c>
      <c r="G27" s="23">
        <f t="shared" si="1"/>
        <v>1862759</v>
      </c>
      <c r="H27" s="7">
        <f t="shared" si="2"/>
        <v>1862761.875</v>
      </c>
      <c r="I27" s="7">
        <v>971518</v>
      </c>
      <c r="J27" s="6">
        <f t="shared" si="3"/>
        <v>33</v>
      </c>
      <c r="K27" s="6">
        <f t="shared" si="3"/>
        <v>23</v>
      </c>
      <c r="L27" s="6">
        <f t="shared" si="3"/>
        <v>15</v>
      </c>
      <c r="M27" s="7">
        <f t="shared" si="4"/>
        <v>41</v>
      </c>
      <c r="N27" s="5">
        <f t="shared" si="5"/>
        <v>27.156724137931036</v>
      </c>
      <c r="O27" s="3">
        <f t="shared" si="6"/>
        <v>15</v>
      </c>
      <c r="P27" s="5">
        <f t="shared" si="7"/>
        <v>12.156724137931036</v>
      </c>
      <c r="Q27" s="5">
        <f t="shared" si="8"/>
        <v>2.875</v>
      </c>
      <c r="R27" s="21">
        <f t="shared" si="9"/>
        <v>164.58620689655172</v>
      </c>
      <c r="S27" s="6">
        <f t="shared" si="10"/>
        <v>71</v>
      </c>
      <c r="T27" s="7">
        <f t="shared" si="11"/>
        <v>93.586206896551715</v>
      </c>
      <c r="U27" s="7">
        <f t="shared" si="12"/>
        <v>407.35086206896563</v>
      </c>
      <c r="V27" s="6">
        <f t="shared" si="12"/>
        <v>214</v>
      </c>
      <c r="W27" s="7">
        <f t="shared" si="13"/>
        <v>193.35086206896563</v>
      </c>
      <c r="X27" s="7">
        <f t="shared" si="14"/>
        <v>2468.7931034482754</v>
      </c>
      <c r="Y27" s="7">
        <f t="shared" si="14"/>
        <v>1231</v>
      </c>
      <c r="Z27" s="7">
        <f t="shared" si="15"/>
        <v>1237.7931034482754</v>
      </c>
      <c r="AA27" s="25">
        <f t="shared" si="16"/>
        <v>0.86598245789148698</v>
      </c>
      <c r="AB27" s="1"/>
    </row>
    <row r="28" spans="2:28" ht="18" x14ac:dyDescent="0.25">
      <c r="B28" s="3">
        <v>14</v>
      </c>
      <c r="C28" s="7">
        <v>144921</v>
      </c>
      <c r="D28" s="7">
        <v>1427475</v>
      </c>
      <c r="E28" s="9">
        <v>290355</v>
      </c>
      <c r="F28" s="8">
        <f>C28+D28+E28</f>
        <v>1862751</v>
      </c>
      <c r="G28" s="23">
        <f t="shared" si="1"/>
        <v>1862696.375</v>
      </c>
      <c r="H28" s="7">
        <f t="shared" si="2"/>
        <v>1862699.625</v>
      </c>
      <c r="I28" s="7">
        <v>971477</v>
      </c>
      <c r="J28" s="6">
        <f t="shared" si="3"/>
        <v>29</v>
      </c>
      <c r="K28" s="6">
        <f t="shared" ref="K28:L30" si="17">D28-D29</f>
        <v>26</v>
      </c>
      <c r="L28" s="6">
        <f t="shared" si="17"/>
        <v>9</v>
      </c>
      <c r="M28" s="7">
        <f t="shared" si="4"/>
        <v>39</v>
      </c>
      <c r="N28" s="5">
        <f t="shared" si="5"/>
        <v>27.156724137931036</v>
      </c>
      <c r="O28" s="3">
        <f t="shared" si="6"/>
        <v>9</v>
      </c>
      <c r="P28" s="5">
        <f t="shared" si="7"/>
        <v>18.156724137931036</v>
      </c>
      <c r="Q28" s="5">
        <f t="shared" si="8"/>
        <v>3.25</v>
      </c>
      <c r="R28" s="21">
        <f t="shared" si="9"/>
        <v>164.58620689655172</v>
      </c>
      <c r="S28" s="6">
        <f t="shared" si="10"/>
        <v>64</v>
      </c>
      <c r="T28" s="7">
        <f t="shared" si="11"/>
        <v>100.58620689655172</v>
      </c>
      <c r="U28" s="7">
        <f t="shared" si="12"/>
        <v>380.19413793103456</v>
      </c>
      <c r="V28" s="6">
        <f t="shared" si="12"/>
        <v>199</v>
      </c>
      <c r="W28" s="7">
        <f t="shared" si="13"/>
        <v>181.19413793103456</v>
      </c>
      <c r="X28" s="7">
        <f t="shared" si="14"/>
        <v>2304.2068965517237</v>
      </c>
      <c r="Y28" s="7">
        <f t="shared" si="14"/>
        <v>1160</v>
      </c>
      <c r="Z28" s="7">
        <f t="shared" si="15"/>
        <v>1144.2068965517237</v>
      </c>
      <c r="AA28" s="25">
        <f t="shared" si="16"/>
        <v>0.85394079618537366</v>
      </c>
      <c r="AB28" s="1"/>
    </row>
    <row r="29" spans="2:28" ht="18" x14ac:dyDescent="0.25">
      <c r="B29" s="3">
        <v>13</v>
      </c>
      <c r="C29" s="7">
        <v>144892</v>
      </c>
      <c r="D29" s="7">
        <v>1427449</v>
      </c>
      <c r="E29" s="9">
        <v>290346</v>
      </c>
      <c r="F29" s="8">
        <f>C29+D29+E29</f>
        <v>1862687</v>
      </c>
      <c r="G29" s="23">
        <f t="shared" si="1"/>
        <v>1862621.5</v>
      </c>
      <c r="H29" s="7">
        <f t="shared" si="2"/>
        <v>1862624.875</v>
      </c>
      <c r="I29" s="7">
        <v>971438</v>
      </c>
      <c r="J29" s="6">
        <f t="shared" si="3"/>
        <v>30</v>
      </c>
      <c r="K29" s="6">
        <f t="shared" si="17"/>
        <v>27</v>
      </c>
      <c r="L29" s="6">
        <f t="shared" si="17"/>
        <v>18</v>
      </c>
      <c r="M29" s="6">
        <f t="shared" si="4"/>
        <v>43</v>
      </c>
      <c r="N29" s="5">
        <f t="shared" si="5"/>
        <v>27.156724137931036</v>
      </c>
      <c r="O29" s="3">
        <f t="shared" si="6"/>
        <v>18</v>
      </c>
      <c r="P29" s="5">
        <f t="shared" si="7"/>
        <v>9.156724137931036</v>
      </c>
      <c r="Q29" s="5">
        <f t="shared" si="8"/>
        <v>3.375</v>
      </c>
      <c r="R29" s="21">
        <f t="shared" si="9"/>
        <v>164.58620689655172</v>
      </c>
      <c r="S29" s="6">
        <f t="shared" si="10"/>
        <v>75</v>
      </c>
      <c r="T29" s="7">
        <f t="shared" si="11"/>
        <v>89.586206896551715</v>
      </c>
      <c r="U29" s="7">
        <f t="shared" si="12"/>
        <v>353.0374137931035</v>
      </c>
      <c r="V29" s="6">
        <f t="shared" si="12"/>
        <v>190</v>
      </c>
      <c r="W29" s="7">
        <f t="shared" si="13"/>
        <v>163.0374137931035</v>
      </c>
      <c r="X29" s="7">
        <f t="shared" si="14"/>
        <v>2139.6206896551721</v>
      </c>
      <c r="Y29" s="7">
        <f t="shared" si="14"/>
        <v>1096</v>
      </c>
      <c r="Z29" s="7">
        <f t="shared" si="15"/>
        <v>1043.6206896551721</v>
      </c>
      <c r="AA29" s="25">
        <f t="shared" si="16"/>
        <v>0.86753042868146857</v>
      </c>
      <c r="AB29" s="1"/>
    </row>
    <row r="30" spans="2:28" ht="18" x14ac:dyDescent="0.25">
      <c r="B30" s="3">
        <v>12</v>
      </c>
      <c r="C30" s="7">
        <v>144862</v>
      </c>
      <c r="D30" s="7">
        <v>1427422</v>
      </c>
      <c r="E30" s="9">
        <v>290328</v>
      </c>
      <c r="F30" s="8">
        <f>C30+D30+E30</f>
        <v>1862612</v>
      </c>
      <c r="G30" s="23">
        <f t="shared" si="1"/>
        <v>1862545.125</v>
      </c>
      <c r="H30" s="7">
        <f t="shared" si="2"/>
        <v>1862548.75</v>
      </c>
      <c r="I30" s="7">
        <v>971395</v>
      </c>
      <c r="J30" s="6">
        <f t="shared" si="3"/>
        <v>33</v>
      </c>
      <c r="K30" s="6">
        <f t="shared" si="17"/>
        <v>29</v>
      </c>
      <c r="L30" s="6">
        <f t="shared" si="17"/>
        <v>14</v>
      </c>
      <c r="M30" s="6">
        <f t="shared" si="4"/>
        <v>45</v>
      </c>
      <c r="N30" s="5">
        <f t="shared" si="5"/>
        <v>27.156724137931036</v>
      </c>
      <c r="O30" s="3">
        <f t="shared" si="6"/>
        <v>14</v>
      </c>
      <c r="P30" s="5">
        <f t="shared" si="7"/>
        <v>13.156724137931036</v>
      </c>
      <c r="Q30" s="5">
        <f t="shared" si="8"/>
        <v>3.625</v>
      </c>
      <c r="R30" s="21">
        <f t="shared" si="9"/>
        <v>164.58620689655172</v>
      </c>
      <c r="S30" s="6">
        <f t="shared" si="10"/>
        <v>76</v>
      </c>
      <c r="T30" s="7">
        <f t="shared" si="11"/>
        <v>88.586206896551715</v>
      </c>
      <c r="U30" s="7">
        <f t="shared" si="12"/>
        <v>325.88068965517243</v>
      </c>
      <c r="V30" s="6">
        <f t="shared" si="12"/>
        <v>172</v>
      </c>
      <c r="W30" s="7">
        <f t="shared" si="13"/>
        <v>153.88068965517243</v>
      </c>
      <c r="X30" s="7">
        <f t="shared" si="14"/>
        <v>1975.0344827586202</v>
      </c>
      <c r="Y30" s="7">
        <f t="shared" si="14"/>
        <v>1021</v>
      </c>
      <c r="Z30" s="7">
        <f t="shared" si="15"/>
        <v>954.03448275862024</v>
      </c>
      <c r="AA30" s="25">
        <f t="shared" si="16"/>
        <v>0.86047538903890131</v>
      </c>
      <c r="AB30" s="1"/>
    </row>
    <row r="31" spans="2:28" ht="18" x14ac:dyDescent="0.25">
      <c r="B31" s="3">
        <v>11</v>
      </c>
      <c r="C31" s="7">
        <v>144829</v>
      </c>
      <c r="D31" s="7">
        <v>1427393</v>
      </c>
      <c r="E31" s="9">
        <v>290314</v>
      </c>
      <c r="F31" s="8">
        <f t="shared" si="0"/>
        <v>1862536</v>
      </c>
      <c r="G31" s="23">
        <f t="shared" si="1"/>
        <v>1862470.375</v>
      </c>
      <c r="H31" s="7">
        <f t="shared" si="2"/>
        <v>1862474.375</v>
      </c>
      <c r="I31" s="7">
        <v>971350</v>
      </c>
      <c r="J31" s="6">
        <f t="shared" si="3"/>
        <v>29</v>
      </c>
      <c r="K31" s="6">
        <f t="shared" si="3"/>
        <v>32</v>
      </c>
      <c r="L31" s="6">
        <f t="shared" si="3"/>
        <v>12</v>
      </c>
      <c r="M31" s="6">
        <f t="shared" si="4"/>
        <v>39</v>
      </c>
      <c r="N31" s="5">
        <f t="shared" si="5"/>
        <v>27.156724137931036</v>
      </c>
      <c r="O31" s="3">
        <f t="shared" si="6"/>
        <v>12</v>
      </c>
      <c r="P31" s="5">
        <f t="shared" si="7"/>
        <v>15.156724137931036</v>
      </c>
      <c r="Q31" s="5">
        <f t="shared" si="8"/>
        <v>4</v>
      </c>
      <c r="R31" s="21">
        <f t="shared" si="9"/>
        <v>164.58620689655172</v>
      </c>
      <c r="S31" s="6">
        <f t="shared" si="10"/>
        <v>73</v>
      </c>
      <c r="T31" s="7">
        <f t="shared" si="11"/>
        <v>91.586206896551715</v>
      </c>
      <c r="U31" s="7">
        <f t="shared" si="12"/>
        <v>298.72396551724137</v>
      </c>
      <c r="V31" s="6">
        <f t="shared" si="12"/>
        <v>158</v>
      </c>
      <c r="W31" s="7">
        <f t="shared" si="13"/>
        <v>140.72396551724137</v>
      </c>
      <c r="X31" s="7">
        <f t="shared" si="14"/>
        <v>1810.4482758620686</v>
      </c>
      <c r="Y31" s="7">
        <f t="shared" si="14"/>
        <v>945</v>
      </c>
      <c r="Z31" s="7">
        <f t="shared" si="15"/>
        <v>865.44827586206861</v>
      </c>
      <c r="AA31" s="25">
        <f t="shared" si="16"/>
        <v>0.88201825626205832</v>
      </c>
      <c r="AB31" s="1"/>
    </row>
    <row r="32" spans="2:28" ht="18" x14ac:dyDescent="0.25">
      <c r="B32" s="3">
        <v>10</v>
      </c>
      <c r="C32" s="7">
        <f>C33+22</f>
        <v>144800</v>
      </c>
      <c r="D32" s="7">
        <f>D33+29</f>
        <v>1427361</v>
      </c>
      <c r="E32" s="9">
        <f>E33+8</f>
        <v>290302</v>
      </c>
      <c r="F32" s="8">
        <f t="shared" si="0"/>
        <v>1862463</v>
      </c>
      <c r="G32" s="23">
        <f t="shared" si="1"/>
        <v>1862411.5</v>
      </c>
      <c r="H32" s="7">
        <f t="shared" si="2"/>
        <v>1862415.125</v>
      </c>
      <c r="I32" s="7">
        <f>I33+41</f>
        <v>971311</v>
      </c>
      <c r="J32" s="6">
        <f t="shared" si="3"/>
        <v>22</v>
      </c>
      <c r="K32" s="6">
        <f t="shared" si="3"/>
        <v>29</v>
      </c>
      <c r="L32" s="6">
        <f t="shared" si="3"/>
        <v>8</v>
      </c>
      <c r="M32" s="6">
        <f t="shared" si="4"/>
        <v>41</v>
      </c>
      <c r="N32" s="5">
        <f t="shared" si="5"/>
        <v>27.156724137931036</v>
      </c>
      <c r="O32" s="3">
        <f t="shared" si="6"/>
        <v>8</v>
      </c>
      <c r="P32" s="5">
        <f t="shared" si="7"/>
        <v>19.156724137931036</v>
      </c>
      <c r="Q32" s="5">
        <f t="shared" si="8"/>
        <v>3.625</v>
      </c>
      <c r="R32" s="21">
        <f t="shared" si="9"/>
        <v>164.58620689655172</v>
      </c>
      <c r="S32" s="6">
        <f t="shared" si="10"/>
        <v>59</v>
      </c>
      <c r="T32" s="7">
        <f t="shared" si="11"/>
        <v>105.58620689655172</v>
      </c>
      <c r="U32" s="7">
        <f t="shared" si="12"/>
        <v>271.56724137931036</v>
      </c>
      <c r="V32" s="6">
        <f t="shared" si="12"/>
        <v>146</v>
      </c>
      <c r="W32" s="7">
        <f t="shared" si="13"/>
        <v>125.56724137931036</v>
      </c>
      <c r="X32" s="7">
        <f t="shared" si="14"/>
        <v>1645.862068965517</v>
      </c>
      <c r="Y32" s="7">
        <f t="shared" si="14"/>
        <v>872</v>
      </c>
      <c r="Z32" s="7">
        <f t="shared" si="15"/>
        <v>773.86206896551698</v>
      </c>
      <c r="AA32" s="25">
        <f t="shared" si="16"/>
        <v>0.82118878872876977</v>
      </c>
      <c r="AB32" s="1"/>
    </row>
    <row r="33" spans="2:28" ht="18" x14ac:dyDescent="0.25">
      <c r="B33" s="3">
        <v>9</v>
      </c>
      <c r="C33" s="7">
        <f>C34+24</f>
        <v>144778</v>
      </c>
      <c r="D33" s="7">
        <f>D34+27</f>
        <v>1427332</v>
      </c>
      <c r="E33" s="9">
        <f>E34+9</f>
        <v>290294</v>
      </c>
      <c r="F33" s="8">
        <f t="shared" si="0"/>
        <v>1862404</v>
      </c>
      <c r="G33" s="23">
        <f t="shared" si="1"/>
        <v>1862353.75</v>
      </c>
      <c r="H33" s="7">
        <f t="shared" si="2"/>
        <v>1862357.125</v>
      </c>
      <c r="I33" s="7">
        <f>I34+39</f>
        <v>971270</v>
      </c>
      <c r="J33" s="6">
        <f t="shared" si="3"/>
        <v>24</v>
      </c>
      <c r="K33" s="6">
        <f t="shared" si="3"/>
        <v>27</v>
      </c>
      <c r="L33" s="6">
        <f t="shared" si="3"/>
        <v>9</v>
      </c>
      <c r="M33" s="6">
        <f t="shared" si="4"/>
        <v>39</v>
      </c>
      <c r="N33" s="5">
        <f t="shared" si="5"/>
        <v>27.156724137931036</v>
      </c>
      <c r="O33" s="3">
        <f t="shared" si="6"/>
        <v>9</v>
      </c>
      <c r="P33" s="5">
        <f t="shared" si="7"/>
        <v>18.156724137931036</v>
      </c>
      <c r="Q33" s="5">
        <f t="shared" si="8"/>
        <v>3.375</v>
      </c>
      <c r="R33" s="21">
        <f t="shared" si="9"/>
        <v>164.58620689655172</v>
      </c>
      <c r="S33" s="6">
        <f t="shared" si="10"/>
        <v>60</v>
      </c>
      <c r="T33" s="7">
        <f t="shared" si="11"/>
        <v>104.58620689655172</v>
      </c>
      <c r="U33" s="7">
        <f t="shared" si="12"/>
        <v>244.41051724137932</v>
      </c>
      <c r="V33" s="6">
        <f t="shared" si="12"/>
        <v>138</v>
      </c>
      <c r="W33" s="7">
        <f t="shared" si="13"/>
        <v>106.41051724137932</v>
      </c>
      <c r="X33" s="7">
        <f t="shared" si="14"/>
        <v>1481.2758620689654</v>
      </c>
      <c r="Y33" s="7">
        <f t="shared" si="14"/>
        <v>813</v>
      </c>
      <c r="Z33" s="7">
        <f t="shared" si="15"/>
        <v>668.27586206896535</v>
      </c>
      <c r="AA33" s="25">
        <f t="shared" si="16"/>
        <v>0.83844361630063713</v>
      </c>
      <c r="AB33" s="1"/>
    </row>
    <row r="34" spans="2:28" ht="18" x14ac:dyDescent="0.25">
      <c r="B34" s="3">
        <v>8</v>
      </c>
      <c r="C34" s="7">
        <v>144754</v>
      </c>
      <c r="D34" s="7">
        <v>1427305</v>
      </c>
      <c r="E34" s="9">
        <v>290285</v>
      </c>
      <c r="F34" s="8">
        <f t="shared" si="0"/>
        <v>1862344</v>
      </c>
      <c r="G34" s="23">
        <f t="shared" si="1"/>
        <v>1862278.125</v>
      </c>
      <c r="H34" s="7">
        <f t="shared" si="2"/>
        <v>1862281.875</v>
      </c>
      <c r="I34" s="7">
        <v>971231</v>
      </c>
      <c r="J34" s="6">
        <f t="shared" si="3"/>
        <v>33</v>
      </c>
      <c r="K34" s="6">
        <f t="shared" si="3"/>
        <v>30</v>
      </c>
      <c r="L34" s="6">
        <f t="shared" si="3"/>
        <v>15</v>
      </c>
      <c r="M34" s="6">
        <f t="shared" si="4"/>
        <v>46</v>
      </c>
      <c r="N34" s="5">
        <f t="shared" si="5"/>
        <v>27.156724137931036</v>
      </c>
      <c r="O34" s="3">
        <f t="shared" si="6"/>
        <v>15</v>
      </c>
      <c r="P34" s="5">
        <f t="shared" si="7"/>
        <v>12.156724137931036</v>
      </c>
      <c r="Q34" s="5">
        <f t="shared" si="8"/>
        <v>3.75</v>
      </c>
      <c r="R34" s="21">
        <f t="shared" si="9"/>
        <v>164.58620689655172</v>
      </c>
      <c r="S34" s="6">
        <f t="shared" si="10"/>
        <v>78</v>
      </c>
      <c r="T34" s="7">
        <f t="shared" si="11"/>
        <v>86.586206896551715</v>
      </c>
      <c r="U34" s="7">
        <f t="shared" si="12"/>
        <v>217.25379310344829</v>
      </c>
      <c r="V34" s="6">
        <f t="shared" si="12"/>
        <v>129</v>
      </c>
      <c r="W34" s="7">
        <f t="shared" si="13"/>
        <v>88.253793103448288</v>
      </c>
      <c r="X34" s="7">
        <f t="shared" si="14"/>
        <v>1316.6896551724137</v>
      </c>
      <c r="Y34" s="7">
        <f t="shared" si="14"/>
        <v>753</v>
      </c>
      <c r="Z34" s="7">
        <f t="shared" si="15"/>
        <v>563.68965517241372</v>
      </c>
      <c r="AA34" s="25">
        <f t="shared" si="16"/>
        <v>0.86136590338380303</v>
      </c>
      <c r="AB34" s="1"/>
    </row>
    <row r="35" spans="2:28" ht="18" x14ac:dyDescent="0.25">
      <c r="B35" s="3">
        <v>7</v>
      </c>
      <c r="C35" s="7">
        <v>144721</v>
      </c>
      <c r="D35" s="7">
        <v>1427275</v>
      </c>
      <c r="E35" s="9">
        <v>290270</v>
      </c>
      <c r="F35" s="8">
        <f t="shared" si="0"/>
        <v>1862266</v>
      </c>
      <c r="G35" s="23">
        <f t="shared" si="1"/>
        <v>1862180.125</v>
      </c>
      <c r="H35" s="7">
        <f t="shared" si="2"/>
        <v>1862184.875</v>
      </c>
      <c r="I35" s="7">
        <v>971185</v>
      </c>
      <c r="J35" s="6">
        <f t="shared" si="3"/>
        <v>41</v>
      </c>
      <c r="K35" s="6">
        <f t="shared" si="3"/>
        <v>38</v>
      </c>
      <c r="L35" s="6">
        <f t="shared" si="3"/>
        <v>18</v>
      </c>
      <c r="M35" s="6">
        <f t="shared" si="4"/>
        <v>58</v>
      </c>
      <c r="N35" s="5">
        <f t="shared" si="5"/>
        <v>27.156724137931036</v>
      </c>
      <c r="O35" s="3">
        <f t="shared" si="6"/>
        <v>18</v>
      </c>
      <c r="P35" s="5">
        <f t="shared" si="7"/>
        <v>9.156724137931036</v>
      </c>
      <c r="Q35" s="5">
        <f t="shared" si="8"/>
        <v>4.75</v>
      </c>
      <c r="R35" s="21">
        <f t="shared" si="9"/>
        <v>164.58620689655172</v>
      </c>
      <c r="S35" s="6">
        <f t="shared" si="10"/>
        <v>97</v>
      </c>
      <c r="T35" s="7">
        <f t="shared" si="11"/>
        <v>67.586206896551715</v>
      </c>
      <c r="U35" s="7">
        <f t="shared" si="12"/>
        <v>190.09706896551725</v>
      </c>
      <c r="V35" s="6">
        <f t="shared" si="12"/>
        <v>114</v>
      </c>
      <c r="W35" s="7">
        <f t="shared" si="13"/>
        <v>76.097068965517252</v>
      </c>
      <c r="X35" s="7">
        <f t="shared" si="14"/>
        <v>1152.1034482758621</v>
      </c>
      <c r="Y35" s="7">
        <f t="shared" si="14"/>
        <v>675</v>
      </c>
      <c r="Z35" s="7">
        <f t="shared" si="15"/>
        <v>477.10344827586209</v>
      </c>
      <c r="AA35" s="25">
        <f t="shared" si="16"/>
        <v>0.85827265949492015</v>
      </c>
      <c r="AB35" s="1"/>
    </row>
    <row r="36" spans="2:28" ht="18" x14ac:dyDescent="0.25">
      <c r="B36" s="3">
        <v>6</v>
      </c>
      <c r="C36" s="7">
        <v>144680</v>
      </c>
      <c r="D36" s="7">
        <v>1427237</v>
      </c>
      <c r="E36" s="23">
        <v>290252</v>
      </c>
      <c r="F36" s="8">
        <f t="shared" si="0"/>
        <v>1862169</v>
      </c>
      <c r="G36" s="23">
        <f t="shared" si="1"/>
        <v>1862090.125</v>
      </c>
      <c r="H36" s="7">
        <f t="shared" si="2"/>
        <v>1862096</v>
      </c>
      <c r="I36" s="7">
        <v>971127</v>
      </c>
      <c r="J36" s="6">
        <f t="shared" si="3"/>
        <v>28</v>
      </c>
      <c r="K36" s="6">
        <f t="shared" si="3"/>
        <v>47</v>
      </c>
      <c r="L36" s="6">
        <f t="shared" si="3"/>
        <v>14</v>
      </c>
      <c r="M36" s="6">
        <f t="shared" si="4"/>
        <v>51</v>
      </c>
      <c r="N36" s="5">
        <f t="shared" si="5"/>
        <v>27.156724137931036</v>
      </c>
      <c r="O36" s="3">
        <f t="shared" si="6"/>
        <v>14</v>
      </c>
      <c r="P36" s="5">
        <f t="shared" si="7"/>
        <v>13.156724137931036</v>
      </c>
      <c r="Q36" s="5">
        <f t="shared" si="8"/>
        <v>5.875</v>
      </c>
      <c r="R36" s="21">
        <f t="shared" si="9"/>
        <v>164.58620689655172</v>
      </c>
      <c r="S36" s="6">
        <f t="shared" si="10"/>
        <v>89</v>
      </c>
      <c r="T36" s="7">
        <f t="shared" si="11"/>
        <v>75.586206896551715</v>
      </c>
      <c r="U36" s="7">
        <f t="shared" si="12"/>
        <v>162.94034482758622</v>
      </c>
      <c r="V36" s="6">
        <f t="shared" si="12"/>
        <v>96</v>
      </c>
      <c r="W36" s="7">
        <f t="shared" si="13"/>
        <v>66.940344827586216</v>
      </c>
      <c r="X36" s="7">
        <f t="shared" si="14"/>
        <v>987.51724137931035</v>
      </c>
      <c r="Y36" s="7">
        <f t="shared" si="14"/>
        <v>578</v>
      </c>
      <c r="Z36" s="7">
        <f t="shared" si="15"/>
        <v>409.51724137931035</v>
      </c>
      <c r="AA36" s="25">
        <f t="shared" si="16"/>
        <v>0.86764258165231467</v>
      </c>
      <c r="AB36" s="1"/>
    </row>
    <row r="37" spans="2:28" ht="18" x14ac:dyDescent="0.25">
      <c r="B37" s="3">
        <v>5</v>
      </c>
      <c r="C37" s="7">
        <v>144652</v>
      </c>
      <c r="D37" s="7">
        <v>1427190</v>
      </c>
      <c r="E37" s="23">
        <v>290238</v>
      </c>
      <c r="F37" s="8">
        <f t="shared" si="0"/>
        <v>1862080</v>
      </c>
      <c r="G37" s="23">
        <f t="shared" si="1"/>
        <v>1862011.125</v>
      </c>
      <c r="H37" s="7">
        <f t="shared" si="2"/>
        <v>1862015</v>
      </c>
      <c r="I37" s="7">
        <v>971076</v>
      </c>
      <c r="J37" s="6">
        <f t="shared" si="3"/>
        <v>31</v>
      </c>
      <c r="K37" s="6">
        <f t="shared" si="3"/>
        <v>31</v>
      </c>
      <c r="L37" s="6">
        <f t="shared" si="3"/>
        <v>19</v>
      </c>
      <c r="M37" s="6">
        <f t="shared" si="4"/>
        <v>50</v>
      </c>
      <c r="N37" s="5">
        <f t="shared" si="5"/>
        <v>27.156724137931036</v>
      </c>
      <c r="O37" s="3">
        <f t="shared" si="6"/>
        <v>19</v>
      </c>
      <c r="P37" s="5">
        <f t="shared" si="7"/>
        <v>8.156724137931036</v>
      </c>
      <c r="Q37" s="5">
        <f t="shared" si="8"/>
        <v>3.875</v>
      </c>
      <c r="R37" s="21">
        <f t="shared" si="9"/>
        <v>164.58620689655172</v>
      </c>
      <c r="S37" s="6">
        <f t="shared" si="10"/>
        <v>81</v>
      </c>
      <c r="T37" s="7">
        <f t="shared" si="11"/>
        <v>83.586206896551715</v>
      </c>
      <c r="U37" s="7">
        <f t="shared" si="12"/>
        <v>135.78362068965518</v>
      </c>
      <c r="V37" s="6">
        <f t="shared" si="12"/>
        <v>82</v>
      </c>
      <c r="W37" s="7">
        <f t="shared" si="13"/>
        <v>53.78362068965518</v>
      </c>
      <c r="X37" s="7">
        <f t="shared" si="14"/>
        <v>822.93103448275861</v>
      </c>
      <c r="Y37" s="7">
        <f t="shared" si="14"/>
        <v>489</v>
      </c>
      <c r="Z37" s="7">
        <f t="shared" si="15"/>
        <v>333.93103448275861</v>
      </c>
      <c r="AA37" s="25">
        <f t="shared" si="16"/>
        <v>0.85093611014404003</v>
      </c>
      <c r="AB37" s="1"/>
    </row>
    <row r="38" spans="2:28" ht="18" x14ac:dyDescent="0.25">
      <c r="B38" s="3">
        <v>4</v>
      </c>
      <c r="C38" s="7">
        <v>144621</v>
      </c>
      <c r="D38" s="7">
        <v>1427159</v>
      </c>
      <c r="E38" s="23">
        <v>290219</v>
      </c>
      <c r="F38" s="10">
        <f>C38+D38+E38</f>
        <v>1861999</v>
      </c>
      <c r="G38" s="23">
        <f t="shared" si="1"/>
        <v>1861913.875</v>
      </c>
      <c r="H38" s="7">
        <f t="shared" si="2"/>
        <v>1861919.625</v>
      </c>
      <c r="I38" s="7">
        <v>971026</v>
      </c>
      <c r="J38" s="6">
        <f t="shared" si="3"/>
        <v>36</v>
      </c>
      <c r="K38" s="6">
        <f t="shared" si="3"/>
        <v>46</v>
      </c>
      <c r="L38" s="6">
        <f t="shared" si="3"/>
        <v>15</v>
      </c>
      <c r="M38" s="6">
        <f t="shared" si="4"/>
        <v>48</v>
      </c>
      <c r="N38" s="5">
        <f t="shared" si="5"/>
        <v>27.156724137931036</v>
      </c>
      <c r="O38" s="3">
        <f t="shared" si="6"/>
        <v>15</v>
      </c>
      <c r="P38" s="5">
        <f t="shared" si="7"/>
        <v>12.156724137931036</v>
      </c>
      <c r="Q38" s="5">
        <f t="shared" si="8"/>
        <v>5.75</v>
      </c>
      <c r="R38" s="21">
        <f t="shared" si="9"/>
        <v>164.58620689655172</v>
      </c>
      <c r="S38" s="6">
        <f t="shared" si="10"/>
        <v>97</v>
      </c>
      <c r="T38" s="7">
        <f t="shared" si="11"/>
        <v>67.586206896551715</v>
      </c>
      <c r="U38" s="7">
        <f t="shared" si="12"/>
        <v>108.62689655172414</v>
      </c>
      <c r="V38" s="6">
        <f t="shared" si="12"/>
        <v>63</v>
      </c>
      <c r="W38" s="7">
        <f t="shared" si="13"/>
        <v>45.626896551724144</v>
      </c>
      <c r="X38" s="7">
        <f t="shared" si="14"/>
        <v>658.34482758620686</v>
      </c>
      <c r="Y38" s="7">
        <f t="shared" si="14"/>
        <v>408</v>
      </c>
      <c r="Z38" s="7">
        <f t="shared" si="15"/>
        <v>250.34482758620686</v>
      </c>
      <c r="AA38" s="25">
        <f t="shared" si="16"/>
        <v>0.89626752906185581</v>
      </c>
      <c r="AB38" s="1"/>
    </row>
    <row r="39" spans="2:28" ht="18" x14ac:dyDescent="0.25">
      <c r="B39" s="3">
        <v>3</v>
      </c>
      <c r="C39" s="7">
        <f>C40+34</f>
        <v>144585</v>
      </c>
      <c r="D39" s="7">
        <f>D40+43</f>
        <v>1427113</v>
      </c>
      <c r="E39" s="23">
        <f>E40+18</f>
        <v>290204</v>
      </c>
      <c r="F39" s="8">
        <f t="shared" si="0"/>
        <v>1861902</v>
      </c>
      <c r="G39" s="23">
        <f t="shared" si="1"/>
        <v>1861817.75</v>
      </c>
      <c r="H39" s="7">
        <f t="shared" si="2"/>
        <v>1861823.125</v>
      </c>
      <c r="I39" s="7">
        <f>I40+46</f>
        <v>970978</v>
      </c>
      <c r="J39" s="6">
        <f t="shared" si="3"/>
        <v>34</v>
      </c>
      <c r="K39" s="6">
        <f t="shared" si="3"/>
        <v>43</v>
      </c>
      <c r="L39" s="6">
        <f t="shared" si="3"/>
        <v>18</v>
      </c>
      <c r="M39" s="6">
        <f t="shared" si="4"/>
        <v>46</v>
      </c>
      <c r="N39" s="5">
        <f t="shared" si="5"/>
        <v>27.156724137931036</v>
      </c>
      <c r="O39" s="3">
        <f t="shared" si="6"/>
        <v>18</v>
      </c>
      <c r="P39" s="5">
        <f t="shared" si="7"/>
        <v>9.156724137931036</v>
      </c>
      <c r="Q39" s="5">
        <f t="shared" si="8"/>
        <v>5.375</v>
      </c>
      <c r="R39" s="21">
        <f>R40</f>
        <v>164.58620689655172</v>
      </c>
      <c r="S39" s="6">
        <f t="shared" si="10"/>
        <v>95</v>
      </c>
      <c r="T39" s="7">
        <f t="shared" si="11"/>
        <v>69.586206896551715</v>
      </c>
      <c r="U39" s="7">
        <f t="shared" si="12"/>
        <v>81.470172413793108</v>
      </c>
      <c r="V39" s="6">
        <f t="shared" si="12"/>
        <v>48</v>
      </c>
      <c r="W39" s="7">
        <f t="shared" si="13"/>
        <v>33.470172413793108</v>
      </c>
      <c r="X39" s="7">
        <f t="shared" si="14"/>
        <v>493.75862068965512</v>
      </c>
      <c r="Y39" s="7">
        <f t="shared" si="14"/>
        <v>311</v>
      </c>
      <c r="Z39" s="7">
        <f t="shared" si="15"/>
        <v>182.75862068965512</v>
      </c>
      <c r="AA39" s="25">
        <f t="shared" si="16"/>
        <v>0.90003939316793602</v>
      </c>
      <c r="AB39" s="1"/>
    </row>
    <row r="40" spans="2:28" ht="18" x14ac:dyDescent="0.25">
      <c r="B40" s="3">
        <v>2</v>
      </c>
      <c r="C40" s="7">
        <f>C41+32</f>
        <v>144551</v>
      </c>
      <c r="D40" s="7">
        <f>D41+40</f>
        <v>1427070</v>
      </c>
      <c r="E40" s="23">
        <f>E41+14</f>
        <v>290186</v>
      </c>
      <c r="F40" s="8">
        <f t="shared" si="0"/>
        <v>1861807</v>
      </c>
      <c r="G40" s="23">
        <f t="shared" si="1"/>
        <v>1861737.25</v>
      </c>
      <c r="H40" s="7">
        <f t="shared" si="2"/>
        <v>1861742.25</v>
      </c>
      <c r="I40" s="7">
        <f>I41+49</f>
        <v>970932</v>
      </c>
      <c r="J40" s="6">
        <f t="shared" si="3"/>
        <v>32</v>
      </c>
      <c r="K40" s="6">
        <f t="shared" si="3"/>
        <v>40</v>
      </c>
      <c r="L40" s="6">
        <f t="shared" si="3"/>
        <v>14</v>
      </c>
      <c r="M40" s="6">
        <f t="shared" si="4"/>
        <v>49</v>
      </c>
      <c r="N40" s="5">
        <f t="shared" si="5"/>
        <v>27.156724137931036</v>
      </c>
      <c r="O40" s="3">
        <f t="shared" si="6"/>
        <v>14</v>
      </c>
      <c r="P40" s="5">
        <f t="shared" si="7"/>
        <v>13.156724137931036</v>
      </c>
      <c r="Q40" s="5">
        <f t="shared" si="8"/>
        <v>5</v>
      </c>
      <c r="R40" s="21">
        <f>R41</f>
        <v>164.58620689655172</v>
      </c>
      <c r="S40" s="6">
        <f t="shared" si="10"/>
        <v>86</v>
      </c>
      <c r="T40" s="7">
        <f t="shared" si="11"/>
        <v>78.586206896551715</v>
      </c>
      <c r="U40" s="7">
        <f t="shared" si="12"/>
        <v>54.313448275862072</v>
      </c>
      <c r="V40" s="6">
        <f t="shared" si="12"/>
        <v>30</v>
      </c>
      <c r="W40" s="7">
        <f t="shared" si="13"/>
        <v>24.313448275862072</v>
      </c>
      <c r="X40" s="7">
        <f t="shared" si="14"/>
        <v>329.17241379310343</v>
      </c>
      <c r="Y40" s="7">
        <f t="shared" si="14"/>
        <v>216</v>
      </c>
      <c r="Z40" s="7">
        <f t="shared" si="15"/>
        <v>113.17241379310343</v>
      </c>
      <c r="AA40" s="25">
        <f t="shared" si="16"/>
        <v>0.86886418791073783</v>
      </c>
      <c r="AB40" s="1"/>
    </row>
    <row r="41" spans="2:28" ht="18" x14ac:dyDescent="0.25">
      <c r="B41" s="3">
        <v>1</v>
      </c>
      <c r="C41" s="7">
        <v>144519</v>
      </c>
      <c r="D41" s="7">
        <v>1427030</v>
      </c>
      <c r="E41" s="23">
        <v>290172</v>
      </c>
      <c r="F41" s="8">
        <f t="shared" si="0"/>
        <v>1861721</v>
      </c>
      <c r="G41" s="23">
        <f>(C42+D42+E42)+((S42/24)*3)</f>
        <v>1861591</v>
      </c>
      <c r="H41" s="7">
        <f>G41+((K41/12)*1.5)</f>
        <v>1861598.75</v>
      </c>
      <c r="I41" s="7">
        <v>970883</v>
      </c>
      <c r="J41" s="6">
        <f t="shared" si="3"/>
        <v>52</v>
      </c>
      <c r="K41" s="6">
        <f t="shared" si="3"/>
        <v>62</v>
      </c>
      <c r="L41" s="6">
        <f t="shared" si="3"/>
        <v>16</v>
      </c>
      <c r="M41" s="6">
        <f t="shared" si="4"/>
        <v>67</v>
      </c>
      <c r="N41" s="44">
        <f>O6/29</f>
        <v>27.156724137931036</v>
      </c>
      <c r="O41" s="3">
        <f t="shared" si="6"/>
        <v>16</v>
      </c>
      <c r="P41" s="5">
        <f t="shared" si="7"/>
        <v>11.156724137931036</v>
      </c>
      <c r="Q41" s="5">
        <f t="shared" si="8"/>
        <v>7.75</v>
      </c>
      <c r="R41" s="48">
        <f>S6/29</f>
        <v>164.58620689655172</v>
      </c>
      <c r="S41" s="6">
        <f t="shared" si="10"/>
        <v>130</v>
      </c>
      <c r="T41" s="7">
        <f t="shared" si="11"/>
        <v>34.586206896551715</v>
      </c>
      <c r="U41" s="7">
        <f>N41</f>
        <v>27.156724137931036</v>
      </c>
      <c r="V41" s="6">
        <f>O41</f>
        <v>16</v>
      </c>
      <c r="W41" s="7">
        <f t="shared" si="13"/>
        <v>11.156724137931036</v>
      </c>
      <c r="X41" s="7">
        <f>R41</f>
        <v>164.58620689655172</v>
      </c>
      <c r="Y41" s="7">
        <f>S41</f>
        <v>130</v>
      </c>
      <c r="Z41" s="7">
        <f t="shared" si="15"/>
        <v>34.586206896551715</v>
      </c>
      <c r="AA41" s="25">
        <f t="shared" si="16"/>
        <v>0.88889018758249239</v>
      </c>
      <c r="AB41" s="1"/>
    </row>
    <row r="42" spans="2:28" ht="54" x14ac:dyDescent="0.25">
      <c r="B42" s="34" t="s">
        <v>13</v>
      </c>
      <c r="C42" s="21">
        <v>144467</v>
      </c>
      <c r="D42" s="21">
        <v>1426968</v>
      </c>
      <c r="E42" s="21">
        <v>290156</v>
      </c>
      <c r="F42" s="55">
        <v>1861591</v>
      </c>
      <c r="G42" s="56">
        <v>1861537.25</v>
      </c>
      <c r="H42" s="21">
        <v>1861541.875</v>
      </c>
      <c r="I42" s="57">
        <v>970816</v>
      </c>
      <c r="J42" s="11"/>
      <c r="K42" s="11"/>
      <c r="L42" s="11"/>
      <c r="M42" s="47">
        <f>SUM(M13:M41)</f>
        <v>1290</v>
      </c>
      <c r="N42" s="11"/>
      <c r="O42" s="11"/>
      <c r="P42" s="11"/>
      <c r="Q42" s="11"/>
      <c r="R42" s="22"/>
      <c r="S42" s="11"/>
      <c r="T42" s="11"/>
      <c r="U42" s="11"/>
      <c r="V42" s="11"/>
      <c r="W42" s="11"/>
      <c r="X42" s="11"/>
      <c r="Y42" s="11"/>
      <c r="Z42" s="11"/>
      <c r="AA42" s="11"/>
    </row>
    <row r="43" spans="2:28" ht="18" x14ac:dyDescent="0.25">
      <c r="B43" s="3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22"/>
      <c r="S43" s="11"/>
      <c r="T43" s="11"/>
      <c r="U43" s="11"/>
      <c r="V43" s="11"/>
      <c r="W43" s="11"/>
      <c r="X43" s="11"/>
      <c r="Y43" s="11"/>
      <c r="Z43" s="11"/>
      <c r="AA43" s="11"/>
    </row>
    <row r="44" spans="2:28" ht="18" x14ac:dyDescent="0.2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22"/>
      <c r="S44" s="11"/>
      <c r="T44" s="11"/>
      <c r="U44" s="11"/>
      <c r="V44" s="11"/>
      <c r="W44" s="11"/>
      <c r="X44" s="11"/>
      <c r="Y44" s="11"/>
      <c r="Z44" s="11"/>
      <c r="AA44" s="11"/>
    </row>
    <row r="45" spans="2:28" ht="18" x14ac:dyDescent="0.25">
      <c r="B45" s="11"/>
      <c r="C45" s="11"/>
      <c r="D45" s="42"/>
      <c r="E45" s="11"/>
      <c r="F45" s="11"/>
      <c r="G45" s="11"/>
      <c r="H45" s="11" t="s">
        <v>40</v>
      </c>
      <c r="I45" s="11"/>
      <c r="J45" s="11"/>
      <c r="K45" s="11"/>
      <c r="L45" s="11"/>
      <c r="M45" s="11"/>
      <c r="N45" s="11"/>
      <c r="O45" s="11"/>
      <c r="P45" s="11"/>
      <c r="Q45" s="11"/>
      <c r="R45" s="22"/>
      <c r="S45" s="11"/>
      <c r="T45" s="11"/>
      <c r="U45" s="11"/>
      <c r="V45" s="11"/>
      <c r="W45" s="11"/>
      <c r="X45" s="11"/>
      <c r="Y45" s="11"/>
      <c r="Z45" s="11"/>
      <c r="AA45" s="11"/>
    </row>
    <row r="46" spans="2:28" x14ac:dyDescent="0.25">
      <c r="C46" s="36"/>
    </row>
    <row r="52" spans="26:27" ht="18" x14ac:dyDescent="0.25">
      <c r="Z52" s="11" t="s">
        <v>38</v>
      </c>
    </row>
    <row r="53" spans="26:27" ht="18" x14ac:dyDescent="0.25">
      <c r="Z53" s="11" t="s">
        <v>44</v>
      </c>
      <c r="AA53" s="11"/>
    </row>
    <row r="54" spans="26:27" ht="18" x14ac:dyDescent="0.25">
      <c r="Z54" s="11" t="s">
        <v>45</v>
      </c>
      <c r="AA54" s="11"/>
    </row>
    <row r="55" spans="26:27" ht="18" x14ac:dyDescent="0.25">
      <c r="Z55" s="11" t="s">
        <v>12</v>
      </c>
      <c r="AA55" s="11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Cocina C</vt:lpstr>
      <vt:lpstr>Ciencia A</vt:lpstr>
      <vt:lpstr>Preparatoria</vt:lpstr>
      <vt:lpstr>Sede Martí</vt:lpstr>
      <vt:lpstr>A.Cultural</vt:lpstr>
      <vt:lpstr>Laboratorios Tec.</vt:lpstr>
      <vt:lpstr>Sede Fajardo</vt:lpstr>
      <vt:lpstr>A.Cultural!Área_de_impresión</vt:lpstr>
      <vt:lpstr>'Ciencia A'!Área_de_impresión</vt:lpstr>
      <vt:lpstr>'Cocina C'!Área_de_impresión</vt:lpstr>
      <vt:lpstr>'Laboratorios Tec.'!Área_de_impresión</vt:lpstr>
      <vt:lpstr>Preparatoria!Área_de_impresión</vt:lpstr>
      <vt:lpstr>'Sede Fajardo'!Área_de_impresión</vt:lpstr>
      <vt:lpstr>'Sede Martí'!Área_de_impresión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Mayelin Caballero Marrero</cp:lastModifiedBy>
  <cp:lastPrinted>2024-03-01T19:47:55Z</cp:lastPrinted>
  <dcterms:created xsi:type="dcterms:W3CDTF">2019-08-08T19:02:32Z</dcterms:created>
  <dcterms:modified xsi:type="dcterms:W3CDTF">2024-03-01T19:48:19Z</dcterms:modified>
</cp:coreProperties>
</file>