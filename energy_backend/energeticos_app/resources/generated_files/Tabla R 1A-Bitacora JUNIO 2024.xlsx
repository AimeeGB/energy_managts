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JORGE LUIS\Para Jorge de Pedrito\ELECTRICIDAD CONSUMIDA UNIVERSIDAD\AÑO 2024\TOTAL RELOJES 2024\06 JUNIO 2024\"/>
    </mc:Choice>
  </mc:AlternateContent>
  <bookViews>
    <workbookView xWindow="-120" yWindow="-120" windowWidth="20730" windowHeight="11160" tabRatio="778"/>
  </bookViews>
  <sheets>
    <sheet name="Cocina C" sheetId="24" r:id="rId1"/>
    <sheet name="Ciencia A" sheetId="20" r:id="rId2"/>
    <sheet name="Preparatoria" sheetId="21" r:id="rId3"/>
    <sheet name="Sede Martí" sheetId="25" r:id="rId4"/>
    <sheet name="A.Cultural" sheetId="22" r:id="rId5"/>
    <sheet name="Laboratorios Tec." sheetId="23" r:id="rId6"/>
    <sheet name="Sede Fajardo" sheetId="26" r:id="rId7"/>
  </sheets>
  <definedNames>
    <definedName name="_xlnm.Print_Area" localSheetId="4">A.Cultural!$A$1:$AB$51</definedName>
    <definedName name="_xlnm.Print_Area" localSheetId="1">'Ciencia A'!$A$1:$AB$52</definedName>
    <definedName name="_xlnm.Print_Area" localSheetId="0">'Cocina C'!$A$1:$AB$51</definedName>
    <definedName name="_xlnm.Print_Area" localSheetId="5">'Laboratorios Tec.'!$A$1:$AB$54</definedName>
    <definedName name="_xlnm.Print_Area" localSheetId="2">Preparatoria!$A$1:$AB$54</definedName>
    <definedName name="_xlnm.Print_Area" localSheetId="6">'Sede Fajardo'!$A$1:$AB$55</definedName>
    <definedName name="_xlnm.Print_Area" localSheetId="3">'Sede Martí'!$A$1:$AB$51</definedName>
  </definedNames>
  <calcPr calcId="162913"/>
</workbook>
</file>

<file path=xl/calcChain.xml><?xml version="1.0" encoding="utf-8"?>
<calcChain xmlns="http://schemas.openxmlformats.org/spreadsheetml/2006/main">
  <c r="AA42" i="26" l="1"/>
  <c r="AA42" i="23"/>
  <c r="AA42" i="22"/>
  <c r="AA42" i="25"/>
  <c r="AA42" i="21"/>
  <c r="AA42" i="20"/>
  <c r="AA42" i="24"/>
  <c r="I13" i="25" l="1"/>
  <c r="I14" i="25"/>
  <c r="I16" i="25"/>
  <c r="I15" i="25"/>
  <c r="E13" i="25"/>
  <c r="E14" i="25"/>
  <c r="E15" i="25"/>
  <c r="E16" i="25"/>
  <c r="D13" i="25"/>
  <c r="D14" i="25"/>
  <c r="D15" i="25"/>
  <c r="D16" i="25"/>
  <c r="C13" i="25"/>
  <c r="C14" i="25"/>
  <c r="C15" i="25"/>
  <c r="C16" i="25"/>
  <c r="I15" i="21"/>
  <c r="I14" i="21"/>
  <c r="I13" i="21" s="1"/>
  <c r="I13" i="26" l="1"/>
  <c r="I14" i="26"/>
  <c r="I15" i="26"/>
  <c r="I16" i="26"/>
  <c r="E13" i="26"/>
  <c r="E14" i="26"/>
  <c r="E15" i="26"/>
  <c r="E16" i="26"/>
  <c r="D13" i="26"/>
  <c r="D14" i="26"/>
  <c r="D15" i="26"/>
  <c r="D16" i="26"/>
  <c r="C13" i="26"/>
  <c r="C14" i="26"/>
  <c r="C15" i="26"/>
  <c r="C16" i="26"/>
  <c r="I13" i="23"/>
  <c r="I14" i="23"/>
  <c r="I16" i="23"/>
  <c r="I15" i="23"/>
  <c r="E13" i="23"/>
  <c r="E14" i="23"/>
  <c r="E15" i="23"/>
  <c r="E16" i="23"/>
  <c r="D14" i="23"/>
  <c r="D15" i="23"/>
  <c r="D16" i="23"/>
  <c r="C13" i="23"/>
  <c r="C14" i="23"/>
  <c r="C15" i="23"/>
  <c r="C16" i="23"/>
  <c r="I13" i="22"/>
  <c r="I14" i="22"/>
  <c r="I15" i="22"/>
  <c r="I16" i="22"/>
  <c r="E13" i="22"/>
  <c r="E14" i="22"/>
  <c r="E15" i="22"/>
  <c r="E16" i="22"/>
  <c r="D13" i="22"/>
  <c r="D14" i="22"/>
  <c r="D15" i="22"/>
  <c r="D16" i="22"/>
  <c r="C13" i="22"/>
  <c r="C14" i="22"/>
  <c r="C15" i="22"/>
  <c r="C16" i="22"/>
  <c r="I16" i="21"/>
  <c r="E16" i="21"/>
  <c r="E14" i="21"/>
  <c r="E15" i="21"/>
  <c r="D13" i="21"/>
  <c r="D14" i="21"/>
  <c r="D15" i="21"/>
  <c r="D16" i="21"/>
  <c r="C13" i="21"/>
  <c r="C15" i="21"/>
  <c r="C14" i="21"/>
  <c r="C16" i="21"/>
  <c r="I13" i="20"/>
  <c r="I14" i="20"/>
  <c r="I16" i="20"/>
  <c r="I15" i="20" s="1"/>
  <c r="E13" i="20"/>
  <c r="E14" i="20"/>
  <c r="E16" i="20"/>
  <c r="E15" i="20" s="1"/>
  <c r="D14" i="20"/>
  <c r="D13" i="20" s="1"/>
  <c r="D15" i="20"/>
  <c r="D16" i="20"/>
  <c r="C13" i="20"/>
  <c r="C14" i="20"/>
  <c r="C15" i="20"/>
  <c r="C16" i="20"/>
  <c r="I13" i="24"/>
  <c r="D14" i="24"/>
  <c r="I14" i="24"/>
  <c r="I15" i="24"/>
  <c r="I16" i="24"/>
  <c r="E13" i="24"/>
  <c r="E14" i="24"/>
  <c r="E15" i="24"/>
  <c r="E16" i="24"/>
  <c r="D13" i="24"/>
  <c r="D15" i="24"/>
  <c r="D16" i="24"/>
  <c r="C13" i="24"/>
  <c r="C14" i="24"/>
  <c r="C15" i="24"/>
  <c r="C16" i="24"/>
  <c r="D13" i="23" l="1"/>
  <c r="E13" i="21"/>
  <c r="I18" i="23"/>
  <c r="E18" i="23"/>
  <c r="D18" i="23"/>
  <c r="C18" i="23"/>
  <c r="I17" i="22"/>
  <c r="E17" i="22"/>
  <c r="D17" i="22"/>
  <c r="C17" i="22"/>
  <c r="I18" i="22"/>
  <c r="E18" i="22"/>
  <c r="D18" i="22"/>
  <c r="C18" i="22"/>
  <c r="I17" i="25"/>
  <c r="E17" i="25"/>
  <c r="D17" i="25"/>
  <c r="C17" i="25"/>
  <c r="I18" i="21"/>
  <c r="E18" i="21"/>
  <c r="D18" i="21"/>
  <c r="C18" i="21"/>
  <c r="I18" i="20"/>
  <c r="E18" i="20"/>
  <c r="D18" i="20"/>
  <c r="C18" i="20"/>
  <c r="I18" i="24"/>
  <c r="E18" i="24"/>
  <c r="D18" i="24"/>
  <c r="C18" i="24"/>
  <c r="I19" i="26" l="1"/>
  <c r="I21" i="26"/>
  <c r="I20" i="26"/>
  <c r="E21" i="26"/>
  <c r="E20" i="26"/>
  <c r="D21" i="26"/>
  <c r="D20" i="26"/>
  <c r="C21" i="26"/>
  <c r="C20" i="26" s="1"/>
  <c r="I19" i="23"/>
  <c r="I20" i="23"/>
  <c r="I21" i="23"/>
  <c r="E19" i="23"/>
  <c r="E20" i="23"/>
  <c r="E21" i="23"/>
  <c r="D20" i="23"/>
  <c r="D21" i="23"/>
  <c r="D19" i="23"/>
  <c r="C21" i="23"/>
  <c r="C20" i="23"/>
  <c r="C19" i="23" s="1"/>
  <c r="I21" i="22"/>
  <c r="I20" i="22"/>
  <c r="E21" i="22"/>
  <c r="E20" i="22"/>
  <c r="D21" i="22"/>
  <c r="D20" i="22" s="1"/>
  <c r="C21" i="22"/>
  <c r="C20" i="22"/>
  <c r="I21" i="25"/>
  <c r="I20" i="25"/>
  <c r="E20" i="25"/>
  <c r="E21" i="25"/>
  <c r="D21" i="25"/>
  <c r="D20" i="25" s="1"/>
  <c r="C21" i="25"/>
  <c r="C20" i="25"/>
  <c r="I21" i="21"/>
  <c r="I20" i="21"/>
  <c r="E21" i="21"/>
  <c r="E20" i="21" s="1"/>
  <c r="D21" i="21"/>
  <c r="D20" i="21" s="1"/>
  <c r="C20" i="21"/>
  <c r="C21" i="21"/>
  <c r="I21" i="20"/>
  <c r="I20" i="20" s="1"/>
  <c r="E21" i="20"/>
  <c r="E20" i="20"/>
  <c r="D21" i="20"/>
  <c r="D20" i="20" s="1"/>
  <c r="C21" i="20"/>
  <c r="C20" i="20" s="1"/>
  <c r="I21" i="24"/>
  <c r="I20" i="24"/>
  <c r="E21" i="24"/>
  <c r="E20" i="24"/>
  <c r="D21" i="24"/>
  <c r="D20" i="24"/>
  <c r="C21" i="24"/>
  <c r="C20" i="24" s="1"/>
  <c r="I23" i="25" l="1"/>
  <c r="I24" i="25"/>
  <c r="E23" i="25"/>
  <c r="E24" i="25"/>
  <c r="D23" i="25" l="1"/>
  <c r="D24" i="25"/>
  <c r="C23" i="25"/>
  <c r="C24" i="25"/>
  <c r="I23" i="23"/>
  <c r="I24" i="23"/>
  <c r="E24" i="23"/>
  <c r="E23" i="23"/>
  <c r="D23" i="23"/>
  <c r="D24" i="23"/>
  <c r="C23" i="23"/>
  <c r="C24" i="23"/>
  <c r="I24" i="22"/>
  <c r="I23" i="22"/>
  <c r="E23" i="22"/>
  <c r="E24" i="22"/>
  <c r="D23" i="22"/>
  <c r="D24" i="22"/>
  <c r="C24" i="22"/>
  <c r="C23" i="22" s="1"/>
  <c r="I23" i="21"/>
  <c r="I24" i="21"/>
  <c r="E23" i="21"/>
  <c r="E24" i="21"/>
  <c r="D23" i="21"/>
  <c r="D24" i="21"/>
  <c r="C23" i="21"/>
  <c r="C24" i="21"/>
  <c r="I24" i="20"/>
  <c r="I23" i="20" s="1"/>
  <c r="E23" i="20"/>
  <c r="E24" i="20"/>
  <c r="D23" i="20"/>
  <c r="D24" i="20"/>
  <c r="C23" i="20"/>
  <c r="C24" i="20"/>
  <c r="I23" i="24"/>
  <c r="I24" i="24"/>
  <c r="E23" i="24"/>
  <c r="E24" i="24"/>
  <c r="D23" i="24"/>
  <c r="D24" i="24"/>
  <c r="C24" i="24"/>
  <c r="C23" i="24"/>
  <c r="I26" i="22" l="1"/>
  <c r="I27" i="22"/>
  <c r="I28" i="22"/>
  <c r="E26" i="22"/>
  <c r="E27" i="22"/>
  <c r="D26" i="22"/>
  <c r="I28" i="21"/>
  <c r="I27" i="21" s="1"/>
  <c r="I26" i="21" s="1"/>
  <c r="C26" i="21"/>
  <c r="E26" i="21"/>
  <c r="E27" i="21"/>
  <c r="E26" i="24"/>
  <c r="I29" i="26" l="1"/>
  <c r="I28" i="26" s="1"/>
  <c r="I30" i="26"/>
  <c r="I35" i="26"/>
  <c r="I34" i="26" s="1"/>
  <c r="E28" i="26"/>
  <c r="E27" i="26"/>
  <c r="E30" i="26"/>
  <c r="E34" i="26"/>
  <c r="E35" i="26"/>
  <c r="D28" i="26"/>
  <c r="D27" i="26"/>
  <c r="D30" i="26"/>
  <c r="D34" i="26"/>
  <c r="D35" i="26"/>
  <c r="C27" i="26"/>
  <c r="C28" i="26"/>
  <c r="C30" i="26"/>
  <c r="C34" i="26"/>
  <c r="C35" i="26"/>
  <c r="I26" i="23"/>
  <c r="I27" i="23"/>
  <c r="I28" i="23"/>
  <c r="E26" i="23"/>
  <c r="E27" i="23"/>
  <c r="E28" i="23"/>
  <c r="D26" i="23"/>
  <c r="D27" i="23"/>
  <c r="D28" i="23"/>
  <c r="C26" i="23"/>
  <c r="C27" i="23"/>
  <c r="C28" i="23"/>
  <c r="I31" i="23"/>
  <c r="I32" i="23"/>
  <c r="I30" i="23" s="1"/>
  <c r="I33" i="23"/>
  <c r="I34" i="23"/>
  <c r="I35" i="23"/>
  <c r="E31" i="23"/>
  <c r="E32" i="23"/>
  <c r="E33" i="23"/>
  <c r="E34" i="23"/>
  <c r="E30" i="23"/>
  <c r="E35" i="23"/>
  <c r="D30" i="23"/>
  <c r="D31" i="23"/>
  <c r="D32" i="23"/>
  <c r="D33" i="23"/>
  <c r="D34" i="23"/>
  <c r="D35" i="23"/>
  <c r="C31" i="23"/>
  <c r="C32" i="23"/>
  <c r="C33" i="23"/>
  <c r="C34" i="23"/>
  <c r="C30" i="23"/>
  <c r="C35" i="23"/>
  <c r="E28" i="22"/>
  <c r="D27" i="22"/>
  <c r="D28" i="22"/>
  <c r="C27" i="22"/>
  <c r="C28" i="22"/>
  <c r="I30" i="22"/>
  <c r="I31" i="22"/>
  <c r="I32" i="22"/>
  <c r="I33" i="22"/>
  <c r="I34" i="22"/>
  <c r="I35" i="22"/>
  <c r="E30" i="22"/>
  <c r="E31" i="22"/>
  <c r="E32" i="22"/>
  <c r="E33" i="22"/>
  <c r="E34" i="22"/>
  <c r="E35" i="22"/>
  <c r="D30" i="22"/>
  <c r="D31" i="22"/>
  <c r="D32" i="22"/>
  <c r="D33" i="22"/>
  <c r="D34" i="22"/>
  <c r="D35" i="22"/>
  <c r="C30" i="22"/>
  <c r="C31" i="22"/>
  <c r="C32" i="22"/>
  <c r="C33" i="22"/>
  <c r="C34" i="22"/>
  <c r="C35" i="22"/>
  <c r="I26" i="25"/>
  <c r="I27" i="25"/>
  <c r="I28" i="25"/>
  <c r="E26" i="25"/>
  <c r="E27" i="25"/>
  <c r="E28" i="25"/>
  <c r="D26" i="25"/>
  <c r="D27" i="25"/>
  <c r="D28" i="25"/>
  <c r="C28" i="25"/>
  <c r="C27" i="25" s="1"/>
  <c r="C26" i="25" s="1"/>
  <c r="I30" i="25"/>
  <c r="I31" i="25"/>
  <c r="I32" i="25"/>
  <c r="I33" i="25"/>
  <c r="I34" i="25"/>
  <c r="I35" i="25"/>
  <c r="E31" i="25"/>
  <c r="E32" i="25"/>
  <c r="E33" i="25"/>
  <c r="E34" i="25"/>
  <c r="E35" i="25"/>
  <c r="E30" i="25"/>
  <c r="D30" i="25"/>
  <c r="D31" i="25"/>
  <c r="D32" i="25"/>
  <c r="D33" i="25"/>
  <c r="D34" i="25"/>
  <c r="D35" i="25"/>
  <c r="C30" i="25"/>
  <c r="C31" i="25"/>
  <c r="C32" i="25"/>
  <c r="C33" i="25"/>
  <c r="C34" i="25"/>
  <c r="C35" i="25"/>
  <c r="E28" i="21"/>
  <c r="D26" i="21"/>
  <c r="D27" i="21"/>
  <c r="D28" i="21"/>
  <c r="C27" i="21"/>
  <c r="C28" i="21"/>
  <c r="I30" i="21"/>
  <c r="I31" i="21"/>
  <c r="I32" i="21"/>
  <c r="I33" i="21"/>
  <c r="I34" i="21"/>
  <c r="I35" i="21"/>
  <c r="E30" i="21"/>
  <c r="E31" i="21"/>
  <c r="E32" i="21"/>
  <c r="E33" i="21"/>
  <c r="E34" i="21"/>
  <c r="E35" i="21"/>
  <c r="D30" i="21"/>
  <c r="D31" i="21"/>
  <c r="D32" i="21"/>
  <c r="D33" i="21"/>
  <c r="D35" i="21"/>
  <c r="D34" i="21"/>
  <c r="C30" i="21"/>
  <c r="C31" i="21"/>
  <c r="C32" i="21"/>
  <c r="C33" i="21"/>
  <c r="C34" i="21"/>
  <c r="C35" i="21"/>
  <c r="I28" i="20"/>
  <c r="I27" i="20"/>
  <c r="I26" i="20" s="1"/>
  <c r="I31" i="20"/>
  <c r="I32" i="20"/>
  <c r="I34" i="20"/>
  <c r="I33" i="20"/>
  <c r="I35" i="20"/>
  <c r="E26" i="20"/>
  <c r="E27" i="20"/>
  <c r="E28" i="20"/>
  <c r="D26" i="20"/>
  <c r="D27" i="20"/>
  <c r="D28" i="20"/>
  <c r="C26" i="20"/>
  <c r="C27" i="20"/>
  <c r="C28" i="20"/>
  <c r="E31" i="20"/>
  <c r="E32" i="20"/>
  <c r="E33" i="20"/>
  <c r="E34" i="20"/>
  <c r="E30" i="20"/>
  <c r="E35" i="20"/>
  <c r="D30" i="20"/>
  <c r="D31" i="20"/>
  <c r="D32" i="20"/>
  <c r="D33" i="20"/>
  <c r="D34" i="20"/>
  <c r="D35" i="20"/>
  <c r="C31" i="20"/>
  <c r="C30" i="20" s="1"/>
  <c r="C33" i="20"/>
  <c r="C34" i="20"/>
  <c r="C32" i="20" s="1"/>
  <c r="C35" i="20"/>
  <c r="I26" i="24"/>
  <c r="I27" i="24"/>
  <c r="I28" i="24"/>
  <c r="E27" i="24"/>
  <c r="E28" i="24"/>
  <c r="D26" i="24"/>
  <c r="D27" i="24"/>
  <c r="D28" i="24"/>
  <c r="C27" i="24"/>
  <c r="C28" i="24"/>
  <c r="I30" i="24"/>
  <c r="I31" i="24"/>
  <c r="I32" i="24"/>
  <c r="I33" i="24"/>
  <c r="I34" i="24"/>
  <c r="I35" i="24"/>
  <c r="E30" i="24"/>
  <c r="E31" i="24"/>
  <c r="E32" i="24"/>
  <c r="E33" i="24"/>
  <c r="E34" i="24"/>
  <c r="E35" i="24"/>
  <c r="D32" i="24"/>
  <c r="D31" i="24" s="1"/>
  <c r="D33" i="24"/>
  <c r="D34" i="24"/>
  <c r="D35" i="24"/>
  <c r="C30" i="24"/>
  <c r="C31" i="24"/>
  <c r="C33" i="24"/>
  <c r="C32" i="24"/>
  <c r="C34" i="24"/>
  <c r="C35" i="24"/>
  <c r="I27" i="26" l="1"/>
  <c r="I30" i="20"/>
  <c r="C26" i="24"/>
  <c r="D30" i="24"/>
  <c r="D37" i="21"/>
  <c r="I37" i="23" l="1"/>
  <c r="E37" i="23"/>
  <c r="D37" i="23"/>
  <c r="C37" i="23"/>
  <c r="I37" i="22"/>
  <c r="E37" i="22"/>
  <c r="D37" i="22"/>
  <c r="C37" i="22"/>
  <c r="I37" i="25"/>
  <c r="E37" i="25"/>
  <c r="D37" i="25"/>
  <c r="C37" i="25"/>
  <c r="I37" i="21"/>
  <c r="E37" i="21"/>
  <c r="C37" i="21"/>
  <c r="I37" i="20"/>
  <c r="E37" i="20"/>
  <c r="D37" i="20"/>
  <c r="C37" i="20"/>
  <c r="I37" i="24"/>
  <c r="E37" i="24"/>
  <c r="D37" i="24"/>
  <c r="C37" i="24"/>
  <c r="I37" i="26"/>
  <c r="E37" i="26"/>
  <c r="D37" i="26"/>
  <c r="C37" i="26"/>
  <c r="I39" i="23" l="1"/>
  <c r="I40" i="23"/>
  <c r="I41" i="23"/>
  <c r="E41" i="23"/>
  <c r="E39" i="23"/>
  <c r="E40" i="23"/>
  <c r="D39" i="23"/>
  <c r="D40" i="23"/>
  <c r="D41" i="23"/>
  <c r="C39" i="23"/>
  <c r="C40" i="23"/>
  <c r="C41" i="23"/>
  <c r="I39" i="22"/>
  <c r="I40" i="22"/>
  <c r="I41" i="22"/>
  <c r="E39" i="22"/>
  <c r="E40" i="22"/>
  <c r="E41" i="22"/>
  <c r="D39" i="22"/>
  <c r="D40" i="22"/>
  <c r="D41" i="22"/>
  <c r="C40" i="22"/>
  <c r="C39" i="22"/>
  <c r="C41" i="22"/>
  <c r="I39" i="25"/>
  <c r="I40" i="25"/>
  <c r="I41" i="25"/>
  <c r="E39" i="25"/>
  <c r="E40" i="25"/>
  <c r="E41" i="25"/>
  <c r="D39" i="25"/>
  <c r="D40" i="25"/>
  <c r="D41" i="25"/>
  <c r="C39" i="25"/>
  <c r="C40" i="25"/>
  <c r="C41" i="25"/>
  <c r="I39" i="21"/>
  <c r="I40" i="21"/>
  <c r="I41" i="21"/>
  <c r="E39" i="21"/>
  <c r="E40" i="21"/>
  <c r="E41" i="21"/>
  <c r="D39" i="21"/>
  <c r="D40" i="21"/>
  <c r="D41" i="21"/>
  <c r="C39" i="21"/>
  <c r="C40" i="21"/>
  <c r="C41" i="21"/>
  <c r="I39" i="20"/>
  <c r="I40" i="20"/>
  <c r="I41" i="20"/>
  <c r="E39" i="20"/>
  <c r="E40" i="20"/>
  <c r="E41" i="20"/>
  <c r="D39" i="20"/>
  <c r="D41" i="20"/>
  <c r="D40" i="20"/>
  <c r="C39" i="20"/>
  <c r="C40" i="20"/>
  <c r="C41" i="20"/>
  <c r="I39" i="24"/>
  <c r="I40" i="24"/>
  <c r="I41" i="24"/>
  <c r="E39" i="24"/>
  <c r="E40" i="24"/>
  <c r="E41" i="24"/>
  <c r="D39" i="24"/>
  <c r="D40" i="24"/>
  <c r="D41" i="24"/>
  <c r="C39" i="24"/>
  <c r="C40" i="24"/>
  <c r="C41" i="24"/>
  <c r="R41" i="26"/>
  <c r="R41" i="23"/>
  <c r="N41" i="23"/>
  <c r="R41" i="22"/>
  <c r="N41" i="22"/>
  <c r="R41" i="25"/>
  <c r="R41" i="21"/>
  <c r="R41" i="20"/>
  <c r="R41" i="24"/>
  <c r="N41" i="24"/>
  <c r="L35" i="24" l="1"/>
  <c r="M11" i="24" l="1"/>
  <c r="L11" i="24"/>
  <c r="O11" i="24" s="1"/>
  <c r="K11" i="24"/>
  <c r="J11" i="24"/>
  <c r="F11" i="24"/>
  <c r="M11" i="20"/>
  <c r="L11" i="20"/>
  <c r="O11" i="20" s="1"/>
  <c r="K11" i="20"/>
  <c r="J11" i="20"/>
  <c r="F11" i="20"/>
  <c r="M11" i="21"/>
  <c r="L11" i="21"/>
  <c r="O11" i="21" s="1"/>
  <c r="K11" i="21"/>
  <c r="J11" i="21"/>
  <c r="F11" i="21"/>
  <c r="M11" i="25"/>
  <c r="L11" i="25"/>
  <c r="O11" i="25" s="1"/>
  <c r="K11" i="25"/>
  <c r="J11" i="25"/>
  <c r="F11" i="25"/>
  <c r="M11" i="22"/>
  <c r="L11" i="22"/>
  <c r="O11" i="22" s="1"/>
  <c r="K11" i="22"/>
  <c r="J11" i="22"/>
  <c r="F11" i="22"/>
  <c r="M11" i="23"/>
  <c r="L11" i="23"/>
  <c r="O11" i="23" s="1"/>
  <c r="K11" i="23"/>
  <c r="J11" i="23"/>
  <c r="F11" i="23"/>
  <c r="M11" i="26"/>
  <c r="L11" i="26"/>
  <c r="O11" i="26" s="1"/>
  <c r="K11" i="26"/>
  <c r="J11" i="26"/>
  <c r="F11" i="26"/>
  <c r="S11" i="26" l="1"/>
  <c r="AA11" i="26" s="1"/>
  <c r="S11" i="22"/>
  <c r="G11" i="22" s="1"/>
  <c r="H11" i="22" s="1"/>
  <c r="Q11" i="22" s="1"/>
  <c r="S11" i="21"/>
  <c r="G11" i="21" s="1"/>
  <c r="H11" i="21" s="1"/>
  <c r="Q11" i="21" s="1"/>
  <c r="S11" i="24"/>
  <c r="G11" i="24" s="1"/>
  <c r="H11" i="24" s="1"/>
  <c r="Q11" i="24" s="1"/>
  <c r="S11" i="23"/>
  <c r="G11" i="23" s="1"/>
  <c r="H11" i="23" s="1"/>
  <c r="Q11" i="23" s="1"/>
  <c r="S11" i="25"/>
  <c r="G11" i="25" s="1"/>
  <c r="H11" i="25" s="1"/>
  <c r="Q11" i="25" s="1"/>
  <c r="S11" i="20"/>
  <c r="G11" i="20" s="1"/>
  <c r="H11" i="20" s="1"/>
  <c r="Q11" i="20" s="1"/>
  <c r="AA11" i="24"/>
  <c r="AA11" i="20"/>
  <c r="AA11" i="22"/>
  <c r="AA11" i="21" l="1"/>
  <c r="AA11" i="23"/>
  <c r="AA11" i="25"/>
  <c r="F38" i="24"/>
  <c r="F12" i="26" l="1"/>
  <c r="J12" i="26"/>
  <c r="K12" i="26"/>
  <c r="L12" i="26"/>
  <c r="O12" i="26" s="1"/>
  <c r="M12" i="26"/>
  <c r="F12" i="23"/>
  <c r="J12" i="23"/>
  <c r="K12" i="23"/>
  <c r="L12" i="23"/>
  <c r="M12" i="23"/>
  <c r="O12" i="23"/>
  <c r="V6" i="23"/>
  <c r="F12" i="22"/>
  <c r="J12" i="22"/>
  <c r="K12" i="22"/>
  <c r="L12" i="22"/>
  <c r="M12" i="22"/>
  <c r="O12" i="22"/>
  <c r="V6" i="22"/>
  <c r="F12" i="25"/>
  <c r="J12" i="25"/>
  <c r="K12" i="25"/>
  <c r="L12" i="25"/>
  <c r="M12" i="25"/>
  <c r="O12" i="25"/>
  <c r="V6" i="25"/>
  <c r="F12" i="21"/>
  <c r="J12" i="21"/>
  <c r="K12" i="21"/>
  <c r="L12" i="21"/>
  <c r="O12" i="21" s="1"/>
  <c r="M12" i="21"/>
  <c r="V6" i="21"/>
  <c r="V6" i="20"/>
  <c r="F12" i="24"/>
  <c r="J12" i="24"/>
  <c r="K12" i="24"/>
  <c r="L12" i="24"/>
  <c r="O12" i="24" s="1"/>
  <c r="M12" i="24"/>
  <c r="J12" i="20"/>
  <c r="K12" i="20"/>
  <c r="L12" i="20"/>
  <c r="O12" i="20" s="1"/>
  <c r="M12" i="20"/>
  <c r="F12" i="20"/>
  <c r="V6" i="24"/>
  <c r="S12" i="22" l="1"/>
  <c r="G12" i="22" s="1"/>
  <c r="H12" i="22" s="1"/>
  <c r="Q12" i="22" s="1"/>
  <c r="S12" i="26"/>
  <c r="S12" i="23"/>
  <c r="G12" i="23" s="1"/>
  <c r="H12" i="23" s="1"/>
  <c r="Q12" i="23" s="1"/>
  <c r="S12" i="25"/>
  <c r="G12" i="25" s="1"/>
  <c r="H12" i="25" s="1"/>
  <c r="Q12" i="25" s="1"/>
  <c r="S12" i="21"/>
  <c r="S12" i="20"/>
  <c r="G12" i="20" s="1"/>
  <c r="H12" i="20" s="1"/>
  <c r="Q12" i="20" s="1"/>
  <c r="S12" i="24"/>
  <c r="AA12" i="20" l="1"/>
  <c r="AA12" i="22"/>
  <c r="AA12" i="26"/>
  <c r="G11" i="26"/>
  <c r="H11" i="26" s="1"/>
  <c r="Q11" i="26" s="1"/>
  <c r="AA12" i="24"/>
  <c r="G12" i="21"/>
  <c r="AA12" i="23"/>
  <c r="AA12" i="21"/>
  <c r="G12" i="24"/>
  <c r="AA12" i="25"/>
  <c r="F23" i="22"/>
  <c r="F23" i="24"/>
  <c r="H12" i="24" l="1"/>
  <c r="H12" i="21"/>
  <c r="F26" i="24"/>
  <c r="Q12" i="24" l="1"/>
  <c r="Q12" i="21"/>
  <c r="F38" i="26"/>
  <c r="M38" i="22"/>
  <c r="F35" i="22" l="1"/>
  <c r="F16" i="25" l="1"/>
  <c r="J19" i="21" l="1"/>
  <c r="F18" i="22"/>
  <c r="F20" i="22" l="1"/>
  <c r="F19" i="22"/>
  <c r="K31" i="23"/>
  <c r="K32" i="23"/>
  <c r="K33" i="23"/>
  <c r="K34" i="23"/>
  <c r="K35" i="23"/>
  <c r="K36" i="23"/>
  <c r="K37" i="23"/>
  <c r="K38" i="23"/>
  <c r="K39" i="23"/>
  <c r="K40" i="23"/>
  <c r="K41" i="23"/>
  <c r="F22" i="26" l="1"/>
  <c r="J14" i="26" l="1"/>
  <c r="F24" i="23" l="1"/>
  <c r="V6" i="26" l="1"/>
  <c r="F37" i="24" l="1"/>
  <c r="F39" i="24"/>
  <c r="F40" i="24"/>
  <c r="F41" i="24"/>
  <c r="F17" i="22" l="1"/>
  <c r="F27" i="20" l="1"/>
  <c r="M15" i="20" l="1"/>
  <c r="F13" i="20"/>
  <c r="F35" i="24" l="1"/>
  <c r="J16" i="25" l="1"/>
  <c r="K16" i="25"/>
  <c r="L16" i="25"/>
  <c r="O16" i="25" s="1"/>
  <c r="M16" i="25"/>
  <c r="J17" i="25"/>
  <c r="K17" i="25"/>
  <c r="L17" i="25"/>
  <c r="O17" i="25" s="1"/>
  <c r="M17" i="25"/>
  <c r="J18" i="25"/>
  <c r="K18" i="25"/>
  <c r="L18" i="25"/>
  <c r="O18" i="25" s="1"/>
  <c r="M18" i="25"/>
  <c r="J19" i="25"/>
  <c r="K19" i="25"/>
  <c r="L19" i="25"/>
  <c r="O19" i="25" s="1"/>
  <c r="M19" i="25"/>
  <c r="S17" i="25" l="1"/>
  <c r="S18" i="25"/>
  <c r="AA18" i="25" s="1"/>
  <c r="S19" i="25"/>
  <c r="AA19" i="25" s="1"/>
  <c r="S16" i="25"/>
  <c r="AA16" i="25" l="1"/>
  <c r="G16" i="25"/>
  <c r="AA17" i="25"/>
  <c r="G17" i="25"/>
  <c r="F17" i="25"/>
  <c r="F13" i="25"/>
  <c r="F14" i="25"/>
  <c r="F15" i="25"/>
  <c r="F19" i="25"/>
  <c r="H17" i="25" l="1"/>
  <c r="H16" i="25"/>
  <c r="F18" i="25"/>
  <c r="Q17" i="25" l="1"/>
  <c r="G41" i="26"/>
  <c r="F40" i="22" l="1"/>
  <c r="K37" i="22" l="1"/>
  <c r="K38" i="22"/>
  <c r="K39" i="22"/>
  <c r="L24" i="22" l="1"/>
  <c r="O24" i="22" s="1"/>
  <c r="L25" i="22"/>
  <c r="O25" i="22" s="1"/>
  <c r="L26" i="22"/>
  <c r="O26" i="22" s="1"/>
  <c r="K24" i="22"/>
  <c r="K25" i="22"/>
  <c r="K26" i="22"/>
  <c r="J23" i="22"/>
  <c r="J24" i="22"/>
  <c r="J25" i="22"/>
  <c r="J26" i="22"/>
  <c r="S25" i="22" l="1"/>
  <c r="G25" i="22" s="1"/>
  <c r="H25" i="22" s="1"/>
  <c r="S24" i="22"/>
  <c r="G24" i="22" s="1"/>
  <c r="H24" i="22" s="1"/>
  <c r="R40" i="26" l="1"/>
  <c r="R39" i="26" s="1"/>
  <c r="R38" i="26" s="1"/>
  <c r="R37" i="26" s="1"/>
  <c r="R36" i="26" s="1"/>
  <c r="R35" i="26" s="1"/>
  <c r="R34" i="26" s="1"/>
  <c r="R33" i="26" s="1"/>
  <c r="R32" i="26" s="1"/>
  <c r="R31" i="26" s="1"/>
  <c r="R30" i="26" s="1"/>
  <c r="R29" i="26" s="1"/>
  <c r="R28" i="26" s="1"/>
  <c r="R27" i="26" s="1"/>
  <c r="R26" i="26" s="1"/>
  <c r="R25" i="26" s="1"/>
  <c r="R24" i="26" s="1"/>
  <c r="R23" i="26" s="1"/>
  <c r="R22" i="26" s="1"/>
  <c r="R21" i="26" s="1"/>
  <c r="R20" i="26" s="1"/>
  <c r="R19" i="26" s="1"/>
  <c r="R18" i="26" s="1"/>
  <c r="R17" i="26" s="1"/>
  <c r="R16" i="26" s="1"/>
  <c r="R15" i="26" s="1"/>
  <c r="R14" i="26" s="1"/>
  <c r="R13" i="26" s="1"/>
  <c r="R12" i="26" s="1"/>
  <c r="R11" i="26" s="1"/>
  <c r="T11" i="26" s="1"/>
  <c r="T12" i="26" l="1"/>
  <c r="Q6" i="21"/>
  <c r="R40" i="23" l="1"/>
  <c r="R39" i="23" s="1"/>
  <c r="R38" i="23" s="1"/>
  <c r="R37" i="23" s="1"/>
  <c r="R36" i="23" s="1"/>
  <c r="R35" i="23" s="1"/>
  <c r="R34" i="23" s="1"/>
  <c r="R33" i="23" s="1"/>
  <c r="R32" i="23" s="1"/>
  <c r="R31" i="23" s="1"/>
  <c r="R30" i="23" s="1"/>
  <c r="R29" i="23" s="1"/>
  <c r="R28" i="23" s="1"/>
  <c r="R27" i="23" s="1"/>
  <c r="R26" i="23" s="1"/>
  <c r="R25" i="23" s="1"/>
  <c r="R24" i="23" s="1"/>
  <c r="R23" i="23" s="1"/>
  <c r="R22" i="23" s="1"/>
  <c r="R21" i="23" s="1"/>
  <c r="R20" i="23" s="1"/>
  <c r="R19" i="23" s="1"/>
  <c r="R18" i="23" s="1"/>
  <c r="R17" i="23" s="1"/>
  <c r="R16" i="23" s="1"/>
  <c r="R15" i="23" s="1"/>
  <c r="R14" i="23" s="1"/>
  <c r="R13" i="23" s="1"/>
  <c r="R12" i="23" s="1"/>
  <c r="R11" i="23" s="1"/>
  <c r="T11" i="23" s="1"/>
  <c r="T12" i="23" l="1"/>
  <c r="R40" i="20"/>
  <c r="R39" i="20" s="1"/>
  <c r="R38" i="20" s="1"/>
  <c r="R37" i="20" s="1"/>
  <c r="R36" i="20" s="1"/>
  <c r="R35" i="20" s="1"/>
  <c r="R34" i="20" s="1"/>
  <c r="R33" i="20" s="1"/>
  <c r="R32" i="20" s="1"/>
  <c r="R31" i="20" s="1"/>
  <c r="R30" i="20" s="1"/>
  <c r="R29" i="20" s="1"/>
  <c r="R28" i="20" s="1"/>
  <c r="R27" i="20" s="1"/>
  <c r="R26" i="20" s="1"/>
  <c r="R25" i="20" s="1"/>
  <c r="R24" i="20" s="1"/>
  <c r="R23" i="20" s="1"/>
  <c r="R22" i="20" s="1"/>
  <c r="R21" i="20" s="1"/>
  <c r="R20" i="20" s="1"/>
  <c r="R19" i="20" s="1"/>
  <c r="R18" i="20" s="1"/>
  <c r="R17" i="20" s="1"/>
  <c r="R16" i="20" s="1"/>
  <c r="R15" i="20" s="1"/>
  <c r="R14" i="20" s="1"/>
  <c r="R13" i="20" s="1"/>
  <c r="R12" i="20" s="1"/>
  <c r="R11" i="20" s="1"/>
  <c r="T11" i="20" s="1"/>
  <c r="N4" i="20"/>
  <c r="T12" i="20" l="1"/>
  <c r="F24" i="21"/>
  <c r="F24" i="22" l="1"/>
  <c r="F25" i="22"/>
  <c r="F26" i="22"/>
  <c r="F27" i="22"/>
  <c r="F14" i="26" l="1"/>
  <c r="Q6" i="22" l="1"/>
  <c r="J21" i="22" l="1"/>
  <c r="F27" i="23" l="1"/>
  <c r="F33" i="25" l="1"/>
  <c r="J31" i="22" l="1"/>
  <c r="X41" i="26" l="1"/>
  <c r="F28" i="26" l="1"/>
  <c r="F13" i="21" l="1"/>
  <c r="F14" i="21"/>
  <c r="F15" i="21"/>
  <c r="F16" i="21"/>
  <c r="F17" i="21"/>
  <c r="F18" i="21"/>
  <c r="F19" i="21"/>
  <c r="F20" i="21"/>
  <c r="F21" i="21"/>
  <c r="F22" i="21"/>
  <c r="F23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28" i="23" l="1"/>
  <c r="R40" i="25" l="1"/>
  <c r="R39" i="25" s="1"/>
  <c r="R38" i="25" s="1"/>
  <c r="R37" i="25" s="1"/>
  <c r="R36" i="25" s="1"/>
  <c r="R35" i="25" s="1"/>
  <c r="R34" i="25" s="1"/>
  <c r="R33" i="25" s="1"/>
  <c r="R32" i="25" s="1"/>
  <c r="R31" i="25" s="1"/>
  <c r="R30" i="25" s="1"/>
  <c r="R29" i="25" s="1"/>
  <c r="R28" i="25" s="1"/>
  <c r="R27" i="25" s="1"/>
  <c r="R26" i="25" s="1"/>
  <c r="R25" i="25" s="1"/>
  <c r="R24" i="25" s="1"/>
  <c r="R23" i="25" s="1"/>
  <c r="R22" i="25" s="1"/>
  <c r="R21" i="25" s="1"/>
  <c r="R20" i="25" s="1"/>
  <c r="R40" i="24"/>
  <c r="R39" i="24" s="1"/>
  <c r="R38" i="24" s="1"/>
  <c r="R37" i="24" s="1"/>
  <c r="R36" i="24" s="1"/>
  <c r="R35" i="24" s="1"/>
  <c r="R34" i="24" s="1"/>
  <c r="R33" i="24" s="1"/>
  <c r="R32" i="24" s="1"/>
  <c r="R31" i="24" s="1"/>
  <c r="R30" i="24" s="1"/>
  <c r="R29" i="24" s="1"/>
  <c r="R28" i="24" s="1"/>
  <c r="R27" i="24" s="1"/>
  <c r="R26" i="24" s="1"/>
  <c r="R25" i="24" s="1"/>
  <c r="R24" i="24" s="1"/>
  <c r="R23" i="24" s="1"/>
  <c r="R22" i="24" s="1"/>
  <c r="R21" i="24" s="1"/>
  <c r="R20" i="24" s="1"/>
  <c r="R19" i="24" s="1"/>
  <c r="R18" i="24" s="1"/>
  <c r="R17" i="24" s="1"/>
  <c r="R16" i="24" s="1"/>
  <c r="R15" i="24" s="1"/>
  <c r="R14" i="24" s="1"/>
  <c r="R13" i="24" s="1"/>
  <c r="R12" i="24" s="1"/>
  <c r="R11" i="24" s="1"/>
  <c r="T11" i="24" s="1"/>
  <c r="R40" i="22"/>
  <c r="R39" i="22" s="1"/>
  <c r="R38" i="22" s="1"/>
  <c r="R37" i="22" s="1"/>
  <c r="R36" i="22" s="1"/>
  <c r="R35" i="22" s="1"/>
  <c r="R34" i="22" s="1"/>
  <c r="R33" i="22" s="1"/>
  <c r="R32" i="22" s="1"/>
  <c r="R31" i="22" s="1"/>
  <c r="R30" i="22" s="1"/>
  <c r="R29" i="22" s="1"/>
  <c r="R28" i="22" s="1"/>
  <c r="R27" i="22" s="1"/>
  <c r="R26" i="22" s="1"/>
  <c r="R40" i="21"/>
  <c r="R39" i="21" s="1"/>
  <c r="R38" i="21" s="1"/>
  <c r="R37" i="21" s="1"/>
  <c r="R36" i="21" s="1"/>
  <c r="R35" i="21" s="1"/>
  <c r="R34" i="21" s="1"/>
  <c r="R33" i="21" s="1"/>
  <c r="R32" i="21" s="1"/>
  <c r="R31" i="21" s="1"/>
  <c r="R30" i="21" s="1"/>
  <c r="R29" i="21" s="1"/>
  <c r="R28" i="21" s="1"/>
  <c r="R27" i="21" s="1"/>
  <c r="R26" i="21" s="1"/>
  <c r="R25" i="21" s="1"/>
  <c r="R24" i="21" s="1"/>
  <c r="R23" i="21" s="1"/>
  <c r="R22" i="21" s="1"/>
  <c r="R21" i="21" s="1"/>
  <c r="R20" i="21" s="1"/>
  <c r="R19" i="21" s="1"/>
  <c r="R18" i="21" s="1"/>
  <c r="R17" i="21" s="1"/>
  <c r="R16" i="21" s="1"/>
  <c r="R15" i="21" s="1"/>
  <c r="R14" i="21" s="1"/>
  <c r="R13" i="21" s="1"/>
  <c r="R12" i="21" s="1"/>
  <c r="R11" i="21" s="1"/>
  <c r="T11" i="21" s="1"/>
  <c r="T12" i="21" l="1"/>
  <c r="T12" i="24"/>
  <c r="R19" i="25"/>
  <c r="R25" i="22"/>
  <c r="L22" i="22"/>
  <c r="F29" i="26"/>
  <c r="R18" i="25" l="1"/>
  <c r="T19" i="25"/>
  <c r="R24" i="22"/>
  <c r="T25" i="22"/>
  <c r="M37" i="20"/>
  <c r="M36" i="20"/>
  <c r="K37" i="20"/>
  <c r="J37" i="20"/>
  <c r="L37" i="20"/>
  <c r="R17" i="25" l="1"/>
  <c r="T18" i="25"/>
  <c r="R23" i="22"/>
  <c r="T24" i="22"/>
  <c r="F17" i="26"/>
  <c r="R16" i="25" l="1"/>
  <c r="T17" i="25"/>
  <c r="R22" i="22"/>
  <c r="R21" i="22" s="1"/>
  <c r="R20" i="22" s="1"/>
  <c r="R19" i="22" s="1"/>
  <c r="R18" i="22" s="1"/>
  <c r="R17" i="22" s="1"/>
  <c r="R16" i="22" s="1"/>
  <c r="R15" i="22" s="1"/>
  <c r="R14" i="22" s="1"/>
  <c r="R13" i="22" s="1"/>
  <c r="R12" i="22" s="1"/>
  <c r="R11" i="22" s="1"/>
  <c r="T11" i="22" s="1"/>
  <c r="O6" i="26"/>
  <c r="N41" i="26" s="1"/>
  <c r="O6" i="25"/>
  <c r="N41" i="25" s="1"/>
  <c r="O6" i="24"/>
  <c r="O6" i="23"/>
  <c r="O6" i="22"/>
  <c r="O6" i="21"/>
  <c r="N41" i="21" s="1"/>
  <c r="O6" i="20"/>
  <c r="N41" i="20" s="1"/>
  <c r="U41" i="24" l="1"/>
  <c r="T12" i="22"/>
  <c r="T16" i="25"/>
  <c r="R15" i="25"/>
  <c r="R14" i="25" s="1"/>
  <c r="R13" i="25" s="1"/>
  <c r="R12" i="25" s="1"/>
  <c r="R11" i="25" s="1"/>
  <c r="T11" i="25" s="1"/>
  <c r="F33" i="22"/>
  <c r="T12" i="25" l="1"/>
  <c r="F22" i="20"/>
  <c r="F28" i="25" l="1"/>
  <c r="J16" i="20" l="1"/>
  <c r="J16" i="23" l="1"/>
  <c r="J17" i="23"/>
  <c r="M41" i="26" l="1"/>
  <c r="L41" i="26"/>
  <c r="O41" i="26" s="1"/>
  <c r="V41" i="26" s="1"/>
  <c r="K41" i="26"/>
  <c r="H41" i="26" s="1"/>
  <c r="J41" i="26"/>
  <c r="F41" i="26"/>
  <c r="M40" i="26"/>
  <c r="L40" i="26"/>
  <c r="O40" i="26" s="1"/>
  <c r="K40" i="26"/>
  <c r="J40" i="26"/>
  <c r="F40" i="26"/>
  <c r="M39" i="26"/>
  <c r="L39" i="26"/>
  <c r="O39" i="26" s="1"/>
  <c r="K39" i="26"/>
  <c r="J39" i="26"/>
  <c r="F39" i="26"/>
  <c r="M38" i="26"/>
  <c r="L38" i="26"/>
  <c r="O38" i="26" s="1"/>
  <c r="K38" i="26"/>
  <c r="J38" i="26"/>
  <c r="M37" i="26"/>
  <c r="L37" i="26"/>
  <c r="O37" i="26" s="1"/>
  <c r="K37" i="26"/>
  <c r="J37" i="26"/>
  <c r="F37" i="26"/>
  <c r="M36" i="26"/>
  <c r="L36" i="26"/>
  <c r="O36" i="26" s="1"/>
  <c r="K36" i="26"/>
  <c r="J36" i="26"/>
  <c r="F36" i="26"/>
  <c r="M35" i="26"/>
  <c r="L35" i="26"/>
  <c r="O35" i="26" s="1"/>
  <c r="K35" i="26"/>
  <c r="J35" i="26"/>
  <c r="F35" i="26"/>
  <c r="M34" i="26"/>
  <c r="L34" i="26"/>
  <c r="O34" i="26" s="1"/>
  <c r="K34" i="26"/>
  <c r="J34" i="26"/>
  <c r="F34" i="26"/>
  <c r="M33" i="26"/>
  <c r="L33" i="26"/>
  <c r="O33" i="26" s="1"/>
  <c r="K33" i="26"/>
  <c r="J33" i="26"/>
  <c r="F33" i="26"/>
  <c r="M32" i="26"/>
  <c r="L32" i="26"/>
  <c r="O32" i="26" s="1"/>
  <c r="K32" i="26"/>
  <c r="J32" i="26"/>
  <c r="F32" i="26"/>
  <c r="M31" i="26"/>
  <c r="L31" i="26"/>
  <c r="O31" i="26" s="1"/>
  <c r="K31" i="26"/>
  <c r="J31" i="26"/>
  <c r="F31" i="26"/>
  <c r="M30" i="26"/>
  <c r="L30" i="26"/>
  <c r="O30" i="26" s="1"/>
  <c r="K30" i="26"/>
  <c r="J30" i="26"/>
  <c r="F30" i="26"/>
  <c r="M29" i="26"/>
  <c r="L29" i="26"/>
  <c r="O29" i="26" s="1"/>
  <c r="K29" i="26"/>
  <c r="J29" i="26"/>
  <c r="M28" i="26"/>
  <c r="L28" i="26"/>
  <c r="O28" i="26" s="1"/>
  <c r="K28" i="26"/>
  <c r="J28" i="26"/>
  <c r="M27" i="26"/>
  <c r="L27" i="26"/>
  <c r="O27" i="26" s="1"/>
  <c r="K27" i="26"/>
  <c r="J27" i="26"/>
  <c r="F27" i="26"/>
  <c r="M26" i="26"/>
  <c r="L26" i="26"/>
  <c r="O26" i="26" s="1"/>
  <c r="K26" i="26"/>
  <c r="J26" i="26"/>
  <c r="F26" i="26"/>
  <c r="M25" i="26"/>
  <c r="L25" i="26"/>
  <c r="O25" i="26" s="1"/>
  <c r="K25" i="26"/>
  <c r="J25" i="26"/>
  <c r="F25" i="26"/>
  <c r="M24" i="26"/>
  <c r="L24" i="26"/>
  <c r="O24" i="26" s="1"/>
  <c r="K24" i="26"/>
  <c r="J24" i="26"/>
  <c r="F24" i="26"/>
  <c r="M23" i="26"/>
  <c r="L23" i="26"/>
  <c r="O23" i="26" s="1"/>
  <c r="K23" i="26"/>
  <c r="J23" i="26"/>
  <c r="F23" i="26"/>
  <c r="M22" i="26"/>
  <c r="L22" i="26"/>
  <c r="O22" i="26" s="1"/>
  <c r="K22" i="26"/>
  <c r="J22" i="26"/>
  <c r="M21" i="26"/>
  <c r="L21" i="26"/>
  <c r="O21" i="26" s="1"/>
  <c r="K21" i="26"/>
  <c r="J21" i="26"/>
  <c r="F21" i="26"/>
  <c r="M20" i="26"/>
  <c r="L20" i="26"/>
  <c r="O20" i="26" s="1"/>
  <c r="K20" i="26"/>
  <c r="J20" i="26"/>
  <c r="F20" i="26"/>
  <c r="M19" i="26"/>
  <c r="L19" i="26"/>
  <c r="O19" i="26" s="1"/>
  <c r="K19" i="26"/>
  <c r="J19" i="26"/>
  <c r="F19" i="26"/>
  <c r="M18" i="26"/>
  <c r="L18" i="26"/>
  <c r="O18" i="26" s="1"/>
  <c r="K18" i="26"/>
  <c r="J18" i="26"/>
  <c r="F18" i="26"/>
  <c r="M17" i="26"/>
  <c r="L17" i="26"/>
  <c r="O17" i="26" s="1"/>
  <c r="K17" i="26"/>
  <c r="J17" i="26"/>
  <c r="M16" i="26"/>
  <c r="L16" i="26"/>
  <c r="O16" i="26" s="1"/>
  <c r="K16" i="26"/>
  <c r="J16" i="26"/>
  <c r="F16" i="26"/>
  <c r="M15" i="26"/>
  <c r="L15" i="26"/>
  <c r="O15" i="26" s="1"/>
  <c r="K15" i="26"/>
  <c r="J15" i="26"/>
  <c r="F15" i="26"/>
  <c r="M14" i="26"/>
  <c r="L14" i="26"/>
  <c r="O14" i="26" s="1"/>
  <c r="K14" i="26"/>
  <c r="M13" i="26"/>
  <c r="L13" i="26"/>
  <c r="O13" i="26" s="1"/>
  <c r="K13" i="26"/>
  <c r="J13" i="26"/>
  <c r="F13" i="26"/>
  <c r="Q6" i="26"/>
  <c r="U41" i="26"/>
  <c r="X41" i="25"/>
  <c r="M41" i="25"/>
  <c r="L41" i="25"/>
  <c r="O41" i="25" s="1"/>
  <c r="V41" i="25" s="1"/>
  <c r="K41" i="25"/>
  <c r="J41" i="25"/>
  <c r="F41" i="25"/>
  <c r="M40" i="25"/>
  <c r="L40" i="25"/>
  <c r="O40" i="25" s="1"/>
  <c r="K40" i="25"/>
  <c r="J40" i="25"/>
  <c r="F40" i="25"/>
  <c r="M39" i="25"/>
  <c r="L39" i="25"/>
  <c r="O39" i="25" s="1"/>
  <c r="K39" i="25"/>
  <c r="J39" i="25"/>
  <c r="F39" i="25"/>
  <c r="M38" i="25"/>
  <c r="L38" i="25"/>
  <c r="O38" i="25" s="1"/>
  <c r="K38" i="25"/>
  <c r="J38" i="25"/>
  <c r="F38" i="25"/>
  <c r="M37" i="25"/>
  <c r="L37" i="25"/>
  <c r="O37" i="25" s="1"/>
  <c r="K37" i="25"/>
  <c r="J37" i="25"/>
  <c r="F37" i="25"/>
  <c r="M36" i="25"/>
  <c r="L36" i="25"/>
  <c r="O36" i="25" s="1"/>
  <c r="K36" i="25"/>
  <c r="J36" i="25"/>
  <c r="F36" i="25"/>
  <c r="M35" i="25"/>
  <c r="L35" i="25"/>
  <c r="O35" i="25" s="1"/>
  <c r="K35" i="25"/>
  <c r="J35" i="25"/>
  <c r="F35" i="25"/>
  <c r="M34" i="25"/>
  <c r="L34" i="25"/>
  <c r="O34" i="25" s="1"/>
  <c r="K34" i="25"/>
  <c r="J34" i="25"/>
  <c r="F34" i="25"/>
  <c r="M33" i="25"/>
  <c r="L33" i="25"/>
  <c r="O33" i="25" s="1"/>
  <c r="K33" i="25"/>
  <c r="J33" i="25"/>
  <c r="M32" i="25"/>
  <c r="L32" i="25"/>
  <c r="O32" i="25" s="1"/>
  <c r="K32" i="25"/>
  <c r="J32" i="25"/>
  <c r="F32" i="25"/>
  <c r="M31" i="25"/>
  <c r="L31" i="25"/>
  <c r="O31" i="25" s="1"/>
  <c r="K31" i="25"/>
  <c r="J31" i="25"/>
  <c r="F31" i="25"/>
  <c r="M30" i="25"/>
  <c r="L30" i="25"/>
  <c r="O30" i="25" s="1"/>
  <c r="K30" i="25"/>
  <c r="J30" i="25"/>
  <c r="F30" i="25"/>
  <c r="M29" i="25"/>
  <c r="L29" i="25"/>
  <c r="O29" i="25" s="1"/>
  <c r="K29" i="25"/>
  <c r="J29" i="25"/>
  <c r="F29" i="25"/>
  <c r="M28" i="25"/>
  <c r="L28" i="25"/>
  <c r="O28" i="25" s="1"/>
  <c r="K28" i="25"/>
  <c r="J28" i="25"/>
  <c r="M27" i="25"/>
  <c r="L27" i="25"/>
  <c r="O27" i="25" s="1"/>
  <c r="K27" i="25"/>
  <c r="J27" i="25"/>
  <c r="F27" i="25"/>
  <c r="M26" i="25"/>
  <c r="L26" i="25"/>
  <c r="O26" i="25" s="1"/>
  <c r="K26" i="25"/>
  <c r="J26" i="25"/>
  <c r="F26" i="25"/>
  <c r="M25" i="25"/>
  <c r="L25" i="25"/>
  <c r="O25" i="25" s="1"/>
  <c r="K25" i="25"/>
  <c r="J25" i="25"/>
  <c r="F25" i="25"/>
  <c r="M24" i="25"/>
  <c r="L24" i="25"/>
  <c r="O24" i="25" s="1"/>
  <c r="K24" i="25"/>
  <c r="J24" i="25"/>
  <c r="F24" i="25"/>
  <c r="M23" i="25"/>
  <c r="L23" i="25"/>
  <c r="O23" i="25" s="1"/>
  <c r="K23" i="25"/>
  <c r="J23" i="25"/>
  <c r="F23" i="25"/>
  <c r="M22" i="25"/>
  <c r="L22" i="25"/>
  <c r="O22" i="25" s="1"/>
  <c r="K22" i="25"/>
  <c r="J22" i="25"/>
  <c r="F22" i="25"/>
  <c r="M21" i="25"/>
  <c r="L21" i="25"/>
  <c r="O21" i="25" s="1"/>
  <c r="K21" i="25"/>
  <c r="J21" i="25"/>
  <c r="F21" i="25"/>
  <c r="M20" i="25"/>
  <c r="L20" i="25"/>
  <c r="O20" i="25" s="1"/>
  <c r="K20" i="25"/>
  <c r="J20" i="25"/>
  <c r="F20" i="25"/>
  <c r="M15" i="25"/>
  <c r="L15" i="25"/>
  <c r="O15" i="25" s="1"/>
  <c r="K15" i="25"/>
  <c r="J15" i="25"/>
  <c r="M14" i="25"/>
  <c r="L14" i="25"/>
  <c r="O14" i="25" s="1"/>
  <c r="K14" i="25"/>
  <c r="J14" i="25"/>
  <c r="M13" i="25"/>
  <c r="L13" i="25"/>
  <c r="O13" i="25" s="1"/>
  <c r="K13" i="25"/>
  <c r="J13" i="25"/>
  <c r="Q6" i="25"/>
  <c r="L41" i="24"/>
  <c r="O41" i="24" s="1"/>
  <c r="V41" i="24" s="1"/>
  <c r="K41" i="24"/>
  <c r="J41" i="24"/>
  <c r="L40" i="24"/>
  <c r="O40" i="24" s="1"/>
  <c r="K40" i="24"/>
  <c r="J40" i="24"/>
  <c r="M39" i="24"/>
  <c r="L39" i="24"/>
  <c r="O39" i="24" s="1"/>
  <c r="K39" i="24"/>
  <c r="J39" i="24"/>
  <c r="M38" i="24"/>
  <c r="L38" i="24"/>
  <c r="O38" i="24" s="1"/>
  <c r="K38" i="24"/>
  <c r="J38" i="24"/>
  <c r="M37" i="24"/>
  <c r="L37" i="24"/>
  <c r="O37" i="24" s="1"/>
  <c r="K37" i="24"/>
  <c r="J37" i="24"/>
  <c r="M36" i="24"/>
  <c r="L36" i="24"/>
  <c r="O36" i="24" s="1"/>
  <c r="K36" i="24"/>
  <c r="J36" i="24"/>
  <c r="F36" i="24"/>
  <c r="M35" i="24"/>
  <c r="O35" i="24"/>
  <c r="K35" i="24"/>
  <c r="J35" i="24"/>
  <c r="M34" i="24"/>
  <c r="L34" i="24"/>
  <c r="O34" i="24" s="1"/>
  <c r="K34" i="24"/>
  <c r="J34" i="24"/>
  <c r="F34" i="24"/>
  <c r="M33" i="24"/>
  <c r="L33" i="24"/>
  <c r="O33" i="24" s="1"/>
  <c r="K33" i="24"/>
  <c r="J33" i="24"/>
  <c r="F33" i="24"/>
  <c r="M32" i="24"/>
  <c r="L32" i="24"/>
  <c r="O32" i="24" s="1"/>
  <c r="K32" i="24"/>
  <c r="J32" i="24"/>
  <c r="F32" i="24"/>
  <c r="M31" i="24"/>
  <c r="L31" i="24"/>
  <c r="O31" i="24" s="1"/>
  <c r="K31" i="24"/>
  <c r="J31" i="24"/>
  <c r="F31" i="24"/>
  <c r="M30" i="24"/>
  <c r="L30" i="24"/>
  <c r="O30" i="24" s="1"/>
  <c r="K30" i="24"/>
  <c r="J30" i="24"/>
  <c r="F30" i="24"/>
  <c r="M29" i="24"/>
  <c r="L29" i="24"/>
  <c r="O29" i="24" s="1"/>
  <c r="K29" i="24"/>
  <c r="J29" i="24"/>
  <c r="F29" i="24"/>
  <c r="M28" i="24"/>
  <c r="L28" i="24"/>
  <c r="O28" i="24" s="1"/>
  <c r="K28" i="24"/>
  <c r="J28" i="24"/>
  <c r="F28" i="24"/>
  <c r="M27" i="24"/>
  <c r="L27" i="24"/>
  <c r="O27" i="24" s="1"/>
  <c r="K27" i="24"/>
  <c r="J27" i="24"/>
  <c r="F27" i="24"/>
  <c r="M26" i="24"/>
  <c r="L26" i="24"/>
  <c r="O26" i="24" s="1"/>
  <c r="K26" i="24"/>
  <c r="J26" i="24"/>
  <c r="M25" i="24"/>
  <c r="L25" i="24"/>
  <c r="O25" i="24" s="1"/>
  <c r="K25" i="24"/>
  <c r="J25" i="24"/>
  <c r="F25" i="24"/>
  <c r="M24" i="24"/>
  <c r="L24" i="24"/>
  <c r="O24" i="24" s="1"/>
  <c r="K24" i="24"/>
  <c r="J24" i="24"/>
  <c r="F24" i="24"/>
  <c r="M23" i="24"/>
  <c r="L23" i="24"/>
  <c r="O23" i="24" s="1"/>
  <c r="K23" i="24"/>
  <c r="J23" i="24"/>
  <c r="M22" i="24"/>
  <c r="L22" i="24"/>
  <c r="O22" i="24" s="1"/>
  <c r="K22" i="24"/>
  <c r="J22" i="24"/>
  <c r="F22" i="24"/>
  <c r="M21" i="24"/>
  <c r="L21" i="24"/>
  <c r="O21" i="24" s="1"/>
  <c r="K21" i="24"/>
  <c r="J21" i="24"/>
  <c r="F21" i="24"/>
  <c r="M20" i="24"/>
  <c r="L20" i="24"/>
  <c r="O20" i="24" s="1"/>
  <c r="K20" i="24"/>
  <c r="J20" i="24"/>
  <c r="F20" i="24"/>
  <c r="M19" i="24"/>
  <c r="L19" i="24"/>
  <c r="O19" i="24" s="1"/>
  <c r="K19" i="24"/>
  <c r="J19" i="24"/>
  <c r="F19" i="24"/>
  <c r="M18" i="24"/>
  <c r="L18" i="24"/>
  <c r="O18" i="24" s="1"/>
  <c r="K18" i="24"/>
  <c r="J18" i="24"/>
  <c r="F18" i="24"/>
  <c r="M17" i="24"/>
  <c r="L17" i="24"/>
  <c r="O17" i="24" s="1"/>
  <c r="K17" i="24"/>
  <c r="J17" i="24"/>
  <c r="F17" i="24"/>
  <c r="M16" i="24"/>
  <c r="L16" i="24"/>
  <c r="O16" i="24" s="1"/>
  <c r="K16" i="24"/>
  <c r="J16" i="24"/>
  <c r="F16" i="24"/>
  <c r="M15" i="24"/>
  <c r="L15" i="24"/>
  <c r="O15" i="24" s="1"/>
  <c r="K15" i="24"/>
  <c r="J15" i="24"/>
  <c r="F15" i="24"/>
  <c r="M14" i="24"/>
  <c r="L14" i="24"/>
  <c r="O14" i="24" s="1"/>
  <c r="K14" i="24"/>
  <c r="J14" i="24"/>
  <c r="F14" i="24"/>
  <c r="M13" i="24"/>
  <c r="L13" i="24"/>
  <c r="O13" i="24" s="1"/>
  <c r="K13" i="24"/>
  <c r="J13" i="24"/>
  <c r="F13" i="24"/>
  <c r="Q6" i="24"/>
  <c r="M41" i="23"/>
  <c r="L41" i="23"/>
  <c r="O41" i="23" s="1"/>
  <c r="V41" i="23" s="1"/>
  <c r="J41" i="23"/>
  <c r="F41" i="23"/>
  <c r="M40" i="23"/>
  <c r="L40" i="23"/>
  <c r="O40" i="23" s="1"/>
  <c r="J40" i="23"/>
  <c r="F40" i="23"/>
  <c r="M39" i="23"/>
  <c r="L39" i="23"/>
  <c r="O39" i="23" s="1"/>
  <c r="J39" i="23"/>
  <c r="F39" i="23"/>
  <c r="M38" i="23"/>
  <c r="L38" i="23"/>
  <c r="O38" i="23" s="1"/>
  <c r="J38" i="23"/>
  <c r="F38" i="23"/>
  <c r="M37" i="23"/>
  <c r="L37" i="23"/>
  <c r="O37" i="23" s="1"/>
  <c r="J37" i="23"/>
  <c r="F37" i="23"/>
  <c r="M36" i="23"/>
  <c r="L36" i="23"/>
  <c r="O36" i="23" s="1"/>
  <c r="J36" i="23"/>
  <c r="F36" i="23"/>
  <c r="M35" i="23"/>
  <c r="L35" i="23"/>
  <c r="O35" i="23" s="1"/>
  <c r="J35" i="23"/>
  <c r="F35" i="23"/>
  <c r="M34" i="23"/>
  <c r="L34" i="23"/>
  <c r="O34" i="23" s="1"/>
  <c r="J34" i="23"/>
  <c r="F34" i="23"/>
  <c r="M33" i="23"/>
  <c r="L33" i="23"/>
  <c r="O33" i="23" s="1"/>
  <c r="J33" i="23"/>
  <c r="F33" i="23"/>
  <c r="M32" i="23"/>
  <c r="L32" i="23"/>
  <c r="O32" i="23" s="1"/>
  <c r="J32" i="23"/>
  <c r="F32" i="23"/>
  <c r="M31" i="23"/>
  <c r="L31" i="23"/>
  <c r="O31" i="23" s="1"/>
  <c r="J31" i="23"/>
  <c r="F31" i="23"/>
  <c r="M30" i="23"/>
  <c r="L30" i="23"/>
  <c r="O30" i="23" s="1"/>
  <c r="K30" i="23"/>
  <c r="J30" i="23"/>
  <c r="F30" i="23"/>
  <c r="M29" i="23"/>
  <c r="L29" i="23"/>
  <c r="O29" i="23" s="1"/>
  <c r="K29" i="23"/>
  <c r="J29" i="23"/>
  <c r="F29" i="23"/>
  <c r="M28" i="23"/>
  <c r="L28" i="23"/>
  <c r="O28" i="23" s="1"/>
  <c r="K28" i="23"/>
  <c r="J28" i="23"/>
  <c r="M27" i="23"/>
  <c r="L27" i="23"/>
  <c r="O27" i="23" s="1"/>
  <c r="K27" i="23"/>
  <c r="J27" i="23"/>
  <c r="M26" i="23"/>
  <c r="L26" i="23"/>
  <c r="O26" i="23" s="1"/>
  <c r="K26" i="23"/>
  <c r="J26" i="23"/>
  <c r="F26" i="23"/>
  <c r="M25" i="23"/>
  <c r="L25" i="23"/>
  <c r="O25" i="23" s="1"/>
  <c r="K25" i="23"/>
  <c r="J25" i="23"/>
  <c r="F25" i="23"/>
  <c r="M24" i="23"/>
  <c r="L24" i="23"/>
  <c r="O24" i="23" s="1"/>
  <c r="K24" i="23"/>
  <c r="J24" i="23"/>
  <c r="M23" i="23"/>
  <c r="L23" i="23"/>
  <c r="O23" i="23" s="1"/>
  <c r="K23" i="23"/>
  <c r="J23" i="23"/>
  <c r="F23" i="23"/>
  <c r="M22" i="23"/>
  <c r="L22" i="23"/>
  <c r="O22" i="23" s="1"/>
  <c r="K22" i="23"/>
  <c r="J22" i="23"/>
  <c r="F22" i="23"/>
  <c r="M21" i="23"/>
  <c r="L21" i="23"/>
  <c r="O21" i="23" s="1"/>
  <c r="K21" i="23"/>
  <c r="J21" i="23"/>
  <c r="F21" i="23"/>
  <c r="M20" i="23"/>
  <c r="L20" i="23"/>
  <c r="O20" i="23" s="1"/>
  <c r="K20" i="23"/>
  <c r="J20" i="23"/>
  <c r="F20" i="23"/>
  <c r="M19" i="23"/>
  <c r="L19" i="23"/>
  <c r="O19" i="23" s="1"/>
  <c r="K19" i="23"/>
  <c r="J19" i="23"/>
  <c r="F19" i="23"/>
  <c r="M18" i="23"/>
  <c r="L18" i="23"/>
  <c r="O18" i="23" s="1"/>
  <c r="K18" i="23"/>
  <c r="J18" i="23"/>
  <c r="F18" i="23"/>
  <c r="M17" i="23"/>
  <c r="L17" i="23"/>
  <c r="O17" i="23" s="1"/>
  <c r="K17" i="23"/>
  <c r="F17" i="23"/>
  <c r="M16" i="23"/>
  <c r="L16" i="23"/>
  <c r="O16" i="23" s="1"/>
  <c r="K16" i="23"/>
  <c r="F16" i="23"/>
  <c r="M15" i="23"/>
  <c r="L15" i="23"/>
  <c r="O15" i="23" s="1"/>
  <c r="K15" i="23"/>
  <c r="J15" i="23"/>
  <c r="F15" i="23"/>
  <c r="M14" i="23"/>
  <c r="L14" i="23"/>
  <c r="O14" i="23" s="1"/>
  <c r="K14" i="23"/>
  <c r="J14" i="23"/>
  <c r="F14" i="23"/>
  <c r="M13" i="23"/>
  <c r="L13" i="23"/>
  <c r="O13" i="23" s="1"/>
  <c r="K13" i="23"/>
  <c r="J13" i="23"/>
  <c r="F13" i="23"/>
  <c r="Q6" i="23"/>
  <c r="M41" i="22"/>
  <c r="L41" i="22"/>
  <c r="O41" i="22" s="1"/>
  <c r="V41" i="22" s="1"/>
  <c r="K41" i="22"/>
  <c r="J41" i="22"/>
  <c r="F41" i="22"/>
  <c r="M40" i="22"/>
  <c r="L40" i="22"/>
  <c r="O40" i="22" s="1"/>
  <c r="K40" i="22"/>
  <c r="J40" i="22"/>
  <c r="M39" i="22"/>
  <c r="L39" i="22"/>
  <c r="O39" i="22" s="1"/>
  <c r="J39" i="22"/>
  <c r="F39" i="22"/>
  <c r="L38" i="22"/>
  <c r="O38" i="22" s="1"/>
  <c r="J38" i="22"/>
  <c r="F38" i="22"/>
  <c r="M37" i="22"/>
  <c r="L37" i="22"/>
  <c r="O37" i="22" s="1"/>
  <c r="J37" i="22"/>
  <c r="F37" i="22"/>
  <c r="M36" i="22"/>
  <c r="L36" i="22"/>
  <c r="O36" i="22" s="1"/>
  <c r="K36" i="22"/>
  <c r="J36" i="22"/>
  <c r="F36" i="22"/>
  <c r="M35" i="22"/>
  <c r="L35" i="22"/>
  <c r="O35" i="22" s="1"/>
  <c r="K35" i="22"/>
  <c r="J35" i="22"/>
  <c r="M34" i="22"/>
  <c r="L34" i="22"/>
  <c r="O34" i="22" s="1"/>
  <c r="K34" i="22"/>
  <c r="J34" i="22"/>
  <c r="F34" i="22"/>
  <c r="M33" i="22"/>
  <c r="L33" i="22"/>
  <c r="O33" i="22" s="1"/>
  <c r="K33" i="22"/>
  <c r="J33" i="22"/>
  <c r="M32" i="22"/>
  <c r="L32" i="22"/>
  <c r="O32" i="22" s="1"/>
  <c r="K32" i="22"/>
  <c r="J32" i="22"/>
  <c r="F32" i="22"/>
  <c r="M31" i="22"/>
  <c r="L31" i="22"/>
  <c r="O31" i="22" s="1"/>
  <c r="K31" i="22"/>
  <c r="F31" i="22"/>
  <c r="M30" i="22"/>
  <c r="L30" i="22"/>
  <c r="O30" i="22" s="1"/>
  <c r="K30" i="22"/>
  <c r="J30" i="22"/>
  <c r="F30" i="22"/>
  <c r="M29" i="22"/>
  <c r="L29" i="22"/>
  <c r="O29" i="22" s="1"/>
  <c r="K29" i="22"/>
  <c r="J29" i="22"/>
  <c r="F29" i="22"/>
  <c r="M28" i="22"/>
  <c r="L28" i="22"/>
  <c r="O28" i="22" s="1"/>
  <c r="K28" i="22"/>
  <c r="J28" i="22"/>
  <c r="F28" i="22"/>
  <c r="M27" i="22"/>
  <c r="L27" i="22"/>
  <c r="O27" i="22" s="1"/>
  <c r="K27" i="22"/>
  <c r="J27" i="22"/>
  <c r="M26" i="22"/>
  <c r="M25" i="22"/>
  <c r="M24" i="22"/>
  <c r="M23" i="22"/>
  <c r="L23" i="22"/>
  <c r="O23" i="22" s="1"/>
  <c r="K23" i="22"/>
  <c r="M22" i="22"/>
  <c r="O22" i="22"/>
  <c r="K22" i="22"/>
  <c r="J22" i="22"/>
  <c r="F22" i="22"/>
  <c r="M21" i="22"/>
  <c r="L21" i="22"/>
  <c r="O21" i="22" s="1"/>
  <c r="K21" i="22"/>
  <c r="F21" i="22"/>
  <c r="M20" i="22"/>
  <c r="L20" i="22"/>
  <c r="O20" i="22" s="1"/>
  <c r="K20" i="22"/>
  <c r="J20" i="22"/>
  <c r="M19" i="22"/>
  <c r="L19" i="22"/>
  <c r="O19" i="22" s="1"/>
  <c r="K19" i="22"/>
  <c r="J19" i="22"/>
  <c r="M18" i="22"/>
  <c r="L18" i="22"/>
  <c r="O18" i="22" s="1"/>
  <c r="K18" i="22"/>
  <c r="J18" i="22"/>
  <c r="M17" i="22"/>
  <c r="L17" i="22"/>
  <c r="O17" i="22" s="1"/>
  <c r="K17" i="22"/>
  <c r="J17" i="22"/>
  <c r="M16" i="22"/>
  <c r="L16" i="22"/>
  <c r="O16" i="22" s="1"/>
  <c r="K16" i="22"/>
  <c r="J16" i="22"/>
  <c r="F16" i="22"/>
  <c r="M15" i="22"/>
  <c r="L15" i="22"/>
  <c r="O15" i="22" s="1"/>
  <c r="K15" i="22"/>
  <c r="J15" i="22"/>
  <c r="F15" i="22"/>
  <c r="M14" i="22"/>
  <c r="L14" i="22"/>
  <c r="O14" i="22" s="1"/>
  <c r="J14" i="22"/>
  <c r="M13" i="22"/>
  <c r="L13" i="22"/>
  <c r="O13" i="22" s="1"/>
  <c r="J13" i="22"/>
  <c r="F13" i="22"/>
  <c r="M41" i="21"/>
  <c r="L41" i="21"/>
  <c r="O41" i="21" s="1"/>
  <c r="V41" i="21" s="1"/>
  <c r="K41" i="21"/>
  <c r="J41" i="21"/>
  <c r="M40" i="21"/>
  <c r="L40" i="21"/>
  <c r="O40" i="21" s="1"/>
  <c r="K40" i="21"/>
  <c r="J40" i="21"/>
  <c r="M39" i="21"/>
  <c r="L39" i="21"/>
  <c r="O39" i="21" s="1"/>
  <c r="K39" i="21"/>
  <c r="J39" i="21"/>
  <c r="M38" i="21"/>
  <c r="L38" i="21"/>
  <c r="O38" i="21" s="1"/>
  <c r="K38" i="21"/>
  <c r="J38" i="21"/>
  <c r="M37" i="21"/>
  <c r="L37" i="21"/>
  <c r="O37" i="21" s="1"/>
  <c r="K37" i="21"/>
  <c r="J37" i="21"/>
  <c r="M36" i="21"/>
  <c r="L36" i="21"/>
  <c r="O36" i="21" s="1"/>
  <c r="K36" i="21"/>
  <c r="J36" i="21"/>
  <c r="M35" i="21"/>
  <c r="L35" i="21"/>
  <c r="O35" i="21" s="1"/>
  <c r="K35" i="21"/>
  <c r="J35" i="21"/>
  <c r="M34" i="21"/>
  <c r="L34" i="21"/>
  <c r="O34" i="21" s="1"/>
  <c r="K34" i="21"/>
  <c r="J34" i="21"/>
  <c r="M33" i="21"/>
  <c r="L33" i="21"/>
  <c r="O33" i="21" s="1"/>
  <c r="K33" i="21"/>
  <c r="J33" i="21"/>
  <c r="M32" i="21"/>
  <c r="L32" i="21"/>
  <c r="O32" i="21" s="1"/>
  <c r="K32" i="21"/>
  <c r="J32" i="21"/>
  <c r="M31" i="21"/>
  <c r="L31" i="21"/>
  <c r="O31" i="21" s="1"/>
  <c r="K31" i="21"/>
  <c r="J31" i="21"/>
  <c r="M30" i="21"/>
  <c r="L30" i="21"/>
  <c r="O30" i="21" s="1"/>
  <c r="K30" i="21"/>
  <c r="J30" i="21"/>
  <c r="M29" i="21"/>
  <c r="L29" i="21"/>
  <c r="O29" i="21" s="1"/>
  <c r="K29" i="21"/>
  <c r="J29" i="21"/>
  <c r="M28" i="21"/>
  <c r="L28" i="21"/>
  <c r="O28" i="21" s="1"/>
  <c r="K28" i="21"/>
  <c r="J28" i="21"/>
  <c r="M27" i="21"/>
  <c r="L27" i="21"/>
  <c r="O27" i="21" s="1"/>
  <c r="K27" i="21"/>
  <c r="J27" i="21"/>
  <c r="M26" i="21"/>
  <c r="L26" i="21"/>
  <c r="O26" i="21" s="1"/>
  <c r="K26" i="21"/>
  <c r="J26" i="21"/>
  <c r="M25" i="21"/>
  <c r="L25" i="21"/>
  <c r="O25" i="21" s="1"/>
  <c r="K25" i="21"/>
  <c r="J25" i="21"/>
  <c r="M24" i="21"/>
  <c r="L24" i="21"/>
  <c r="O24" i="21" s="1"/>
  <c r="K24" i="21"/>
  <c r="J24" i="21"/>
  <c r="M23" i="21"/>
  <c r="L23" i="21"/>
  <c r="O23" i="21" s="1"/>
  <c r="K23" i="21"/>
  <c r="J23" i="21"/>
  <c r="M22" i="21"/>
  <c r="L22" i="21"/>
  <c r="O22" i="21" s="1"/>
  <c r="K22" i="21"/>
  <c r="J22" i="21"/>
  <c r="M21" i="21"/>
  <c r="L21" i="21"/>
  <c r="O21" i="21" s="1"/>
  <c r="K21" i="21"/>
  <c r="J21" i="21"/>
  <c r="M20" i="21"/>
  <c r="L20" i="21"/>
  <c r="O20" i="21" s="1"/>
  <c r="K20" i="21"/>
  <c r="J20" i="21"/>
  <c r="M19" i="21"/>
  <c r="L19" i="21"/>
  <c r="O19" i="21" s="1"/>
  <c r="K19" i="21"/>
  <c r="M18" i="21"/>
  <c r="L18" i="21"/>
  <c r="O18" i="21" s="1"/>
  <c r="K18" i="21"/>
  <c r="J18" i="21"/>
  <c r="M17" i="21"/>
  <c r="L17" i="21"/>
  <c r="O17" i="21" s="1"/>
  <c r="K17" i="21"/>
  <c r="J17" i="21"/>
  <c r="M16" i="21"/>
  <c r="L16" i="21"/>
  <c r="K16" i="21"/>
  <c r="J16" i="21"/>
  <c r="M15" i="21"/>
  <c r="L15" i="21"/>
  <c r="O15" i="21" s="1"/>
  <c r="K15" i="21"/>
  <c r="J15" i="21"/>
  <c r="M14" i="21"/>
  <c r="L14" i="21"/>
  <c r="O14" i="21" s="1"/>
  <c r="K14" i="21"/>
  <c r="J14" i="21"/>
  <c r="M13" i="21"/>
  <c r="L13" i="21"/>
  <c r="O13" i="21" s="1"/>
  <c r="K13" i="21"/>
  <c r="J13" i="21"/>
  <c r="M42" i="23" l="1"/>
  <c r="M42" i="21"/>
  <c r="M42" i="22"/>
  <c r="M42" i="26"/>
  <c r="M42" i="25"/>
  <c r="S20" i="24"/>
  <c r="G20" i="24" s="1"/>
  <c r="S16" i="24"/>
  <c r="G16" i="24" s="1"/>
  <c r="S24" i="24"/>
  <c r="G24" i="24" s="1"/>
  <c r="S28" i="24"/>
  <c r="S13" i="24"/>
  <c r="G13" i="24" s="1"/>
  <c r="S17" i="24"/>
  <c r="G17" i="24" s="1"/>
  <c r="S21" i="24"/>
  <c r="G21" i="24" s="1"/>
  <c r="S25" i="24"/>
  <c r="G25" i="24" s="1"/>
  <c r="S29" i="24"/>
  <c r="G29" i="24" s="1"/>
  <c r="S14" i="24"/>
  <c r="G14" i="24" s="1"/>
  <c r="S18" i="24"/>
  <c r="G18" i="24" s="1"/>
  <c r="S22" i="24"/>
  <c r="G22" i="24" s="1"/>
  <c r="S26" i="24"/>
  <c r="G26" i="24" s="1"/>
  <c r="S15" i="24"/>
  <c r="G15" i="24" s="1"/>
  <c r="S19" i="24"/>
  <c r="S23" i="24"/>
  <c r="G23" i="24" s="1"/>
  <c r="S27" i="24"/>
  <c r="G27" i="24" s="1"/>
  <c r="S31" i="24"/>
  <c r="G31" i="24" s="1"/>
  <c r="S36" i="24"/>
  <c r="S37" i="24"/>
  <c r="G37" i="24" s="1"/>
  <c r="S38" i="24"/>
  <c r="G38" i="24" s="1"/>
  <c r="S39" i="24"/>
  <c r="G39" i="24" s="1"/>
  <c r="S40" i="24"/>
  <c r="G40" i="24" s="1"/>
  <c r="S41" i="24"/>
  <c r="G41" i="24" s="1"/>
  <c r="S32" i="24"/>
  <c r="S33" i="24"/>
  <c r="G33" i="24" s="1"/>
  <c r="S30" i="24"/>
  <c r="S34" i="24"/>
  <c r="G34" i="24" s="1"/>
  <c r="S35" i="24"/>
  <c r="G35" i="24" s="1"/>
  <c r="S23" i="22"/>
  <c r="G23" i="22" s="1"/>
  <c r="H23" i="22" s="1"/>
  <c r="S18" i="26"/>
  <c r="S17" i="23"/>
  <c r="G17" i="23" s="1"/>
  <c r="H17" i="23" s="1"/>
  <c r="S37" i="26"/>
  <c r="S39" i="23"/>
  <c r="G39" i="23" s="1"/>
  <c r="S19" i="26"/>
  <c r="S19" i="22"/>
  <c r="S31" i="23"/>
  <c r="G31" i="23" s="1"/>
  <c r="S33" i="25"/>
  <c r="G33" i="25" s="1"/>
  <c r="S33" i="21"/>
  <c r="G33" i="21" s="1"/>
  <c r="S34" i="22"/>
  <c r="G34" i="22" s="1"/>
  <c r="S36" i="21"/>
  <c r="S40" i="25"/>
  <c r="G40" i="25" s="1"/>
  <c r="H40" i="25" s="1"/>
  <c r="S40" i="21"/>
  <c r="G40" i="21" s="1"/>
  <c r="V40" i="26"/>
  <c r="V39" i="26" s="1"/>
  <c r="V38" i="26" s="1"/>
  <c r="V37" i="26" s="1"/>
  <c r="V36" i="26" s="1"/>
  <c r="V35" i="26" s="1"/>
  <c r="V34" i="26" s="1"/>
  <c r="V33" i="26" s="1"/>
  <c r="V32" i="26" s="1"/>
  <c r="V31" i="26" s="1"/>
  <c r="V30" i="26" s="1"/>
  <c r="V29" i="26" s="1"/>
  <c r="V28" i="26" s="1"/>
  <c r="V27" i="26" s="1"/>
  <c r="V26" i="26" s="1"/>
  <c r="V25" i="26" s="1"/>
  <c r="V24" i="26" s="1"/>
  <c r="V23" i="26" s="1"/>
  <c r="V22" i="26" s="1"/>
  <c r="V21" i="26" s="1"/>
  <c r="V20" i="26" s="1"/>
  <c r="V19" i="26" s="1"/>
  <c r="V18" i="26" s="1"/>
  <c r="V17" i="26" s="1"/>
  <c r="V16" i="26" s="1"/>
  <c r="V15" i="26" s="1"/>
  <c r="V14" i="26" s="1"/>
  <c r="V13" i="26" s="1"/>
  <c r="V12" i="26" s="1"/>
  <c r="V11" i="26" s="1"/>
  <c r="S27" i="26"/>
  <c r="G26" i="26" s="1"/>
  <c r="S41" i="26"/>
  <c r="G40" i="26" s="1"/>
  <c r="H40" i="26" s="1"/>
  <c r="S32" i="25"/>
  <c r="S36" i="23"/>
  <c r="G36" i="23" s="1"/>
  <c r="S34" i="23"/>
  <c r="S41" i="23"/>
  <c r="G41" i="23" s="1"/>
  <c r="H41" i="23" s="1"/>
  <c r="S35" i="22"/>
  <c r="G35" i="22" s="1"/>
  <c r="S40" i="22"/>
  <c r="G40" i="22" s="1"/>
  <c r="V40" i="22"/>
  <c r="V39" i="22" s="1"/>
  <c r="V38" i="22" s="1"/>
  <c r="V37" i="22" s="1"/>
  <c r="V36" i="22" s="1"/>
  <c r="V35" i="22" s="1"/>
  <c r="V34" i="22" s="1"/>
  <c r="V33" i="22" s="1"/>
  <c r="V32" i="22" s="1"/>
  <c r="V31" i="22" s="1"/>
  <c r="V30" i="22" s="1"/>
  <c r="V29" i="22" s="1"/>
  <c r="V28" i="22" s="1"/>
  <c r="V27" i="22" s="1"/>
  <c r="V26" i="22" s="1"/>
  <c r="V25" i="22" s="1"/>
  <c r="V24" i="22" s="1"/>
  <c r="V23" i="22" s="1"/>
  <c r="V22" i="22" s="1"/>
  <c r="V21" i="22" s="1"/>
  <c r="V20" i="22" s="1"/>
  <c r="V19" i="22" s="1"/>
  <c r="V18" i="22" s="1"/>
  <c r="V17" i="22" s="1"/>
  <c r="V16" i="22" s="1"/>
  <c r="V15" i="22" s="1"/>
  <c r="V14" i="22" s="1"/>
  <c r="V13" i="22" s="1"/>
  <c r="V12" i="22" s="1"/>
  <c r="V11" i="22" s="1"/>
  <c r="S36" i="22"/>
  <c r="S19" i="21"/>
  <c r="G19" i="21" s="1"/>
  <c r="S27" i="21"/>
  <c r="S37" i="21"/>
  <c r="G37" i="21" s="1"/>
  <c r="S13" i="21"/>
  <c r="G13" i="21" s="1"/>
  <c r="S35" i="21"/>
  <c r="G35" i="21" s="1"/>
  <c r="S14" i="23"/>
  <c r="G14" i="23" s="1"/>
  <c r="H14" i="23" s="1"/>
  <c r="S13" i="26"/>
  <c r="G12" i="26" s="1"/>
  <c r="H12" i="26" s="1"/>
  <c r="Q12" i="26" s="1"/>
  <c r="S13" i="25"/>
  <c r="S13" i="23"/>
  <c r="G13" i="23" s="1"/>
  <c r="H13" i="23" s="1"/>
  <c r="S14" i="26"/>
  <c r="S15" i="26"/>
  <c r="G14" i="26" s="1"/>
  <c r="S15" i="25"/>
  <c r="S16" i="23"/>
  <c r="G16" i="23" s="1"/>
  <c r="H16" i="23" s="1"/>
  <c r="S15" i="23"/>
  <c r="G15" i="23" s="1"/>
  <c r="H15" i="23" s="1"/>
  <c r="S15" i="22"/>
  <c r="G15" i="22" s="1"/>
  <c r="H15" i="22" s="1"/>
  <c r="S14" i="21"/>
  <c r="G14" i="21" s="1"/>
  <c r="S16" i="26"/>
  <c r="G15" i="26" s="1"/>
  <c r="S16" i="22"/>
  <c r="G16" i="22" s="1"/>
  <c r="H16" i="22" s="1"/>
  <c r="S16" i="21"/>
  <c r="G16" i="21" s="1"/>
  <c r="H16" i="21" s="1"/>
  <c r="S17" i="26"/>
  <c r="G16" i="26" s="1"/>
  <c r="S17" i="22"/>
  <c r="G17" i="22" s="1"/>
  <c r="H17" i="22" s="1"/>
  <c r="S17" i="21"/>
  <c r="G17" i="21" s="1"/>
  <c r="S20" i="22"/>
  <c r="S21" i="22"/>
  <c r="G21" i="22" s="1"/>
  <c r="S20" i="23"/>
  <c r="S20" i="26"/>
  <c r="G19" i="26" s="1"/>
  <c r="S18" i="22"/>
  <c r="G18" i="22" s="1"/>
  <c r="S18" i="21"/>
  <c r="S21" i="26"/>
  <c r="G20" i="26" s="1"/>
  <c r="S21" i="21"/>
  <c r="G21" i="21" s="1"/>
  <c r="S22" i="26"/>
  <c r="S22" i="25"/>
  <c r="G22" i="25" s="1"/>
  <c r="H22" i="25" s="1"/>
  <c r="S22" i="22"/>
  <c r="G22" i="22" s="1"/>
  <c r="H22" i="22" s="1"/>
  <c r="S24" i="26"/>
  <c r="G23" i="26" s="1"/>
  <c r="S23" i="25"/>
  <c r="G23" i="25" s="1"/>
  <c r="H23" i="25" s="1"/>
  <c r="S23" i="23"/>
  <c r="G23" i="23" s="1"/>
  <c r="S24" i="21"/>
  <c r="G24" i="21" s="1"/>
  <c r="H24" i="21" s="1"/>
  <c r="S23" i="21"/>
  <c r="G23" i="21" s="1"/>
  <c r="H23" i="21" s="1"/>
  <c r="S24" i="25"/>
  <c r="G24" i="25" s="1"/>
  <c r="H24" i="25" s="1"/>
  <c r="S25" i="26"/>
  <c r="G24" i="26" s="1"/>
  <c r="H24" i="26" s="1"/>
  <c r="S26" i="26"/>
  <c r="G25" i="26" s="1"/>
  <c r="H25" i="26" s="1"/>
  <c r="S27" i="25"/>
  <c r="G27" i="25" s="1"/>
  <c r="S28" i="25"/>
  <c r="S25" i="23"/>
  <c r="S26" i="23"/>
  <c r="G26" i="23" s="1"/>
  <c r="S28" i="22"/>
  <c r="G28" i="22" s="1"/>
  <c r="S28" i="21"/>
  <c r="S25" i="21"/>
  <c r="S29" i="26"/>
  <c r="S28" i="23"/>
  <c r="G28" i="23" s="1"/>
  <c r="S29" i="25"/>
  <c r="S29" i="22"/>
  <c r="G29" i="22" s="1"/>
  <c r="S29" i="21"/>
  <c r="G29" i="21" s="1"/>
  <c r="S32" i="26"/>
  <c r="S31" i="26"/>
  <c r="G30" i="26" s="1"/>
  <c r="S30" i="25"/>
  <c r="G30" i="25" s="1"/>
  <c r="S31" i="22"/>
  <c r="S32" i="21"/>
  <c r="S31" i="21"/>
  <c r="G31" i="21" s="1"/>
  <c r="H31" i="21" s="1"/>
  <c r="S30" i="21"/>
  <c r="G30" i="21" s="1"/>
  <c r="H30" i="21" s="1"/>
  <c r="S33" i="26"/>
  <c r="G32" i="26" s="1"/>
  <c r="H32" i="26" s="1"/>
  <c r="S35" i="26"/>
  <c r="G34" i="26" s="1"/>
  <c r="S38" i="26"/>
  <c r="G37" i="26" s="1"/>
  <c r="S40" i="26"/>
  <c r="G39" i="26" s="1"/>
  <c r="H39" i="26" s="1"/>
  <c r="S38" i="25"/>
  <c r="G38" i="25" s="1"/>
  <c r="H38" i="25" s="1"/>
  <c r="S34" i="25"/>
  <c r="S35" i="25"/>
  <c r="G35" i="25" s="1"/>
  <c r="H35" i="25" s="1"/>
  <c r="S39" i="25"/>
  <c r="G39" i="25" s="1"/>
  <c r="H39" i="25" s="1"/>
  <c r="S41" i="25"/>
  <c r="G41" i="25" s="1"/>
  <c r="S33" i="23"/>
  <c r="G33" i="23" s="1"/>
  <c r="S33" i="22"/>
  <c r="G33" i="22" s="1"/>
  <c r="S37" i="22"/>
  <c r="G37" i="22" s="1"/>
  <c r="S32" i="22"/>
  <c r="S39" i="22"/>
  <c r="S38" i="21"/>
  <c r="G38" i="21" s="1"/>
  <c r="V40" i="21"/>
  <c r="V39" i="21" s="1"/>
  <c r="V38" i="21" s="1"/>
  <c r="V37" i="21" s="1"/>
  <c r="V36" i="21" s="1"/>
  <c r="V35" i="21" s="1"/>
  <c r="V34" i="21" s="1"/>
  <c r="V33" i="21" s="1"/>
  <c r="V32" i="21" s="1"/>
  <c r="V31" i="21" s="1"/>
  <c r="V30" i="21" s="1"/>
  <c r="V29" i="21" s="1"/>
  <c r="V28" i="21" s="1"/>
  <c r="V27" i="21" s="1"/>
  <c r="V26" i="21" s="1"/>
  <c r="V25" i="21" s="1"/>
  <c r="V24" i="21" s="1"/>
  <c r="V23" i="21" s="1"/>
  <c r="V22" i="21" s="1"/>
  <c r="V21" i="21" s="1"/>
  <c r="V20" i="21" s="1"/>
  <c r="V19" i="21" s="1"/>
  <c r="V18" i="21" s="1"/>
  <c r="V17" i="21" s="1"/>
  <c r="N40" i="26"/>
  <c r="U40" i="26" s="1"/>
  <c r="S23" i="26"/>
  <c r="G22" i="26" s="1"/>
  <c r="S30" i="26"/>
  <c r="G29" i="26" s="1"/>
  <c r="H29" i="26" s="1"/>
  <c r="S28" i="26"/>
  <c r="S36" i="26"/>
  <c r="S39" i="26"/>
  <c r="G38" i="26" s="1"/>
  <c r="H38" i="26" s="1"/>
  <c r="W41" i="26"/>
  <c r="P41" i="26"/>
  <c r="S34" i="26"/>
  <c r="G33" i="26" s="1"/>
  <c r="H33" i="26" s="1"/>
  <c r="V40" i="25"/>
  <c r="V39" i="25" s="1"/>
  <c r="V38" i="25" s="1"/>
  <c r="V37" i="25" s="1"/>
  <c r="V36" i="25" s="1"/>
  <c r="V35" i="25" s="1"/>
  <c r="V34" i="25" s="1"/>
  <c r="V33" i="25" s="1"/>
  <c r="V32" i="25" s="1"/>
  <c r="V31" i="25" s="1"/>
  <c r="V30" i="25" s="1"/>
  <c r="V29" i="25" s="1"/>
  <c r="V28" i="25" s="1"/>
  <c r="V27" i="25" s="1"/>
  <c r="V26" i="25" s="1"/>
  <c r="V25" i="25" s="1"/>
  <c r="V24" i="25" s="1"/>
  <c r="V23" i="25" s="1"/>
  <c r="V22" i="25" s="1"/>
  <c r="V21" i="25" s="1"/>
  <c r="V20" i="25" s="1"/>
  <c r="N40" i="25"/>
  <c r="U41" i="25"/>
  <c r="P41" i="25"/>
  <c r="S14" i="25"/>
  <c r="G14" i="25" s="1"/>
  <c r="S31" i="25"/>
  <c r="G31" i="25" s="1"/>
  <c r="H31" i="25" s="1"/>
  <c r="S36" i="25"/>
  <c r="S20" i="25"/>
  <c r="S26" i="25"/>
  <c r="G26" i="25" s="1"/>
  <c r="H26" i="25" s="1"/>
  <c r="G19" i="25"/>
  <c r="S25" i="25"/>
  <c r="G25" i="25" s="1"/>
  <c r="H25" i="25" s="1"/>
  <c r="G18" i="25"/>
  <c r="X40" i="25"/>
  <c r="S21" i="25"/>
  <c r="G21" i="25" s="1"/>
  <c r="H21" i="25" s="1"/>
  <c r="S37" i="25"/>
  <c r="G37" i="25" s="1"/>
  <c r="V40" i="24"/>
  <c r="V39" i="24" s="1"/>
  <c r="V38" i="24" s="1"/>
  <c r="V37" i="24" s="1"/>
  <c r="V36" i="24" s="1"/>
  <c r="V35" i="24" s="1"/>
  <c r="V34" i="24" s="1"/>
  <c r="V33" i="24" s="1"/>
  <c r="V32" i="24" s="1"/>
  <c r="V31" i="24" s="1"/>
  <c r="V30" i="24" s="1"/>
  <c r="V29" i="24" s="1"/>
  <c r="V28" i="24" s="1"/>
  <c r="V27" i="24" s="1"/>
  <c r="V26" i="24" s="1"/>
  <c r="V25" i="24" s="1"/>
  <c r="V24" i="24" s="1"/>
  <c r="V23" i="24" s="1"/>
  <c r="V22" i="24" s="1"/>
  <c r="V21" i="24" s="1"/>
  <c r="V20" i="24" s="1"/>
  <c r="V19" i="24" s="1"/>
  <c r="V18" i="24" s="1"/>
  <c r="V17" i="24" s="1"/>
  <c r="V16" i="24" s="1"/>
  <c r="V15" i="24" s="1"/>
  <c r="V14" i="24" s="1"/>
  <c r="V13" i="24" s="1"/>
  <c r="V12" i="24" s="1"/>
  <c r="V11" i="24" s="1"/>
  <c r="P41" i="24"/>
  <c r="N40" i="24"/>
  <c r="X41" i="24"/>
  <c r="V40" i="23"/>
  <c r="V39" i="23" s="1"/>
  <c r="V38" i="23" s="1"/>
  <c r="V37" i="23" s="1"/>
  <c r="V36" i="23" s="1"/>
  <c r="V35" i="23" s="1"/>
  <c r="V34" i="23" s="1"/>
  <c r="V33" i="23" s="1"/>
  <c r="V32" i="23" s="1"/>
  <c r="V31" i="23" s="1"/>
  <c r="V30" i="23" s="1"/>
  <c r="V29" i="23" s="1"/>
  <c r="V28" i="23" s="1"/>
  <c r="V27" i="23" s="1"/>
  <c r="V26" i="23" s="1"/>
  <c r="V25" i="23" s="1"/>
  <c r="V24" i="23" s="1"/>
  <c r="V23" i="23" s="1"/>
  <c r="V22" i="23" s="1"/>
  <c r="V21" i="23" s="1"/>
  <c r="V20" i="23" s="1"/>
  <c r="V19" i="23" s="1"/>
  <c r="V18" i="23" s="1"/>
  <c r="V17" i="23" s="1"/>
  <c r="V16" i="23" s="1"/>
  <c r="V15" i="23" s="1"/>
  <c r="V14" i="23" s="1"/>
  <c r="V13" i="23" s="1"/>
  <c r="V12" i="23" s="1"/>
  <c r="V11" i="23" s="1"/>
  <c r="X41" i="23"/>
  <c r="X40" i="23" s="1"/>
  <c r="X39" i="23" s="1"/>
  <c r="U41" i="23"/>
  <c r="N40" i="23"/>
  <c r="P41" i="23"/>
  <c r="S19" i="23"/>
  <c r="S18" i="23"/>
  <c r="G18" i="23" s="1"/>
  <c r="H18" i="23" s="1"/>
  <c r="S24" i="23"/>
  <c r="G24" i="23" s="1"/>
  <c r="S32" i="23"/>
  <c r="S22" i="23"/>
  <c r="G22" i="23" s="1"/>
  <c r="S40" i="23"/>
  <c r="G40" i="23" s="1"/>
  <c r="H40" i="23" s="1"/>
  <c r="S21" i="23"/>
  <c r="G21" i="23" s="1"/>
  <c r="S29" i="23"/>
  <c r="G29" i="23" s="1"/>
  <c r="S30" i="23"/>
  <c r="G30" i="23" s="1"/>
  <c r="S37" i="23"/>
  <c r="G37" i="23" s="1"/>
  <c r="S38" i="23"/>
  <c r="G38" i="23" s="1"/>
  <c r="S27" i="23"/>
  <c r="S35" i="23"/>
  <c r="G35" i="23" s="1"/>
  <c r="S41" i="22"/>
  <c r="G41" i="22" s="1"/>
  <c r="P41" i="22"/>
  <c r="N40" i="22"/>
  <c r="U41" i="22"/>
  <c r="S27" i="22"/>
  <c r="S26" i="22"/>
  <c r="G26" i="22" s="1"/>
  <c r="S30" i="22"/>
  <c r="X41" i="22"/>
  <c r="S39" i="21"/>
  <c r="G39" i="21" s="1"/>
  <c r="S41" i="21"/>
  <c r="G41" i="21" s="1"/>
  <c r="O16" i="21"/>
  <c r="S15" i="21"/>
  <c r="G15" i="21" s="1"/>
  <c r="H15" i="21" s="1"/>
  <c r="S20" i="21"/>
  <c r="P41" i="21"/>
  <c r="U41" i="21"/>
  <c r="N40" i="21"/>
  <c r="S26" i="21"/>
  <c r="G26" i="21" s="1"/>
  <c r="X41" i="21"/>
  <c r="S22" i="21"/>
  <c r="G22" i="21" s="1"/>
  <c r="H22" i="21" s="1"/>
  <c r="S34" i="21"/>
  <c r="U41" i="20"/>
  <c r="Q6" i="20"/>
  <c r="J13" i="20"/>
  <c r="K13" i="20"/>
  <c r="L13" i="20"/>
  <c r="O13" i="20" s="1"/>
  <c r="M13" i="20"/>
  <c r="F14" i="20"/>
  <c r="J14" i="20"/>
  <c r="K14" i="20"/>
  <c r="L14" i="20"/>
  <c r="O14" i="20" s="1"/>
  <c r="M14" i="20"/>
  <c r="F15" i="20"/>
  <c r="J15" i="20"/>
  <c r="K15" i="20"/>
  <c r="L15" i="20"/>
  <c r="O15" i="20" s="1"/>
  <c r="F16" i="20"/>
  <c r="K16" i="20"/>
  <c r="L16" i="20"/>
  <c r="O16" i="20" s="1"/>
  <c r="M16" i="20"/>
  <c r="F17" i="20"/>
  <c r="J17" i="20"/>
  <c r="K17" i="20"/>
  <c r="L17" i="20"/>
  <c r="O17" i="20" s="1"/>
  <c r="M17" i="20"/>
  <c r="F18" i="20"/>
  <c r="J18" i="20"/>
  <c r="K18" i="20"/>
  <c r="L18" i="20"/>
  <c r="O18" i="20" s="1"/>
  <c r="M18" i="20"/>
  <c r="F19" i="20"/>
  <c r="J19" i="20"/>
  <c r="K19" i="20"/>
  <c r="L19" i="20"/>
  <c r="O19" i="20" s="1"/>
  <c r="M19" i="20"/>
  <c r="F20" i="20"/>
  <c r="J20" i="20"/>
  <c r="K20" i="20"/>
  <c r="L20" i="20"/>
  <c r="O20" i="20" s="1"/>
  <c r="M20" i="20"/>
  <c r="F21" i="20"/>
  <c r="J21" i="20"/>
  <c r="K21" i="20"/>
  <c r="L21" i="20"/>
  <c r="O21" i="20" s="1"/>
  <c r="M21" i="20"/>
  <c r="J22" i="20"/>
  <c r="K22" i="20"/>
  <c r="L22" i="20"/>
  <c r="O22" i="20" s="1"/>
  <c r="M22" i="20"/>
  <c r="F23" i="20"/>
  <c r="J23" i="20"/>
  <c r="K23" i="20"/>
  <c r="L23" i="20"/>
  <c r="O23" i="20" s="1"/>
  <c r="M23" i="20"/>
  <c r="F24" i="20"/>
  <c r="J24" i="20"/>
  <c r="K24" i="20"/>
  <c r="L24" i="20"/>
  <c r="O24" i="20" s="1"/>
  <c r="M24" i="20"/>
  <c r="F25" i="20"/>
  <c r="J25" i="20"/>
  <c r="K25" i="20"/>
  <c r="L25" i="20"/>
  <c r="O25" i="20" s="1"/>
  <c r="M25" i="20"/>
  <c r="F26" i="20"/>
  <c r="J26" i="20"/>
  <c r="K26" i="20"/>
  <c r="L26" i="20"/>
  <c r="O26" i="20" s="1"/>
  <c r="M26" i="20"/>
  <c r="J27" i="20"/>
  <c r="K27" i="20"/>
  <c r="L27" i="20"/>
  <c r="O27" i="20" s="1"/>
  <c r="M27" i="20"/>
  <c r="F28" i="20"/>
  <c r="J28" i="20"/>
  <c r="K28" i="20"/>
  <c r="L28" i="20"/>
  <c r="O28" i="20" s="1"/>
  <c r="M28" i="20"/>
  <c r="F29" i="20"/>
  <c r="J29" i="20"/>
  <c r="K29" i="20"/>
  <c r="L29" i="20"/>
  <c r="O29" i="20" s="1"/>
  <c r="M29" i="20"/>
  <c r="F30" i="20"/>
  <c r="J30" i="20"/>
  <c r="K30" i="20"/>
  <c r="L30" i="20"/>
  <c r="O30" i="20" s="1"/>
  <c r="M30" i="20"/>
  <c r="F31" i="20"/>
  <c r="J31" i="20"/>
  <c r="K31" i="20"/>
  <c r="L31" i="20"/>
  <c r="O31" i="20" s="1"/>
  <c r="M31" i="20"/>
  <c r="F32" i="20"/>
  <c r="J32" i="20"/>
  <c r="K32" i="20"/>
  <c r="L32" i="20"/>
  <c r="O32" i="20" s="1"/>
  <c r="M32" i="20"/>
  <c r="F33" i="20"/>
  <c r="J33" i="20"/>
  <c r="K33" i="20"/>
  <c r="L33" i="20"/>
  <c r="O33" i="20" s="1"/>
  <c r="M33" i="20"/>
  <c r="F34" i="20"/>
  <c r="J34" i="20"/>
  <c r="K34" i="20"/>
  <c r="L34" i="20"/>
  <c r="O34" i="20" s="1"/>
  <c r="M34" i="20"/>
  <c r="F35" i="20"/>
  <c r="J35" i="20"/>
  <c r="K35" i="20"/>
  <c r="L35" i="20"/>
  <c r="O35" i="20" s="1"/>
  <c r="M35" i="20"/>
  <c r="F36" i="20"/>
  <c r="J36" i="20"/>
  <c r="K36" i="20"/>
  <c r="L36" i="20"/>
  <c r="O36" i="20" s="1"/>
  <c r="F37" i="20"/>
  <c r="O37" i="20"/>
  <c r="F38" i="20"/>
  <c r="J38" i="20"/>
  <c r="K38" i="20"/>
  <c r="L38" i="20"/>
  <c r="O38" i="20" s="1"/>
  <c r="M38" i="20"/>
  <c r="F39" i="20"/>
  <c r="J39" i="20"/>
  <c r="K39" i="20"/>
  <c r="L39" i="20"/>
  <c r="O39" i="20" s="1"/>
  <c r="M39" i="20"/>
  <c r="F40" i="20"/>
  <c r="J40" i="20"/>
  <c r="K40" i="20"/>
  <c r="L40" i="20"/>
  <c r="O40" i="20" s="1"/>
  <c r="M40" i="20"/>
  <c r="F41" i="20"/>
  <c r="J41" i="20"/>
  <c r="K41" i="20"/>
  <c r="L41" i="20"/>
  <c r="O41" i="20" s="1"/>
  <c r="V41" i="20" s="1"/>
  <c r="M41" i="20"/>
  <c r="M42" i="20" l="1"/>
  <c r="H14" i="21"/>
  <c r="H13" i="21"/>
  <c r="H17" i="21"/>
  <c r="G18" i="21"/>
  <c r="H19" i="21"/>
  <c r="G13" i="25"/>
  <c r="H13" i="25" s="1"/>
  <c r="H16" i="26"/>
  <c r="H15" i="26"/>
  <c r="H19" i="26"/>
  <c r="H14" i="26"/>
  <c r="G27" i="23"/>
  <c r="H27" i="23" s="1"/>
  <c r="H28" i="22"/>
  <c r="H29" i="22"/>
  <c r="G27" i="22"/>
  <c r="H26" i="22"/>
  <c r="H29" i="21"/>
  <c r="G27" i="21"/>
  <c r="H39" i="23"/>
  <c r="Q39" i="23" s="1"/>
  <c r="H36" i="23"/>
  <c r="Q36" i="23" s="1"/>
  <c r="H35" i="23"/>
  <c r="G34" i="23"/>
  <c r="H35" i="21"/>
  <c r="G34" i="21"/>
  <c r="G34" i="25"/>
  <c r="H15" i="24"/>
  <c r="Q15" i="24" s="1"/>
  <c r="H16" i="24"/>
  <c r="H17" i="24"/>
  <c r="H18" i="24"/>
  <c r="Q18" i="24" s="1"/>
  <c r="H21" i="24"/>
  <c r="Q21" i="24" s="1"/>
  <c r="H22" i="24"/>
  <c r="Q22" i="24" s="1"/>
  <c r="H23" i="24"/>
  <c r="Q23" i="24" s="1"/>
  <c r="H24" i="24"/>
  <c r="Q24" i="24" s="1"/>
  <c r="H25" i="24"/>
  <c r="Q25" i="24" s="1"/>
  <c r="H26" i="24"/>
  <c r="H27" i="24"/>
  <c r="Q27" i="24" s="1"/>
  <c r="H34" i="24"/>
  <c r="H35" i="24"/>
  <c r="H14" i="24"/>
  <c r="Q14" i="24" s="1"/>
  <c r="H37" i="24"/>
  <c r="H38" i="24"/>
  <c r="H13" i="24"/>
  <c r="H39" i="24"/>
  <c r="H40" i="24"/>
  <c r="H41" i="24"/>
  <c r="H14" i="25"/>
  <c r="G18" i="26"/>
  <c r="H30" i="26"/>
  <c r="G31" i="26"/>
  <c r="G32" i="23"/>
  <c r="H32" i="23" s="1"/>
  <c r="G32" i="25"/>
  <c r="H33" i="25"/>
  <c r="H35" i="22"/>
  <c r="H34" i="22"/>
  <c r="G32" i="22"/>
  <c r="H33" i="22"/>
  <c r="H33" i="21"/>
  <c r="G32" i="21"/>
  <c r="G32" i="24"/>
  <c r="H33" i="24"/>
  <c r="G28" i="26"/>
  <c r="G29" i="25"/>
  <c r="H30" i="25"/>
  <c r="G30" i="22"/>
  <c r="H30" i="22" s="1"/>
  <c r="G30" i="24"/>
  <c r="H31" i="24"/>
  <c r="G31" i="22"/>
  <c r="G17" i="26"/>
  <c r="H22" i="23"/>
  <c r="Q22" i="23" s="1"/>
  <c r="G19" i="23"/>
  <c r="G19" i="24"/>
  <c r="H20" i="24"/>
  <c r="H18" i="22"/>
  <c r="G19" i="22"/>
  <c r="G20" i="23"/>
  <c r="H21" i="23"/>
  <c r="G20" i="22"/>
  <c r="H21" i="22"/>
  <c r="G25" i="23"/>
  <c r="H25" i="23" s="1"/>
  <c r="H26" i="21"/>
  <c r="G25" i="21"/>
  <c r="H37" i="23"/>
  <c r="H38" i="23"/>
  <c r="H21" i="21"/>
  <c r="G20" i="21"/>
  <c r="G20" i="25"/>
  <c r="H26" i="26"/>
  <c r="G27" i="26"/>
  <c r="G28" i="24"/>
  <c r="H29" i="24"/>
  <c r="G28" i="21"/>
  <c r="H27" i="25"/>
  <c r="G28" i="25"/>
  <c r="H37" i="26"/>
  <c r="G35" i="26"/>
  <c r="H34" i="26"/>
  <c r="G36" i="24"/>
  <c r="H37" i="25"/>
  <c r="G36" i="25"/>
  <c r="H37" i="22"/>
  <c r="G36" i="22"/>
  <c r="H41" i="21"/>
  <c r="H38" i="21"/>
  <c r="H39" i="21"/>
  <c r="H40" i="21"/>
  <c r="H37" i="21"/>
  <c r="G36" i="21"/>
  <c r="G36" i="26"/>
  <c r="H41" i="22"/>
  <c r="H40" i="22"/>
  <c r="G39" i="22"/>
  <c r="G15" i="25"/>
  <c r="V19" i="25"/>
  <c r="H18" i="25"/>
  <c r="H19" i="25"/>
  <c r="H23" i="23"/>
  <c r="Q23" i="23" s="1"/>
  <c r="H24" i="23"/>
  <c r="Q24" i="23" s="1"/>
  <c r="H30" i="23"/>
  <c r="H33" i="23"/>
  <c r="H31" i="23"/>
  <c r="Q31" i="23" s="1"/>
  <c r="H29" i="23"/>
  <c r="H28" i="23"/>
  <c r="H26" i="23"/>
  <c r="H41" i="25"/>
  <c r="G13" i="26"/>
  <c r="G21" i="26"/>
  <c r="H20" i="26"/>
  <c r="H22" i="26"/>
  <c r="H23" i="26"/>
  <c r="T23" i="22"/>
  <c r="Q26" i="25"/>
  <c r="Q31" i="25"/>
  <c r="Q35" i="25"/>
  <c r="Q38" i="25"/>
  <c r="Q39" i="25"/>
  <c r="T26" i="22"/>
  <c r="Q13" i="23"/>
  <c r="Q14" i="23"/>
  <c r="Q15" i="23"/>
  <c r="Q17" i="23"/>
  <c r="Q18" i="23"/>
  <c r="Q21" i="25"/>
  <c r="AA28" i="26"/>
  <c r="AA32" i="26"/>
  <c r="Y41" i="26"/>
  <c r="Y40" i="26" s="1"/>
  <c r="AA14" i="26"/>
  <c r="AA28" i="25"/>
  <c r="AA30" i="24"/>
  <c r="AA22" i="21"/>
  <c r="AA21" i="24"/>
  <c r="AA41" i="21"/>
  <c r="T41" i="22"/>
  <c r="T41" i="25"/>
  <c r="AA27" i="24"/>
  <c r="AA19" i="23"/>
  <c r="S27" i="20"/>
  <c r="G27" i="20" s="1"/>
  <c r="AA31" i="26"/>
  <c r="AA33" i="26"/>
  <c r="AA34" i="22"/>
  <c r="AA39" i="26"/>
  <c r="AA40" i="26"/>
  <c r="AA17" i="26"/>
  <c r="AA18" i="26"/>
  <c r="AA19" i="26"/>
  <c r="AA37" i="26"/>
  <c r="AA35" i="21"/>
  <c r="AA39" i="25"/>
  <c r="AA21" i="26"/>
  <c r="AA25" i="26"/>
  <c r="AA34" i="26"/>
  <c r="AA35" i="26"/>
  <c r="AA29" i="26"/>
  <c r="AA26" i="26"/>
  <c r="AA24" i="26"/>
  <c r="AA36" i="26"/>
  <c r="AA30" i="26"/>
  <c r="AA38" i="26"/>
  <c r="AA27" i="26"/>
  <c r="AA41" i="26"/>
  <c r="AA31" i="25"/>
  <c r="AA35" i="25"/>
  <c r="AA38" i="25"/>
  <c r="AA29" i="25"/>
  <c r="AA27" i="25"/>
  <c r="AA32" i="25"/>
  <c r="AA37" i="25"/>
  <c r="AA25" i="25"/>
  <c r="AA26" i="25"/>
  <c r="AA36" i="25"/>
  <c r="AA34" i="25"/>
  <c r="AA30" i="25"/>
  <c r="AA24" i="25"/>
  <c r="T40" i="25"/>
  <c r="AA40" i="25"/>
  <c r="AA33" i="25"/>
  <c r="AA41" i="25"/>
  <c r="AA38" i="24"/>
  <c r="AA35" i="24"/>
  <c r="AA32" i="24"/>
  <c r="AA28" i="24"/>
  <c r="AA24" i="24"/>
  <c r="AA37" i="24"/>
  <c r="AA36" i="24"/>
  <c r="AA39" i="24"/>
  <c r="AA33" i="24"/>
  <c r="AA31" i="24"/>
  <c r="AA29" i="24"/>
  <c r="AA25" i="24"/>
  <c r="AA34" i="24"/>
  <c r="AA26" i="24"/>
  <c r="AA35" i="23"/>
  <c r="AA38" i="23"/>
  <c r="AA30" i="23"/>
  <c r="AA24" i="23"/>
  <c r="AA25" i="23"/>
  <c r="AA34" i="23"/>
  <c r="AA31" i="23"/>
  <c r="AA39" i="23"/>
  <c r="AA27" i="23"/>
  <c r="AA37" i="23"/>
  <c r="AA29" i="23"/>
  <c r="AA40" i="23"/>
  <c r="AA32" i="23"/>
  <c r="AA33" i="23"/>
  <c r="AA28" i="23"/>
  <c r="AA26" i="23"/>
  <c r="AA36" i="23"/>
  <c r="AA41" i="23"/>
  <c r="AA30" i="22"/>
  <c r="AA27" i="22"/>
  <c r="AA32" i="22"/>
  <c r="AA33" i="22"/>
  <c r="AA31" i="22"/>
  <c r="AA28" i="22"/>
  <c r="AA24" i="22"/>
  <c r="AA35" i="22"/>
  <c r="AA26" i="22"/>
  <c r="AA25" i="22"/>
  <c r="AA39" i="22"/>
  <c r="AA37" i="22"/>
  <c r="AA29" i="22"/>
  <c r="AA36" i="22"/>
  <c r="AA40" i="22"/>
  <c r="AA41" i="22"/>
  <c r="AA34" i="21"/>
  <c r="AA30" i="21"/>
  <c r="AA32" i="21"/>
  <c r="AA28" i="21"/>
  <c r="AA24" i="21"/>
  <c r="AA27" i="21"/>
  <c r="AA36" i="21"/>
  <c r="AA26" i="21"/>
  <c r="AA39" i="21"/>
  <c r="AA38" i="21"/>
  <c r="AA31" i="21"/>
  <c r="AA29" i="21"/>
  <c r="AA25" i="21"/>
  <c r="AA37" i="21"/>
  <c r="AA40" i="21"/>
  <c r="AA33" i="21"/>
  <c r="AA13" i="26"/>
  <c r="AA14" i="25"/>
  <c r="AA13" i="25"/>
  <c r="AA13" i="24"/>
  <c r="AA14" i="24"/>
  <c r="AA13" i="23"/>
  <c r="AA14" i="23"/>
  <c r="AA15" i="26"/>
  <c r="AA15" i="25"/>
  <c r="AA15" i="24"/>
  <c r="AA15" i="23"/>
  <c r="AA15" i="22"/>
  <c r="AA16" i="26"/>
  <c r="AA14" i="21"/>
  <c r="AA13" i="21"/>
  <c r="AA16" i="24"/>
  <c r="AA17" i="24"/>
  <c r="AA18" i="24"/>
  <c r="AA16" i="23"/>
  <c r="AA17" i="23"/>
  <c r="AA18" i="23"/>
  <c r="AA16" i="22"/>
  <c r="AA17" i="22"/>
  <c r="AA18" i="22"/>
  <c r="AA15" i="21"/>
  <c r="AA16" i="21"/>
  <c r="AA17" i="21"/>
  <c r="AA18" i="21"/>
  <c r="AA19" i="24"/>
  <c r="AA19" i="22"/>
  <c r="AA19" i="21"/>
  <c r="AA20" i="26"/>
  <c r="AA20" i="25"/>
  <c r="AA20" i="24"/>
  <c r="AA20" i="23"/>
  <c r="AA20" i="22"/>
  <c r="AA20" i="21"/>
  <c r="AA21" i="25"/>
  <c r="AA21" i="23"/>
  <c r="AA21" i="22"/>
  <c r="AA21" i="21"/>
  <c r="AA23" i="26"/>
  <c r="AA22" i="26"/>
  <c r="AA23" i="25"/>
  <c r="AA22" i="25"/>
  <c r="AA23" i="24"/>
  <c r="AA22" i="24"/>
  <c r="AA22" i="23"/>
  <c r="AA23" i="23"/>
  <c r="AA23" i="22"/>
  <c r="AA22" i="22"/>
  <c r="AA23" i="21"/>
  <c r="S20" i="20"/>
  <c r="T39" i="23"/>
  <c r="P40" i="26"/>
  <c r="T40" i="22"/>
  <c r="T40" i="21"/>
  <c r="T40" i="26"/>
  <c r="Y41" i="24"/>
  <c r="T41" i="24"/>
  <c r="T40" i="23"/>
  <c r="T41" i="23"/>
  <c r="Y41" i="23"/>
  <c r="Y40" i="23" s="1"/>
  <c r="T41" i="26"/>
  <c r="T40" i="24"/>
  <c r="T38" i="23"/>
  <c r="S35" i="20"/>
  <c r="G35" i="20" s="1"/>
  <c r="S37" i="20"/>
  <c r="S41" i="20"/>
  <c r="G41" i="20" s="1"/>
  <c r="H41" i="20" s="1"/>
  <c r="S14" i="20"/>
  <c r="G14" i="20" s="1"/>
  <c r="H14" i="20" s="1"/>
  <c r="S16" i="20"/>
  <c r="G16" i="20" s="1"/>
  <c r="H16" i="20" s="1"/>
  <c r="S19" i="20"/>
  <c r="G19" i="20" s="1"/>
  <c r="H19" i="20" s="1"/>
  <c r="S21" i="20"/>
  <c r="S22" i="20"/>
  <c r="G22" i="20" s="1"/>
  <c r="S23" i="20"/>
  <c r="G23" i="20" s="1"/>
  <c r="S25" i="20"/>
  <c r="S28" i="20"/>
  <c r="S31" i="20"/>
  <c r="S32" i="20"/>
  <c r="Y41" i="25"/>
  <c r="Y41" i="22"/>
  <c r="Y40" i="22" s="1"/>
  <c r="Y41" i="21"/>
  <c r="Y40" i="21" s="1"/>
  <c r="S40" i="20"/>
  <c r="G40" i="20" s="1"/>
  <c r="H40" i="20" s="1"/>
  <c r="V40" i="20"/>
  <c r="V39" i="20" s="1"/>
  <c r="V38" i="20" s="1"/>
  <c r="V37" i="20" s="1"/>
  <c r="V36" i="20" s="1"/>
  <c r="V35" i="20" s="1"/>
  <c r="V34" i="20" s="1"/>
  <c r="V33" i="20" s="1"/>
  <c r="V32" i="20" s="1"/>
  <c r="V31" i="20" s="1"/>
  <c r="V30" i="20" s="1"/>
  <c r="V29" i="20" s="1"/>
  <c r="V28" i="20" s="1"/>
  <c r="V27" i="20" s="1"/>
  <c r="V26" i="20" s="1"/>
  <c r="V25" i="20" s="1"/>
  <c r="V24" i="20" s="1"/>
  <c r="V23" i="20" s="1"/>
  <c r="V22" i="20" s="1"/>
  <c r="V21" i="20" s="1"/>
  <c r="V20" i="20" s="1"/>
  <c r="V19" i="20" s="1"/>
  <c r="V18" i="20" s="1"/>
  <c r="V17" i="20" s="1"/>
  <c r="V16" i="20" s="1"/>
  <c r="V15" i="20" s="1"/>
  <c r="V14" i="20" s="1"/>
  <c r="V13" i="20" s="1"/>
  <c r="V12" i="20" s="1"/>
  <c r="V11" i="20" s="1"/>
  <c r="S36" i="20"/>
  <c r="G36" i="20" s="1"/>
  <c r="S34" i="20"/>
  <c r="N39" i="26"/>
  <c r="U39" i="26" s="1"/>
  <c r="W40" i="26"/>
  <c r="X40" i="26"/>
  <c r="T39" i="26"/>
  <c r="T39" i="25"/>
  <c r="X39" i="25"/>
  <c r="W41" i="25"/>
  <c r="U40" i="25"/>
  <c r="P40" i="25"/>
  <c r="N39" i="25"/>
  <c r="N39" i="24"/>
  <c r="P40" i="24"/>
  <c r="T39" i="24"/>
  <c r="U40" i="24"/>
  <c r="W41" i="24"/>
  <c r="X40" i="24"/>
  <c r="T37" i="23"/>
  <c r="X38" i="23"/>
  <c r="P40" i="23"/>
  <c r="N39" i="23"/>
  <c r="T36" i="23"/>
  <c r="W41" i="23"/>
  <c r="U40" i="23"/>
  <c r="U40" i="22"/>
  <c r="W41" i="22"/>
  <c r="X40" i="22"/>
  <c r="N39" i="22"/>
  <c r="P40" i="22"/>
  <c r="T39" i="22"/>
  <c r="T41" i="21"/>
  <c r="N39" i="21"/>
  <c r="P40" i="21"/>
  <c r="U40" i="21"/>
  <c r="W41" i="21"/>
  <c r="V16" i="21"/>
  <c r="V15" i="21" s="1"/>
  <c r="V14" i="21" s="1"/>
  <c r="V13" i="21" s="1"/>
  <c r="V12" i="21" s="1"/>
  <c r="V11" i="21" s="1"/>
  <c r="T39" i="21"/>
  <c r="X40" i="21"/>
  <c r="N40" i="20"/>
  <c r="N39" i="20" s="1"/>
  <c r="N38" i="20" s="1"/>
  <c r="P38" i="20" s="1"/>
  <c r="W41" i="20"/>
  <c r="X41" i="20"/>
  <c r="S24" i="20"/>
  <c r="G24" i="20" s="1"/>
  <c r="S18" i="20"/>
  <c r="G18" i="20" s="1"/>
  <c r="H18" i="20" s="1"/>
  <c r="S15" i="20"/>
  <c r="G15" i="20" s="1"/>
  <c r="H15" i="20" s="1"/>
  <c r="S39" i="20"/>
  <c r="G39" i="20" s="1"/>
  <c r="S38" i="20"/>
  <c r="G38" i="20" s="1"/>
  <c r="P41" i="20"/>
  <c r="S30" i="20"/>
  <c r="G30" i="20" s="1"/>
  <c r="S26" i="20"/>
  <c r="G26" i="20" s="1"/>
  <c r="S33" i="20"/>
  <c r="G33" i="20" s="1"/>
  <c r="S17" i="20"/>
  <c r="G17" i="20" s="1"/>
  <c r="H17" i="20" s="1"/>
  <c r="S29" i="20"/>
  <c r="G29" i="20" s="1"/>
  <c r="S13" i="20"/>
  <c r="G13" i="20" s="1"/>
  <c r="H24" i="20" l="1"/>
  <c r="G21" i="20"/>
  <c r="H39" i="20"/>
  <c r="Q39" i="20" s="1"/>
  <c r="H18" i="21"/>
  <c r="Q18" i="21" s="1"/>
  <c r="H15" i="25"/>
  <c r="H27" i="22"/>
  <c r="Q29" i="21"/>
  <c r="H27" i="21"/>
  <c r="Q27" i="21" s="1"/>
  <c r="H34" i="23"/>
  <c r="Q38" i="23"/>
  <c r="Q37" i="23"/>
  <c r="Q35" i="23"/>
  <c r="H34" i="21"/>
  <c r="H38" i="20"/>
  <c r="H35" i="20"/>
  <c r="G34" i="20"/>
  <c r="H34" i="25"/>
  <c r="Q34" i="25" s="1"/>
  <c r="Q38" i="24"/>
  <c r="Q35" i="24"/>
  <c r="Q34" i="24"/>
  <c r="Q26" i="24"/>
  <c r="Q16" i="24"/>
  <c r="Q17" i="24"/>
  <c r="Q29" i="24"/>
  <c r="Q39" i="24"/>
  <c r="H17" i="26"/>
  <c r="H18" i="26"/>
  <c r="H31" i="26"/>
  <c r="Q33" i="23"/>
  <c r="Q32" i="23"/>
  <c r="H32" i="25"/>
  <c r="Q32" i="25" s="1"/>
  <c r="H32" i="22"/>
  <c r="H32" i="21"/>
  <c r="G32" i="20"/>
  <c r="H33" i="20"/>
  <c r="Q33" i="24"/>
  <c r="H32" i="24"/>
  <c r="H28" i="26"/>
  <c r="H29" i="25"/>
  <c r="Q31" i="24"/>
  <c r="H30" i="24"/>
  <c r="H31" i="22"/>
  <c r="G31" i="20"/>
  <c r="H13" i="20"/>
  <c r="H19" i="23"/>
  <c r="Q20" i="24"/>
  <c r="H19" i="24"/>
  <c r="H19" i="22"/>
  <c r="H20" i="23"/>
  <c r="H20" i="22"/>
  <c r="H22" i="20"/>
  <c r="H23" i="20"/>
  <c r="H27" i="20"/>
  <c r="H26" i="20"/>
  <c r="G25" i="20"/>
  <c r="H25" i="21"/>
  <c r="Q25" i="21" s="1"/>
  <c r="G20" i="20"/>
  <c r="H20" i="21"/>
  <c r="H20" i="25"/>
  <c r="H27" i="26"/>
  <c r="H30" i="20"/>
  <c r="H29" i="20"/>
  <c r="G28" i="20"/>
  <c r="H28" i="24"/>
  <c r="H28" i="21"/>
  <c r="H28" i="25"/>
  <c r="H36" i="26"/>
  <c r="H35" i="26"/>
  <c r="Q37" i="24"/>
  <c r="H36" i="24"/>
  <c r="H36" i="25"/>
  <c r="Q36" i="25" s="1"/>
  <c r="H36" i="22"/>
  <c r="H36" i="21"/>
  <c r="H39" i="22"/>
  <c r="V18" i="25"/>
  <c r="Q16" i="25"/>
  <c r="Q19" i="25"/>
  <c r="Q18" i="25"/>
  <c r="Q25" i="23"/>
  <c r="Q26" i="23"/>
  <c r="Q24" i="25"/>
  <c r="Q37" i="25"/>
  <c r="Q33" i="25"/>
  <c r="Q25" i="25"/>
  <c r="G37" i="20"/>
  <c r="H36" i="20"/>
  <c r="H13" i="26"/>
  <c r="H21" i="26"/>
  <c r="Q17" i="20"/>
  <c r="Q18" i="20"/>
  <c r="Q19" i="20"/>
  <c r="Q14" i="20"/>
  <c r="Q15" i="20"/>
  <c r="Q16" i="20"/>
  <c r="Q16" i="23"/>
  <c r="Q14" i="25"/>
  <c r="Q13" i="25"/>
  <c r="Q21" i="23"/>
  <c r="Z41" i="26"/>
  <c r="AA25" i="20"/>
  <c r="AA41" i="20"/>
  <c r="AA30" i="20"/>
  <c r="AA32" i="20"/>
  <c r="AA20" i="20"/>
  <c r="AA31" i="20"/>
  <c r="Y39" i="23"/>
  <c r="Y38" i="23" s="1"/>
  <c r="Y39" i="21"/>
  <c r="Y38" i="21" s="1"/>
  <c r="T28" i="20"/>
  <c r="AA36" i="20"/>
  <c r="Q37" i="21"/>
  <c r="Q26" i="21"/>
  <c r="AA33" i="20"/>
  <c r="AA34" i="20"/>
  <c r="Q22" i="21"/>
  <c r="Q35" i="21"/>
  <c r="AA35" i="20"/>
  <c r="AA37" i="20"/>
  <c r="AA38" i="20"/>
  <c r="Y39" i="22"/>
  <c r="AA39" i="20"/>
  <c r="Q14" i="21"/>
  <c r="AA14" i="20"/>
  <c r="Q41" i="23"/>
  <c r="AA24" i="20"/>
  <c r="AA28" i="20"/>
  <c r="AA27" i="20"/>
  <c r="AA26" i="20"/>
  <c r="AA29" i="20"/>
  <c r="AA40" i="20"/>
  <c r="AA13" i="20"/>
  <c r="AA15" i="20"/>
  <c r="AA16" i="20"/>
  <c r="AA17" i="20"/>
  <c r="AA18" i="20"/>
  <c r="AA19" i="20"/>
  <c r="AA21" i="20"/>
  <c r="AA23" i="20"/>
  <c r="AA22" i="20"/>
  <c r="Y39" i="26"/>
  <c r="Y40" i="24"/>
  <c r="Z41" i="22"/>
  <c r="T41" i="20"/>
  <c r="Y41" i="20"/>
  <c r="Z41" i="24"/>
  <c r="Z41" i="23"/>
  <c r="Z40" i="23"/>
  <c r="N38" i="26"/>
  <c r="U38" i="26" s="1"/>
  <c r="P39" i="26"/>
  <c r="P40" i="20"/>
  <c r="U40" i="20"/>
  <c r="U39" i="20" s="1"/>
  <c r="Y40" i="25"/>
  <c r="Z41" i="25"/>
  <c r="Z41" i="21"/>
  <c r="W39" i="26"/>
  <c r="T38" i="26"/>
  <c r="Z40" i="26"/>
  <c r="X39" i="26"/>
  <c r="N38" i="25"/>
  <c r="P39" i="25"/>
  <c r="X38" i="25"/>
  <c r="T38" i="25"/>
  <c r="U39" i="25"/>
  <c r="W40" i="25"/>
  <c r="U39" i="24"/>
  <c r="W40" i="24"/>
  <c r="X39" i="24"/>
  <c r="T38" i="24"/>
  <c r="N38" i="24"/>
  <c r="P39" i="24"/>
  <c r="N38" i="23"/>
  <c r="P39" i="23"/>
  <c r="T35" i="23"/>
  <c r="U39" i="23"/>
  <c r="W40" i="23"/>
  <c r="X37" i="23"/>
  <c r="Z40" i="22"/>
  <c r="X39" i="22"/>
  <c r="P39" i="22"/>
  <c r="N38" i="22"/>
  <c r="U39" i="22"/>
  <c r="W40" i="22"/>
  <c r="Z40" i="21"/>
  <c r="X39" i="21"/>
  <c r="U39" i="21"/>
  <c r="W40" i="21"/>
  <c r="T38" i="21"/>
  <c r="N38" i="21"/>
  <c r="P39" i="21"/>
  <c r="N37" i="20"/>
  <c r="N36" i="20" s="1"/>
  <c r="P39" i="20"/>
  <c r="T40" i="20"/>
  <c r="X40" i="20"/>
  <c r="Q24" i="20" l="1"/>
  <c r="H21" i="20"/>
  <c r="Q23" i="20"/>
  <c r="Q38" i="20"/>
  <c r="H31" i="20"/>
  <c r="Q35" i="20"/>
  <c r="Q34" i="23"/>
  <c r="Q15" i="25"/>
  <c r="Q23" i="25"/>
  <c r="H34" i="20"/>
  <c r="Q33" i="20"/>
  <c r="H32" i="20"/>
  <c r="Q32" i="24"/>
  <c r="Q30" i="24"/>
  <c r="Q19" i="23"/>
  <c r="Q19" i="24"/>
  <c r="Q20" i="23"/>
  <c r="H25" i="20"/>
  <c r="Q26" i="20"/>
  <c r="H20" i="20"/>
  <c r="Q20" i="25"/>
  <c r="H28" i="20"/>
  <c r="Q28" i="24"/>
  <c r="Q28" i="21"/>
  <c r="Q36" i="24"/>
  <c r="V17" i="25"/>
  <c r="Q22" i="25"/>
  <c r="Q36" i="20"/>
  <c r="H37" i="20"/>
  <c r="Q13" i="24"/>
  <c r="Q27" i="25"/>
  <c r="Q28" i="25"/>
  <c r="Q30" i="25"/>
  <c r="Q29" i="25"/>
  <c r="Q29" i="23"/>
  <c r="Q30" i="23"/>
  <c r="Q28" i="23"/>
  <c r="Q27" i="23"/>
  <c r="Q22" i="20"/>
  <c r="Y37" i="23"/>
  <c r="Y36" i="23" s="1"/>
  <c r="Q30" i="21"/>
  <c r="Z39" i="23"/>
  <c r="Q38" i="21"/>
  <c r="Q40" i="20"/>
  <c r="Q36" i="21"/>
  <c r="Q31" i="21"/>
  <c r="Q32" i="21"/>
  <c r="Q15" i="21"/>
  <c r="Q16" i="21"/>
  <c r="Q17" i="21"/>
  <c r="Q19" i="21"/>
  <c r="Q21" i="21"/>
  <c r="Q20" i="21"/>
  <c r="Q33" i="21"/>
  <c r="Q34" i="21"/>
  <c r="Y37" i="21"/>
  <c r="Z38" i="23"/>
  <c r="Q13" i="21"/>
  <c r="Q33" i="26"/>
  <c r="Q34" i="26"/>
  <c r="Q28" i="26"/>
  <c r="Q25" i="26"/>
  <c r="Q23" i="26"/>
  <c r="Q35" i="26"/>
  <c r="Q29" i="26"/>
  <c r="Q37" i="26"/>
  <c r="Q26" i="26"/>
  <c r="Q14" i="26"/>
  <c r="Q15" i="26"/>
  <c r="Q17" i="26"/>
  <c r="Q36" i="26"/>
  <c r="Q20" i="26"/>
  <c r="Q39" i="26"/>
  <c r="Q24" i="26"/>
  <c r="Q18" i="26"/>
  <c r="Q31" i="26"/>
  <c r="Q19" i="26"/>
  <c r="Q22" i="26"/>
  <c r="Q21" i="26"/>
  <c r="Q27" i="26"/>
  <c r="Q38" i="26"/>
  <c r="Q13" i="26"/>
  <c r="Q30" i="26"/>
  <c r="Q32" i="26"/>
  <c r="Q16" i="26"/>
  <c r="Q40" i="26"/>
  <c r="Q41" i="25"/>
  <c r="Q40" i="25"/>
  <c r="Q41" i="24"/>
  <c r="Q40" i="24"/>
  <c r="Q40" i="23"/>
  <c r="Q15" i="22"/>
  <c r="Q16" i="22"/>
  <c r="Q17" i="22"/>
  <c r="Q33" i="22"/>
  <c r="Q29" i="22"/>
  <c r="Q26" i="22"/>
  <c r="Q31" i="22"/>
  <c r="Q32" i="22"/>
  <c r="Q30" i="22"/>
  <c r="Q27" i="22"/>
  <c r="Q23" i="22"/>
  <c r="Q34" i="22"/>
  <c r="Q37" i="22"/>
  <c r="Q36" i="22"/>
  <c r="Q28" i="22"/>
  <c r="Q35" i="22"/>
  <c r="Q39" i="22"/>
  <c r="Q18" i="22"/>
  <c r="Q19" i="22"/>
  <c r="Q20" i="22"/>
  <c r="Q21" i="22"/>
  <c r="Q41" i="22"/>
  <c r="Q40" i="22"/>
  <c r="Q39" i="21"/>
  <c r="Q40" i="21"/>
  <c r="Q41" i="21"/>
  <c r="Y38" i="26"/>
  <c r="Y39" i="24"/>
  <c r="Z40" i="24"/>
  <c r="W40" i="20"/>
  <c r="Z41" i="20"/>
  <c r="Q41" i="26"/>
  <c r="N37" i="26"/>
  <c r="N36" i="26" s="1"/>
  <c r="Y40" i="20"/>
  <c r="P38" i="26"/>
  <c r="P37" i="20"/>
  <c r="Y39" i="25"/>
  <c r="Z40" i="25"/>
  <c r="W38" i="26"/>
  <c r="T37" i="26"/>
  <c r="Z39" i="26"/>
  <c r="X38" i="26"/>
  <c r="W39" i="25"/>
  <c r="U38" i="25"/>
  <c r="X37" i="25"/>
  <c r="T37" i="25"/>
  <c r="N37" i="25"/>
  <c r="P38" i="25"/>
  <c r="T37" i="24"/>
  <c r="X38" i="24"/>
  <c r="P38" i="24"/>
  <c r="N37" i="24"/>
  <c r="W39" i="24"/>
  <c r="U38" i="24"/>
  <c r="X36" i="23"/>
  <c r="T34" i="23"/>
  <c r="W39" i="23"/>
  <c r="U38" i="23"/>
  <c r="P38" i="23"/>
  <c r="N37" i="23"/>
  <c r="Z39" i="22"/>
  <c r="X38" i="22"/>
  <c r="U38" i="22"/>
  <c r="W39" i="22"/>
  <c r="N37" i="22"/>
  <c r="P38" i="22"/>
  <c r="T37" i="22"/>
  <c r="N37" i="21"/>
  <c r="P38" i="21"/>
  <c r="U38" i="21"/>
  <c r="W39" i="21"/>
  <c r="T37" i="21"/>
  <c r="Z39" i="21"/>
  <c r="X38" i="21"/>
  <c r="N35" i="20"/>
  <c r="P36" i="20"/>
  <c r="T39" i="20"/>
  <c r="W39" i="20"/>
  <c r="U38" i="20"/>
  <c r="X39" i="20"/>
  <c r="Q21" i="20" l="1"/>
  <c r="Q31" i="20"/>
  <c r="Q34" i="20"/>
  <c r="Q32" i="20"/>
  <c r="Q25" i="20"/>
  <c r="Q20" i="20"/>
  <c r="V16" i="25"/>
  <c r="Q37" i="20"/>
  <c r="Q13" i="20"/>
  <c r="Q29" i="20"/>
  <c r="Q30" i="20"/>
  <c r="Q27" i="20"/>
  <c r="Q28" i="20"/>
  <c r="Z37" i="23"/>
  <c r="Y39" i="20"/>
  <c r="Z39" i="20" s="1"/>
  <c r="Y35" i="23"/>
  <c r="Y34" i="23" s="1"/>
  <c r="Y36" i="21"/>
  <c r="Y37" i="26"/>
  <c r="Y38" i="24"/>
  <c r="Z39" i="24"/>
  <c r="P37" i="26"/>
  <c r="Q41" i="20"/>
  <c r="U37" i="26"/>
  <c r="U36" i="26" s="1"/>
  <c r="Z40" i="20"/>
  <c r="Y38" i="25"/>
  <c r="Z39" i="25"/>
  <c r="X37" i="26"/>
  <c r="Z38" i="26"/>
  <c r="N35" i="26"/>
  <c r="P36" i="26"/>
  <c r="T36" i="26"/>
  <c r="T36" i="25"/>
  <c r="W38" i="25"/>
  <c r="U37" i="25"/>
  <c r="X36" i="25"/>
  <c r="N36" i="25"/>
  <c r="P37" i="25"/>
  <c r="W38" i="24"/>
  <c r="U37" i="24"/>
  <c r="X37" i="24"/>
  <c r="P37" i="24"/>
  <c r="N36" i="24"/>
  <c r="T36" i="24"/>
  <c r="N36" i="23"/>
  <c r="P37" i="23"/>
  <c r="T33" i="23"/>
  <c r="U37" i="23"/>
  <c r="W38" i="23"/>
  <c r="Z36" i="23"/>
  <c r="X35" i="23"/>
  <c r="T36" i="22"/>
  <c r="W38" i="22"/>
  <c r="U37" i="22"/>
  <c r="X37" i="22"/>
  <c r="P37" i="22"/>
  <c r="N36" i="22"/>
  <c r="X37" i="21"/>
  <c r="Z38" i="21"/>
  <c r="W38" i="21"/>
  <c r="U37" i="21"/>
  <c r="T36" i="21"/>
  <c r="P37" i="21"/>
  <c r="N36" i="21"/>
  <c r="X38" i="20"/>
  <c r="T38" i="20"/>
  <c r="W38" i="20"/>
  <c r="U37" i="20"/>
  <c r="N34" i="20"/>
  <c r="P35" i="20"/>
  <c r="Y33" i="23" l="1"/>
  <c r="Y32" i="23" s="1"/>
  <c r="Y36" i="26"/>
  <c r="V15" i="25"/>
  <c r="V14" i="25" s="1"/>
  <c r="V13" i="25" s="1"/>
  <c r="V12" i="25" s="1"/>
  <c r="V11" i="25" s="1"/>
  <c r="Y37" i="24"/>
  <c r="Z37" i="24" s="1"/>
  <c r="Y38" i="20"/>
  <c r="Y35" i="21"/>
  <c r="Y34" i="21" s="1"/>
  <c r="Z38" i="24"/>
  <c r="W37" i="26"/>
  <c r="Y37" i="25"/>
  <c r="Z38" i="25"/>
  <c r="T35" i="26"/>
  <c r="W36" i="26"/>
  <c r="U35" i="26"/>
  <c r="N34" i="26"/>
  <c r="P35" i="26"/>
  <c r="Z37" i="26"/>
  <c r="X36" i="26"/>
  <c r="P36" i="25"/>
  <c r="N35" i="25"/>
  <c r="T35" i="25"/>
  <c r="X35" i="25"/>
  <c r="W37" i="25"/>
  <c r="U36" i="25"/>
  <c r="T35" i="24"/>
  <c r="X36" i="24"/>
  <c r="N35" i="24"/>
  <c r="P36" i="24"/>
  <c r="U36" i="24"/>
  <c r="W37" i="24"/>
  <c r="X34" i="23"/>
  <c r="Z35" i="23"/>
  <c r="T32" i="23"/>
  <c r="W37" i="23"/>
  <c r="U36" i="23"/>
  <c r="P36" i="23"/>
  <c r="N35" i="23"/>
  <c r="N35" i="22"/>
  <c r="P36" i="22"/>
  <c r="U36" i="22"/>
  <c r="W37" i="22"/>
  <c r="X36" i="22"/>
  <c r="T35" i="22"/>
  <c r="N35" i="21"/>
  <c r="P36" i="21"/>
  <c r="U36" i="21"/>
  <c r="W37" i="21"/>
  <c r="T35" i="21"/>
  <c r="X36" i="21"/>
  <c r="Z37" i="21"/>
  <c r="T37" i="20"/>
  <c r="N33" i="20"/>
  <c r="P34" i="20"/>
  <c r="U36" i="20"/>
  <c r="W37" i="20"/>
  <c r="X37" i="20"/>
  <c r="Y33" i="21" l="1"/>
  <c r="Y32" i="21" s="1"/>
  <c r="Y31" i="23"/>
  <c r="Y30" i="23" s="1"/>
  <c r="Y29" i="23" s="1"/>
  <c r="Y28" i="23" s="1"/>
  <c r="Y35" i="26"/>
  <c r="Y34" i="26" s="1"/>
  <c r="Y33" i="26" s="1"/>
  <c r="Y36" i="24"/>
  <c r="Y37" i="20"/>
  <c r="Z38" i="20"/>
  <c r="Y36" i="25"/>
  <c r="Z37" i="25"/>
  <c r="T34" i="26"/>
  <c r="P34" i="26"/>
  <c r="N33" i="26"/>
  <c r="X35" i="26"/>
  <c r="Z36" i="26"/>
  <c r="U34" i="26"/>
  <c r="W35" i="26"/>
  <c r="N34" i="25"/>
  <c r="P35" i="25"/>
  <c r="X34" i="25"/>
  <c r="U35" i="25"/>
  <c r="W36" i="25"/>
  <c r="T34" i="25"/>
  <c r="U35" i="24"/>
  <c r="W36" i="24"/>
  <c r="X35" i="24"/>
  <c r="N34" i="24"/>
  <c r="P35" i="24"/>
  <c r="T34" i="24"/>
  <c r="N34" i="23"/>
  <c r="P35" i="23"/>
  <c r="U35" i="23"/>
  <c r="W36" i="23"/>
  <c r="T31" i="23"/>
  <c r="Z34" i="23"/>
  <c r="X33" i="23"/>
  <c r="T34" i="22"/>
  <c r="U35" i="22"/>
  <c r="W36" i="22"/>
  <c r="X35" i="22"/>
  <c r="P35" i="22"/>
  <c r="N34" i="22"/>
  <c r="X35" i="21"/>
  <c r="Z36" i="21"/>
  <c r="U35" i="21"/>
  <c r="W36" i="21"/>
  <c r="T34" i="21"/>
  <c r="N34" i="21"/>
  <c r="P35" i="21"/>
  <c r="X36" i="20"/>
  <c r="N32" i="20"/>
  <c r="P33" i="20"/>
  <c r="T36" i="20"/>
  <c r="W36" i="20"/>
  <c r="U35" i="20"/>
  <c r="Y31" i="21" l="1"/>
  <c r="Y30" i="21" s="1"/>
  <c r="Y29" i="21" s="1"/>
  <c r="Y28" i="21" s="1"/>
  <c r="Y35" i="24"/>
  <c r="Y34" i="24" s="1"/>
  <c r="Y33" i="24" s="1"/>
  <c r="Y32" i="24" s="1"/>
  <c r="Y36" i="20"/>
  <c r="Z36" i="20" s="1"/>
  <c r="Y27" i="23"/>
  <c r="Z36" i="24"/>
  <c r="Z37" i="20"/>
  <c r="Y32" i="26"/>
  <c r="Y35" i="25"/>
  <c r="Z36" i="25"/>
  <c r="W34" i="26"/>
  <c r="U33" i="26"/>
  <c r="T33" i="26"/>
  <c r="Z35" i="26"/>
  <c r="X34" i="26"/>
  <c r="P33" i="26"/>
  <c r="N32" i="26"/>
  <c r="U34" i="25"/>
  <c r="W35" i="25"/>
  <c r="P34" i="25"/>
  <c r="N33" i="25"/>
  <c r="T33" i="25"/>
  <c r="X33" i="25"/>
  <c r="T33" i="24"/>
  <c r="X34" i="24"/>
  <c r="N33" i="24"/>
  <c r="P34" i="24"/>
  <c r="U34" i="24"/>
  <c r="W35" i="24"/>
  <c r="W35" i="23"/>
  <c r="U34" i="23"/>
  <c r="X32" i="23"/>
  <c r="Z33" i="23"/>
  <c r="T30" i="23"/>
  <c r="P34" i="23"/>
  <c r="N33" i="23"/>
  <c r="N33" i="22"/>
  <c r="P34" i="22"/>
  <c r="W35" i="22"/>
  <c r="U34" i="22"/>
  <c r="X34" i="22"/>
  <c r="T33" i="22"/>
  <c r="P34" i="21"/>
  <c r="N33" i="21"/>
  <c r="U34" i="21"/>
  <c r="W35" i="21"/>
  <c r="T33" i="21"/>
  <c r="Z35" i="21"/>
  <c r="X34" i="21"/>
  <c r="U34" i="20"/>
  <c r="W35" i="20"/>
  <c r="P32" i="20"/>
  <c r="N31" i="20"/>
  <c r="X35" i="20"/>
  <c r="T35" i="20"/>
  <c r="Y26" i="23" l="1"/>
  <c r="Y25" i="23" s="1"/>
  <c r="Y24" i="23" s="1"/>
  <c r="Y23" i="23" s="1"/>
  <c r="Y22" i="23" s="1"/>
  <c r="Y21" i="23" s="1"/>
  <c r="Y20" i="23" s="1"/>
  <c r="Y31" i="26"/>
  <c r="Y30" i="26" s="1"/>
  <c r="Y29" i="26" s="1"/>
  <c r="Y31" i="24"/>
  <c r="Y30" i="24" s="1"/>
  <c r="Y27" i="21"/>
  <c r="Z35" i="24"/>
  <c r="Y35" i="20"/>
  <c r="Y34" i="20" s="1"/>
  <c r="Y34" i="25"/>
  <c r="Z35" i="25"/>
  <c r="X33" i="26"/>
  <c r="Z34" i="26"/>
  <c r="U32" i="26"/>
  <c r="W33" i="26"/>
  <c r="N31" i="26"/>
  <c r="P32" i="26"/>
  <c r="T32" i="26"/>
  <c r="T32" i="25"/>
  <c r="U33" i="25"/>
  <c r="W34" i="25"/>
  <c r="X32" i="25"/>
  <c r="P33" i="25"/>
  <c r="N32" i="25"/>
  <c r="T32" i="24"/>
  <c r="X33" i="24"/>
  <c r="Z34" i="24"/>
  <c r="W34" i="24"/>
  <c r="U33" i="24"/>
  <c r="P33" i="24"/>
  <c r="N32" i="24"/>
  <c r="N31" i="24" s="1"/>
  <c r="Z32" i="23"/>
  <c r="X31" i="23"/>
  <c r="T29" i="23"/>
  <c r="U33" i="23"/>
  <c r="W34" i="23"/>
  <c r="N32" i="23"/>
  <c r="P33" i="23"/>
  <c r="T32" i="22"/>
  <c r="W34" i="22"/>
  <c r="U33" i="22"/>
  <c r="X33" i="22"/>
  <c r="P33" i="22"/>
  <c r="N32" i="22"/>
  <c r="X33" i="21"/>
  <c r="Z34" i="21"/>
  <c r="W34" i="21"/>
  <c r="U33" i="21"/>
  <c r="T32" i="21"/>
  <c r="P33" i="21"/>
  <c r="N32" i="21"/>
  <c r="T34" i="20"/>
  <c r="N30" i="20"/>
  <c r="P31" i="20"/>
  <c r="X34" i="20"/>
  <c r="W34" i="20"/>
  <c r="U33" i="20"/>
  <c r="Y26" i="21" l="1"/>
  <c r="Y25" i="21" s="1"/>
  <c r="Y24" i="21" s="1"/>
  <c r="Y23" i="21" s="1"/>
  <c r="Y22" i="21" s="1"/>
  <c r="Y21" i="21" s="1"/>
  <c r="Y20" i="21" s="1"/>
  <c r="Y33" i="20"/>
  <c r="Y32" i="20" s="1"/>
  <c r="Y29" i="24"/>
  <c r="Y28" i="24" s="1"/>
  <c r="Y27" i="24" s="1"/>
  <c r="Y26" i="24" s="1"/>
  <c r="Y25" i="24" s="1"/>
  <c r="Y24" i="24" s="1"/>
  <c r="Y23" i="24" s="1"/>
  <c r="Y22" i="24" s="1"/>
  <c r="Y21" i="24" s="1"/>
  <c r="Y20" i="24" s="1"/>
  <c r="Y19" i="24" s="1"/>
  <c r="Y19" i="23"/>
  <c r="Z35" i="20"/>
  <c r="Y28" i="26"/>
  <c r="Y33" i="25"/>
  <c r="Z34" i="25"/>
  <c r="T31" i="26"/>
  <c r="U31" i="26"/>
  <c r="W32" i="26"/>
  <c r="N30" i="26"/>
  <c r="P31" i="26"/>
  <c r="X32" i="26"/>
  <c r="Z33" i="26"/>
  <c r="W33" i="25"/>
  <c r="U32" i="25"/>
  <c r="T31" i="25"/>
  <c r="X31" i="25"/>
  <c r="P32" i="25"/>
  <c r="N31" i="25"/>
  <c r="U32" i="24"/>
  <c r="W33" i="24"/>
  <c r="P32" i="24"/>
  <c r="X32" i="24"/>
  <c r="Z33" i="24"/>
  <c r="T31" i="24"/>
  <c r="P32" i="23"/>
  <c r="N31" i="23"/>
  <c r="T28" i="23"/>
  <c r="X30" i="23"/>
  <c r="Z31" i="23"/>
  <c r="W33" i="23"/>
  <c r="U32" i="23"/>
  <c r="N31" i="22"/>
  <c r="P32" i="22"/>
  <c r="U32" i="22"/>
  <c r="W33" i="22"/>
  <c r="X32" i="22"/>
  <c r="T31" i="22"/>
  <c r="N31" i="21"/>
  <c r="P32" i="21"/>
  <c r="U32" i="21"/>
  <c r="W33" i="21"/>
  <c r="T31" i="21"/>
  <c r="X32" i="21"/>
  <c r="Z33" i="21"/>
  <c r="W33" i="20"/>
  <c r="U32" i="20"/>
  <c r="N29" i="20"/>
  <c r="P30" i="20"/>
  <c r="X33" i="20"/>
  <c r="Z34" i="20"/>
  <c r="T33" i="20"/>
  <c r="Y31" i="20" l="1"/>
  <c r="Y30" i="20" s="1"/>
  <c r="Y29" i="20" s="1"/>
  <c r="Y28" i="20" s="1"/>
  <c r="Y18" i="23"/>
  <c r="Y17" i="23" s="1"/>
  <c r="Y16" i="23" s="1"/>
  <c r="Y15" i="23" s="1"/>
  <c r="Y14" i="23" s="1"/>
  <c r="Y13" i="23" s="1"/>
  <c r="Y12" i="23" s="1"/>
  <c r="Y11" i="23" s="1"/>
  <c r="Y18" i="24"/>
  <c r="Y17" i="24" s="1"/>
  <c r="Y16" i="24" s="1"/>
  <c r="Y15" i="24" s="1"/>
  <c r="Y14" i="24" s="1"/>
  <c r="Y13" i="24" s="1"/>
  <c r="Y12" i="24" s="1"/>
  <c r="Y11" i="24" s="1"/>
  <c r="Y19" i="21"/>
  <c r="Y18" i="21" s="1"/>
  <c r="Y27" i="26"/>
  <c r="Y32" i="25"/>
  <c r="Z33" i="25"/>
  <c r="T30" i="26"/>
  <c r="P30" i="26"/>
  <c r="N29" i="26"/>
  <c r="Z32" i="26"/>
  <c r="X31" i="26"/>
  <c r="U30" i="26"/>
  <c r="W31" i="26"/>
  <c r="X30" i="25"/>
  <c r="U31" i="25"/>
  <c r="W32" i="25"/>
  <c r="N30" i="25"/>
  <c r="P31" i="25"/>
  <c r="T30" i="25"/>
  <c r="T30" i="24"/>
  <c r="N30" i="24"/>
  <c r="P31" i="24"/>
  <c r="X31" i="24"/>
  <c r="Z32" i="24"/>
  <c r="U31" i="24"/>
  <c r="W32" i="24"/>
  <c r="T27" i="23"/>
  <c r="N30" i="23"/>
  <c r="P31" i="23"/>
  <c r="U31" i="23"/>
  <c r="W32" i="23"/>
  <c r="Z30" i="23"/>
  <c r="X29" i="23"/>
  <c r="T30" i="22"/>
  <c r="W32" i="22"/>
  <c r="U31" i="22"/>
  <c r="X31" i="22"/>
  <c r="N30" i="22"/>
  <c r="P31" i="22"/>
  <c r="Z32" i="21"/>
  <c r="X31" i="21"/>
  <c r="U31" i="21"/>
  <c r="W32" i="21"/>
  <c r="T30" i="21"/>
  <c r="N30" i="21"/>
  <c r="P31" i="21"/>
  <c r="T32" i="20"/>
  <c r="P29" i="20"/>
  <c r="N28" i="20"/>
  <c r="U31" i="20"/>
  <c r="W32" i="20"/>
  <c r="X32" i="20"/>
  <c r="Z33" i="20"/>
  <c r="Y17" i="21" l="1"/>
  <c r="Y16" i="21" s="1"/>
  <c r="Y15" i="21" s="1"/>
  <c r="Y14" i="21" s="1"/>
  <c r="Y13" i="21" s="1"/>
  <c r="Y12" i="21" s="1"/>
  <c r="Y11" i="21" s="1"/>
  <c r="Y26" i="26"/>
  <c r="Y25" i="26" s="1"/>
  <c r="Y27" i="20"/>
  <c r="Y26" i="20" s="1"/>
  <c r="Y25" i="20" s="1"/>
  <c r="Y31" i="25"/>
  <c r="Z32" i="25"/>
  <c r="W30" i="26"/>
  <c r="U29" i="26"/>
  <c r="Z31" i="26"/>
  <c r="X30" i="26"/>
  <c r="T29" i="26"/>
  <c r="P29" i="26"/>
  <c r="N28" i="26"/>
  <c r="T29" i="25"/>
  <c r="U30" i="25"/>
  <c r="W31" i="25"/>
  <c r="X29" i="25"/>
  <c r="P30" i="25"/>
  <c r="N29" i="25"/>
  <c r="W31" i="24"/>
  <c r="U30" i="24"/>
  <c r="N29" i="24"/>
  <c r="P30" i="24"/>
  <c r="T29" i="24"/>
  <c r="Z31" i="24"/>
  <c r="X30" i="24"/>
  <c r="P30" i="23"/>
  <c r="N29" i="23"/>
  <c r="X28" i="23"/>
  <c r="Z29" i="23"/>
  <c r="W31" i="23"/>
  <c r="U30" i="23"/>
  <c r="T26" i="23"/>
  <c r="W31" i="22"/>
  <c r="U30" i="22"/>
  <c r="P30" i="22"/>
  <c r="N29" i="22"/>
  <c r="T29" i="22"/>
  <c r="X30" i="22"/>
  <c r="N29" i="21"/>
  <c r="P30" i="21"/>
  <c r="U30" i="21"/>
  <c r="W31" i="21"/>
  <c r="T29" i="21"/>
  <c r="Z31" i="21"/>
  <c r="X30" i="21"/>
  <c r="P28" i="20"/>
  <c r="N27" i="20"/>
  <c r="Z32" i="20"/>
  <c r="X31" i="20"/>
  <c r="T31" i="20"/>
  <c r="W31" i="20"/>
  <c r="U30" i="20"/>
  <c r="Y24" i="20" l="1"/>
  <c r="Y23" i="20" s="1"/>
  <c r="Y22" i="20" s="1"/>
  <c r="Y21" i="20" s="1"/>
  <c r="Y24" i="26"/>
  <c r="Y23" i="26" s="1"/>
  <c r="Y22" i="26" s="1"/>
  <c r="Y30" i="25"/>
  <c r="Z31" i="25"/>
  <c r="T28" i="26"/>
  <c r="U28" i="26"/>
  <c r="W29" i="26"/>
  <c r="N27" i="26"/>
  <c r="P28" i="26"/>
  <c r="X29" i="26"/>
  <c r="Z30" i="26"/>
  <c r="X28" i="25"/>
  <c r="T28" i="25"/>
  <c r="N28" i="25"/>
  <c r="P29" i="25"/>
  <c r="U29" i="25"/>
  <c r="W30" i="25"/>
  <c r="W30" i="24"/>
  <c r="U29" i="24"/>
  <c r="X29" i="24"/>
  <c r="Z30" i="24"/>
  <c r="P29" i="24"/>
  <c r="N28" i="24"/>
  <c r="T28" i="24"/>
  <c r="Z28" i="23"/>
  <c r="X27" i="23"/>
  <c r="U29" i="23"/>
  <c r="W30" i="23"/>
  <c r="N28" i="23"/>
  <c r="P29" i="23"/>
  <c r="T25" i="23"/>
  <c r="X29" i="22"/>
  <c r="P29" i="22"/>
  <c r="N28" i="22"/>
  <c r="T28" i="22"/>
  <c r="W30" i="22"/>
  <c r="U29" i="22"/>
  <c r="X29" i="21"/>
  <c r="Z30" i="21"/>
  <c r="W30" i="21"/>
  <c r="U29" i="21"/>
  <c r="T28" i="21"/>
  <c r="P29" i="21"/>
  <c r="N28" i="21"/>
  <c r="U29" i="20"/>
  <c r="W30" i="20"/>
  <c r="Z31" i="20"/>
  <c r="N26" i="20"/>
  <c r="P27" i="20"/>
  <c r="Y20" i="20" l="1"/>
  <c r="Y19" i="20" s="1"/>
  <c r="Y18" i="20" s="1"/>
  <c r="Y17" i="20" s="1"/>
  <c r="Y16" i="20" s="1"/>
  <c r="Y15" i="20" s="1"/>
  <c r="Y14" i="20" s="1"/>
  <c r="Y13" i="20" s="1"/>
  <c r="Y12" i="20" s="1"/>
  <c r="Y11" i="20" s="1"/>
  <c r="Y21" i="26"/>
  <c r="Y20" i="26" s="1"/>
  <c r="Y19" i="26" s="1"/>
  <c r="Y29" i="25"/>
  <c r="Z30" i="25"/>
  <c r="Z29" i="26"/>
  <c r="X28" i="26"/>
  <c r="U27" i="26"/>
  <c r="W28" i="26"/>
  <c r="P27" i="26"/>
  <c r="N26" i="26"/>
  <c r="T27" i="26"/>
  <c r="W29" i="25"/>
  <c r="U28" i="25"/>
  <c r="P28" i="25"/>
  <c r="N27" i="25"/>
  <c r="X27" i="25"/>
  <c r="T27" i="25"/>
  <c r="T27" i="24"/>
  <c r="X28" i="24"/>
  <c r="Z29" i="24"/>
  <c r="N27" i="24"/>
  <c r="P28" i="24"/>
  <c r="U28" i="24"/>
  <c r="W29" i="24"/>
  <c r="W29" i="23"/>
  <c r="U28" i="23"/>
  <c r="X26" i="23"/>
  <c r="Z27" i="23"/>
  <c r="T24" i="23"/>
  <c r="P28" i="23"/>
  <c r="N27" i="23"/>
  <c r="U28" i="22"/>
  <c r="W29" i="22"/>
  <c r="N27" i="22"/>
  <c r="P28" i="22"/>
  <c r="T27" i="22"/>
  <c r="X28" i="22"/>
  <c r="N27" i="21"/>
  <c r="P28" i="21"/>
  <c r="U28" i="21"/>
  <c r="W29" i="21"/>
  <c r="T27" i="21"/>
  <c r="X28" i="21"/>
  <c r="Z29" i="21"/>
  <c r="P26" i="20"/>
  <c r="N25" i="20"/>
  <c r="W29" i="20"/>
  <c r="U28" i="20"/>
  <c r="Y18" i="26" l="1"/>
  <c r="Y17" i="26" s="1"/>
  <c r="Y28" i="25"/>
  <c r="Z29" i="25"/>
  <c r="N25" i="26"/>
  <c r="P26" i="26"/>
  <c r="Z28" i="26"/>
  <c r="X27" i="26"/>
  <c r="T26" i="26"/>
  <c r="W27" i="26"/>
  <c r="U26" i="26"/>
  <c r="U27" i="25"/>
  <c r="W28" i="25"/>
  <c r="X26" i="25"/>
  <c r="N26" i="25"/>
  <c r="P27" i="25"/>
  <c r="T26" i="25"/>
  <c r="U27" i="24"/>
  <c r="W28" i="24"/>
  <c r="X27" i="24"/>
  <c r="Z28" i="24"/>
  <c r="N26" i="24"/>
  <c r="P27" i="24"/>
  <c r="T26" i="24"/>
  <c r="N26" i="23"/>
  <c r="P27" i="23"/>
  <c r="Z26" i="23"/>
  <c r="X25" i="23"/>
  <c r="T23" i="23"/>
  <c r="U27" i="23"/>
  <c r="W28" i="23"/>
  <c r="X27" i="22"/>
  <c r="N26" i="22"/>
  <c r="P27" i="22"/>
  <c r="W28" i="22"/>
  <c r="U27" i="22"/>
  <c r="X27" i="21"/>
  <c r="Z28" i="21"/>
  <c r="U27" i="21"/>
  <c r="W28" i="21"/>
  <c r="T26" i="21"/>
  <c r="N26" i="21"/>
  <c r="P27" i="21"/>
  <c r="U27" i="20"/>
  <c r="W28" i="20"/>
  <c r="P25" i="20"/>
  <c r="N24" i="20"/>
  <c r="P24" i="20" s="1"/>
  <c r="Y16" i="26" l="1"/>
  <c r="Y27" i="25"/>
  <c r="Z28" i="25"/>
  <c r="T25" i="26"/>
  <c r="P25" i="26"/>
  <c r="N24" i="26"/>
  <c r="P24" i="26" s="1"/>
  <c r="W26" i="26"/>
  <c r="U25" i="26"/>
  <c r="Z27" i="26"/>
  <c r="X26" i="26"/>
  <c r="T25" i="25"/>
  <c r="N25" i="25"/>
  <c r="P26" i="25"/>
  <c r="U26" i="25"/>
  <c r="W27" i="25"/>
  <c r="X25" i="25"/>
  <c r="T25" i="24"/>
  <c r="Z27" i="24"/>
  <c r="X26" i="24"/>
  <c r="N25" i="24"/>
  <c r="P26" i="24"/>
  <c r="W27" i="24"/>
  <c r="U26" i="24"/>
  <c r="X24" i="23"/>
  <c r="Z25" i="23"/>
  <c r="W27" i="23"/>
  <c r="U26" i="23"/>
  <c r="T22" i="23"/>
  <c r="P26" i="23"/>
  <c r="N25" i="23"/>
  <c r="U26" i="22"/>
  <c r="W27" i="22"/>
  <c r="P26" i="22"/>
  <c r="N25" i="22"/>
  <c r="X26" i="22"/>
  <c r="N25" i="21"/>
  <c r="P26" i="21"/>
  <c r="W27" i="21"/>
  <c r="U26" i="21"/>
  <c r="T25" i="21"/>
  <c r="Z27" i="21"/>
  <c r="X26" i="21"/>
  <c r="N23" i="20"/>
  <c r="P23" i="20" s="1"/>
  <c r="U26" i="20"/>
  <c r="W27" i="20"/>
  <c r="Y15" i="26" l="1"/>
  <c r="Y14" i="26" s="1"/>
  <c r="Y26" i="25"/>
  <c r="Z27" i="25"/>
  <c r="U24" i="26"/>
  <c r="W25" i="26"/>
  <c r="T24" i="26"/>
  <c r="X25" i="26"/>
  <c r="Z26" i="26"/>
  <c r="N23" i="26"/>
  <c r="P23" i="26" s="1"/>
  <c r="T24" i="25"/>
  <c r="W26" i="25"/>
  <c r="U25" i="25"/>
  <c r="X24" i="25"/>
  <c r="N24" i="25"/>
  <c r="P24" i="25" s="1"/>
  <c r="P25" i="25"/>
  <c r="T24" i="24"/>
  <c r="W26" i="24"/>
  <c r="U25" i="24"/>
  <c r="X25" i="24"/>
  <c r="Z26" i="24"/>
  <c r="P25" i="24"/>
  <c r="N24" i="24"/>
  <c r="P24" i="24" s="1"/>
  <c r="N24" i="23"/>
  <c r="P24" i="23" s="1"/>
  <c r="P25" i="23"/>
  <c r="U25" i="23"/>
  <c r="W26" i="23"/>
  <c r="T21" i="23"/>
  <c r="Z24" i="23"/>
  <c r="X23" i="23"/>
  <c r="X25" i="22"/>
  <c r="P25" i="22"/>
  <c r="N24" i="22"/>
  <c r="P24" i="22" s="1"/>
  <c r="W26" i="22"/>
  <c r="U25" i="22"/>
  <c r="X25" i="21"/>
  <c r="Z26" i="21"/>
  <c r="W26" i="21"/>
  <c r="U25" i="21"/>
  <c r="T24" i="21"/>
  <c r="P25" i="21"/>
  <c r="N24" i="21"/>
  <c r="P24" i="21" s="1"/>
  <c r="U25" i="20"/>
  <c r="W26" i="20"/>
  <c r="N22" i="20"/>
  <c r="P22" i="20" s="1"/>
  <c r="Y13" i="26" l="1"/>
  <c r="Y12" i="26" s="1"/>
  <c r="Y11" i="26" s="1"/>
  <c r="Y25" i="25"/>
  <c r="Z26" i="25"/>
  <c r="N22" i="26"/>
  <c r="P22" i="26" s="1"/>
  <c r="T23" i="26"/>
  <c r="Z25" i="26"/>
  <c r="X24" i="26"/>
  <c r="W24" i="26"/>
  <c r="U23" i="26"/>
  <c r="N23" i="25"/>
  <c r="P23" i="25" s="1"/>
  <c r="T23" i="25"/>
  <c r="X23" i="25"/>
  <c r="W25" i="25"/>
  <c r="U24" i="25"/>
  <c r="N23" i="24"/>
  <c r="P23" i="24" s="1"/>
  <c r="U24" i="24"/>
  <c r="W25" i="24"/>
  <c r="X24" i="24"/>
  <c r="Z25" i="24"/>
  <c r="T23" i="24"/>
  <c r="W25" i="23"/>
  <c r="U24" i="23"/>
  <c r="X22" i="23"/>
  <c r="Z23" i="23"/>
  <c r="T20" i="23"/>
  <c r="N23" i="23"/>
  <c r="P23" i="23" s="1"/>
  <c r="U24" i="22"/>
  <c r="W25" i="22"/>
  <c r="N23" i="22"/>
  <c r="P23" i="22" s="1"/>
  <c r="X24" i="22"/>
  <c r="N23" i="21"/>
  <c r="P23" i="21" s="1"/>
  <c r="U24" i="21"/>
  <c r="W25" i="21"/>
  <c r="T23" i="21"/>
  <c r="X24" i="21"/>
  <c r="Z25" i="21"/>
  <c r="N21" i="20"/>
  <c r="P21" i="20" s="1"/>
  <c r="W25" i="20"/>
  <c r="U24" i="20"/>
  <c r="Y24" i="25" l="1"/>
  <c r="Z25" i="25"/>
  <c r="Z24" i="26"/>
  <c r="X23" i="26"/>
  <c r="N21" i="26"/>
  <c r="P21" i="26" s="1"/>
  <c r="W23" i="26"/>
  <c r="U22" i="26"/>
  <c r="T22" i="26"/>
  <c r="X22" i="25"/>
  <c r="N22" i="25"/>
  <c r="P22" i="25" s="1"/>
  <c r="U23" i="25"/>
  <c r="W24" i="25"/>
  <c r="T22" i="25"/>
  <c r="T22" i="24"/>
  <c r="W24" i="24"/>
  <c r="U23" i="24"/>
  <c r="X23" i="24"/>
  <c r="Z24" i="24"/>
  <c r="N22" i="24"/>
  <c r="P22" i="24" s="1"/>
  <c r="T19" i="23"/>
  <c r="N22" i="23"/>
  <c r="P22" i="23" s="1"/>
  <c r="Z22" i="23"/>
  <c r="X21" i="23"/>
  <c r="U23" i="23"/>
  <c r="W24" i="23"/>
  <c r="X23" i="22"/>
  <c r="N22" i="22"/>
  <c r="P22" i="22" s="1"/>
  <c r="T22" i="22"/>
  <c r="U23" i="22"/>
  <c r="W24" i="22"/>
  <c r="Z24" i="21"/>
  <c r="X23" i="21"/>
  <c r="U23" i="21"/>
  <c r="W24" i="21"/>
  <c r="T22" i="21"/>
  <c r="N22" i="21"/>
  <c r="P22" i="21" s="1"/>
  <c r="U23" i="20"/>
  <c r="W24" i="20"/>
  <c r="N20" i="20"/>
  <c r="P20" i="20" s="1"/>
  <c r="Y23" i="25" l="1"/>
  <c r="Z24" i="25"/>
  <c r="N20" i="26"/>
  <c r="P20" i="26" s="1"/>
  <c r="W22" i="26"/>
  <c r="U21" i="26"/>
  <c r="Z23" i="26"/>
  <c r="X22" i="26"/>
  <c r="T21" i="26"/>
  <c r="N21" i="25"/>
  <c r="P21" i="25" s="1"/>
  <c r="W23" i="25"/>
  <c r="U22" i="25"/>
  <c r="X21" i="25"/>
  <c r="T21" i="25"/>
  <c r="T21" i="24"/>
  <c r="W23" i="24"/>
  <c r="U22" i="24"/>
  <c r="N21" i="24"/>
  <c r="P21" i="24" s="1"/>
  <c r="Z23" i="24"/>
  <c r="X22" i="24"/>
  <c r="N21" i="23"/>
  <c r="P21" i="23" s="1"/>
  <c r="X20" i="23"/>
  <c r="Z21" i="23"/>
  <c r="W23" i="23"/>
  <c r="U22" i="23"/>
  <c r="T18" i="23"/>
  <c r="N21" i="22"/>
  <c r="P21" i="22" s="1"/>
  <c r="U22" i="22"/>
  <c r="W23" i="22"/>
  <c r="X22" i="22"/>
  <c r="T21" i="22"/>
  <c r="N21" i="21"/>
  <c r="P21" i="21" s="1"/>
  <c r="W23" i="21"/>
  <c r="U22" i="21"/>
  <c r="T21" i="21"/>
  <c r="Z23" i="21"/>
  <c r="X22" i="21"/>
  <c r="N19" i="20"/>
  <c r="P19" i="20" s="1"/>
  <c r="U22" i="20"/>
  <c r="W23" i="20"/>
  <c r="Y22" i="25" l="1"/>
  <c r="Z23" i="25"/>
  <c r="X21" i="26"/>
  <c r="Z22" i="26"/>
  <c r="N19" i="26"/>
  <c r="P19" i="26" s="1"/>
  <c r="T20" i="26"/>
  <c r="U20" i="26"/>
  <c r="W21" i="26"/>
  <c r="X20" i="25"/>
  <c r="X19" i="25" s="1"/>
  <c r="N20" i="25"/>
  <c r="T20" i="25"/>
  <c r="W22" i="25"/>
  <c r="U21" i="25"/>
  <c r="T20" i="24"/>
  <c r="X21" i="24"/>
  <c r="Z22" i="24"/>
  <c r="W22" i="24"/>
  <c r="U21" i="24"/>
  <c r="N20" i="24"/>
  <c r="P20" i="24" s="1"/>
  <c r="T17" i="23"/>
  <c r="Z20" i="23"/>
  <c r="X19" i="23"/>
  <c r="U21" i="23"/>
  <c r="W22" i="23"/>
  <c r="N20" i="23"/>
  <c r="P20" i="23" s="1"/>
  <c r="T20" i="22"/>
  <c r="W22" i="22"/>
  <c r="U21" i="22"/>
  <c r="X21" i="22"/>
  <c r="N20" i="22"/>
  <c r="P20" i="22" s="1"/>
  <c r="X21" i="21"/>
  <c r="Z22" i="21"/>
  <c r="W22" i="21"/>
  <c r="U21" i="21"/>
  <c r="T20" i="21"/>
  <c r="N20" i="21"/>
  <c r="P20" i="21" s="1"/>
  <c r="W22" i="20"/>
  <c r="U21" i="20"/>
  <c r="N18" i="20"/>
  <c r="P18" i="20" s="1"/>
  <c r="X18" i="25" l="1"/>
  <c r="X17" i="25" s="1"/>
  <c r="X16" i="25" s="1"/>
  <c r="P20" i="25"/>
  <c r="N19" i="25"/>
  <c r="Y21" i="25"/>
  <c r="Z22" i="25"/>
  <c r="W20" i="26"/>
  <c r="U19" i="26"/>
  <c r="N18" i="26"/>
  <c r="P18" i="26" s="1"/>
  <c r="T19" i="26"/>
  <c r="Z21" i="26"/>
  <c r="X20" i="26"/>
  <c r="W21" i="25"/>
  <c r="U20" i="25"/>
  <c r="U20" i="24"/>
  <c r="W21" i="24"/>
  <c r="N19" i="24"/>
  <c r="P19" i="24" s="1"/>
  <c r="X20" i="24"/>
  <c r="Z21" i="24"/>
  <c r="T19" i="24"/>
  <c r="Z19" i="23"/>
  <c r="X18" i="23"/>
  <c r="N19" i="23"/>
  <c r="P19" i="23" s="1"/>
  <c r="T16" i="23"/>
  <c r="W21" i="23"/>
  <c r="U20" i="23"/>
  <c r="N19" i="22"/>
  <c r="P19" i="22" s="1"/>
  <c r="U20" i="22"/>
  <c r="W21" i="22"/>
  <c r="X20" i="22"/>
  <c r="T19" i="22"/>
  <c r="N19" i="21"/>
  <c r="P19" i="21" s="1"/>
  <c r="U20" i="21"/>
  <c r="W21" i="21"/>
  <c r="T19" i="21"/>
  <c r="X20" i="21"/>
  <c r="Z21" i="21"/>
  <c r="W21" i="20"/>
  <c r="U20" i="20"/>
  <c r="N17" i="20"/>
  <c r="P17" i="20" s="1"/>
  <c r="U19" i="25" l="1"/>
  <c r="W19" i="25" s="1"/>
  <c r="N18" i="25"/>
  <c r="P19" i="25"/>
  <c r="Y20" i="25"/>
  <c r="Z21" i="25"/>
  <c r="T18" i="26"/>
  <c r="U18" i="26"/>
  <c r="W19" i="26"/>
  <c r="X19" i="26"/>
  <c r="Z20" i="26"/>
  <c r="N17" i="26"/>
  <c r="P17" i="26" s="1"/>
  <c r="W20" i="25"/>
  <c r="T18" i="24"/>
  <c r="N18" i="24"/>
  <c r="P18" i="24" s="1"/>
  <c r="X19" i="24"/>
  <c r="Z20" i="24"/>
  <c r="W20" i="24"/>
  <c r="U19" i="24"/>
  <c r="U19" i="23"/>
  <c r="W20" i="23"/>
  <c r="N18" i="23"/>
  <c r="P18" i="23" s="1"/>
  <c r="X17" i="23"/>
  <c r="Z18" i="23"/>
  <c r="T15" i="23"/>
  <c r="T18" i="22"/>
  <c r="U19" i="22"/>
  <c r="W20" i="22"/>
  <c r="N18" i="22"/>
  <c r="P18" i="22" s="1"/>
  <c r="X19" i="22"/>
  <c r="X19" i="21"/>
  <c r="Z20" i="21"/>
  <c r="W20" i="21"/>
  <c r="U19" i="21"/>
  <c r="T18" i="21"/>
  <c r="N18" i="21"/>
  <c r="P18" i="21" s="1"/>
  <c r="N16" i="20"/>
  <c r="P16" i="20" s="1"/>
  <c r="U19" i="20"/>
  <c r="W20" i="20"/>
  <c r="Y19" i="25" l="1"/>
  <c r="Y18" i="25" s="1"/>
  <c r="N17" i="25"/>
  <c r="P18" i="25"/>
  <c r="U18" i="25"/>
  <c r="Z20" i="25"/>
  <c r="W18" i="26"/>
  <c r="U17" i="26"/>
  <c r="T17" i="26"/>
  <c r="Z19" i="26"/>
  <c r="X18" i="26"/>
  <c r="N16" i="26"/>
  <c r="P16" i="26" s="1"/>
  <c r="T17" i="24"/>
  <c r="U18" i="24"/>
  <c r="W19" i="24"/>
  <c r="N17" i="24"/>
  <c r="P17" i="24" s="1"/>
  <c r="Z19" i="24"/>
  <c r="X18" i="24"/>
  <c r="T14" i="23"/>
  <c r="N17" i="23"/>
  <c r="P17" i="23" s="1"/>
  <c r="X16" i="23"/>
  <c r="Z17" i="23"/>
  <c r="W19" i="23"/>
  <c r="U18" i="23"/>
  <c r="X18" i="22"/>
  <c r="W19" i="22"/>
  <c r="U18" i="22"/>
  <c r="N17" i="22"/>
  <c r="P17" i="22" s="1"/>
  <c r="T17" i="22"/>
  <c r="N17" i="21"/>
  <c r="P17" i="21" s="1"/>
  <c r="W19" i="21"/>
  <c r="U18" i="21"/>
  <c r="T17" i="21"/>
  <c r="Z19" i="21"/>
  <c r="X18" i="21"/>
  <c r="W19" i="20"/>
  <c r="U18" i="20"/>
  <c r="N15" i="20"/>
  <c r="P15" i="20" s="1"/>
  <c r="Z19" i="25" l="1"/>
  <c r="U17" i="25"/>
  <c r="W18" i="25"/>
  <c r="P17" i="25"/>
  <c r="N16" i="25"/>
  <c r="P16" i="25" s="1"/>
  <c r="Y17" i="25"/>
  <c r="Z18" i="25"/>
  <c r="T13" i="23"/>
  <c r="X17" i="26"/>
  <c r="Z18" i="26"/>
  <c r="U16" i="26"/>
  <c r="W17" i="26"/>
  <c r="N15" i="26"/>
  <c r="P15" i="26" s="1"/>
  <c r="T16" i="26"/>
  <c r="N16" i="24"/>
  <c r="P16" i="24" s="1"/>
  <c r="X17" i="24"/>
  <c r="Z18" i="24"/>
  <c r="U17" i="24"/>
  <c r="W18" i="24"/>
  <c r="T16" i="24"/>
  <c r="N16" i="23"/>
  <c r="P16" i="23" s="1"/>
  <c r="W18" i="23"/>
  <c r="U17" i="23"/>
  <c r="Z16" i="23"/>
  <c r="X15" i="23"/>
  <c r="T16" i="22"/>
  <c r="U17" i="22"/>
  <c r="W18" i="22"/>
  <c r="X17" i="22"/>
  <c r="N16" i="22"/>
  <c r="P16" i="22" s="1"/>
  <c r="X17" i="21"/>
  <c r="Z18" i="21"/>
  <c r="U17" i="21"/>
  <c r="W18" i="21"/>
  <c r="N16" i="21"/>
  <c r="P16" i="21" s="1"/>
  <c r="T16" i="21"/>
  <c r="N14" i="20"/>
  <c r="P14" i="20" s="1"/>
  <c r="W18" i="20"/>
  <c r="U17" i="20"/>
  <c r="U16" i="25" l="1"/>
  <c r="W16" i="25" s="1"/>
  <c r="W17" i="25"/>
  <c r="Y16" i="25"/>
  <c r="Z16" i="25" s="1"/>
  <c r="Z17" i="25"/>
  <c r="T15" i="26"/>
  <c r="U15" i="26"/>
  <c r="W16" i="26"/>
  <c r="N14" i="26"/>
  <c r="P14" i="26" s="1"/>
  <c r="X16" i="26"/>
  <c r="Z17" i="26"/>
  <c r="X15" i="25"/>
  <c r="N15" i="25"/>
  <c r="P15" i="25" s="1"/>
  <c r="T15" i="25"/>
  <c r="T15" i="24"/>
  <c r="Z17" i="24"/>
  <c r="X16" i="24"/>
  <c r="U16" i="24"/>
  <c r="W17" i="24"/>
  <c r="N15" i="24"/>
  <c r="P15" i="24" s="1"/>
  <c r="Z15" i="23"/>
  <c r="X14" i="23"/>
  <c r="N15" i="23"/>
  <c r="P15" i="23" s="1"/>
  <c r="U16" i="23"/>
  <c r="W17" i="23"/>
  <c r="N15" i="22"/>
  <c r="P15" i="22" s="1"/>
  <c r="W17" i="22"/>
  <c r="U16" i="22"/>
  <c r="X16" i="22"/>
  <c r="T15" i="22"/>
  <c r="T15" i="21"/>
  <c r="U16" i="21"/>
  <c r="W17" i="21"/>
  <c r="N15" i="21"/>
  <c r="P15" i="21" s="1"/>
  <c r="X16" i="21"/>
  <c r="Z17" i="21"/>
  <c r="W17" i="20"/>
  <c r="U16" i="20"/>
  <c r="N13" i="20"/>
  <c r="N12" i="20" s="1"/>
  <c r="N11" i="20" s="1"/>
  <c r="P11" i="20" s="1"/>
  <c r="P12" i="20" l="1"/>
  <c r="P13" i="20"/>
  <c r="T14" i="26"/>
  <c r="N13" i="26"/>
  <c r="N12" i="26" s="1"/>
  <c r="N11" i="26" s="1"/>
  <c r="P11" i="26" s="1"/>
  <c r="Z16" i="26"/>
  <c r="X15" i="26"/>
  <c r="U14" i="26"/>
  <c r="W15" i="26"/>
  <c r="T14" i="25"/>
  <c r="X14" i="25"/>
  <c r="U15" i="25"/>
  <c r="N14" i="25"/>
  <c r="P14" i="25" s="1"/>
  <c r="T14" i="24"/>
  <c r="Z16" i="24"/>
  <c r="X15" i="24"/>
  <c r="N14" i="24"/>
  <c r="P14" i="24" s="1"/>
  <c r="W16" i="24"/>
  <c r="U15" i="24"/>
  <c r="N14" i="23"/>
  <c r="P14" i="23" s="1"/>
  <c r="X13" i="23"/>
  <c r="X12" i="23" s="1"/>
  <c r="X11" i="23" s="1"/>
  <c r="Z11" i="23" s="1"/>
  <c r="Z14" i="23"/>
  <c r="U15" i="23"/>
  <c r="W16" i="23"/>
  <c r="U15" i="22"/>
  <c r="W16" i="22"/>
  <c r="N14" i="22"/>
  <c r="P14" i="22" s="1"/>
  <c r="X15" i="22"/>
  <c r="Z16" i="21"/>
  <c r="X15" i="21"/>
  <c r="U15" i="21"/>
  <c r="W16" i="21"/>
  <c r="N14" i="21"/>
  <c r="P14" i="21" s="1"/>
  <c r="T14" i="21"/>
  <c r="U15" i="20"/>
  <c r="W16" i="20"/>
  <c r="Z12" i="23" l="1"/>
  <c r="P12" i="26"/>
  <c r="T13" i="26"/>
  <c r="P13" i="26"/>
  <c r="T13" i="25"/>
  <c r="T13" i="24"/>
  <c r="Z13" i="23"/>
  <c r="T13" i="21"/>
  <c r="Y15" i="25"/>
  <c r="W14" i="26"/>
  <c r="U13" i="26"/>
  <c r="U12" i="26" s="1"/>
  <c r="U11" i="26" s="1"/>
  <c r="W11" i="26" s="1"/>
  <c r="Z15" i="26"/>
  <c r="X14" i="26"/>
  <c r="U14" i="25"/>
  <c r="W15" i="25"/>
  <c r="N13" i="25"/>
  <c r="N12" i="25" s="1"/>
  <c r="N11" i="25" s="1"/>
  <c r="P11" i="25" s="1"/>
  <c r="X13" i="25"/>
  <c r="X12" i="25" s="1"/>
  <c r="X11" i="25" s="1"/>
  <c r="W15" i="24"/>
  <c r="U14" i="24"/>
  <c r="X14" i="24"/>
  <c r="Z15" i="24"/>
  <c r="N13" i="24"/>
  <c r="N12" i="24" s="1"/>
  <c r="N11" i="24" s="1"/>
  <c r="P11" i="24" s="1"/>
  <c r="U14" i="23"/>
  <c r="W15" i="23"/>
  <c r="N13" i="23"/>
  <c r="N12" i="23" s="1"/>
  <c r="N11" i="23" s="1"/>
  <c r="P11" i="23" s="1"/>
  <c r="X14" i="22"/>
  <c r="N13" i="22"/>
  <c r="N12" i="22" s="1"/>
  <c r="N11" i="22" s="1"/>
  <c r="P11" i="22" s="1"/>
  <c r="W15" i="22"/>
  <c r="U14" i="22"/>
  <c r="W15" i="21"/>
  <c r="U14" i="21"/>
  <c r="X14" i="21"/>
  <c r="Z15" i="21"/>
  <c r="N13" i="21"/>
  <c r="N12" i="21" s="1"/>
  <c r="N11" i="21" s="1"/>
  <c r="P11" i="21" s="1"/>
  <c r="W15" i="20"/>
  <c r="U14" i="20"/>
  <c r="P12" i="21" l="1"/>
  <c r="P12" i="22"/>
  <c r="P12" i="23"/>
  <c r="P12" i="24"/>
  <c r="P12" i="25"/>
  <c r="W12" i="26"/>
  <c r="W13" i="26"/>
  <c r="P13" i="25"/>
  <c r="P13" i="24"/>
  <c r="P13" i="23"/>
  <c r="P13" i="21"/>
  <c r="P13" i="22"/>
  <c r="Y14" i="25"/>
  <c r="Z15" i="25"/>
  <c r="Z14" i="26"/>
  <c r="X13" i="26"/>
  <c r="X12" i="26" s="1"/>
  <c r="X11" i="26" s="1"/>
  <c r="Z11" i="26" s="1"/>
  <c r="W14" i="25"/>
  <c r="U13" i="25"/>
  <c r="U12" i="25" s="1"/>
  <c r="U11" i="25" s="1"/>
  <c r="W11" i="25" s="1"/>
  <c r="X13" i="24"/>
  <c r="X12" i="24" s="1"/>
  <c r="X11" i="24" s="1"/>
  <c r="Z11" i="24" s="1"/>
  <c r="Z14" i="24"/>
  <c r="U13" i="24"/>
  <c r="U12" i="24" s="1"/>
  <c r="U11" i="24" s="1"/>
  <c r="W11" i="24" s="1"/>
  <c r="W14" i="24"/>
  <c r="W14" i="23"/>
  <c r="U13" i="23"/>
  <c r="U12" i="23" s="1"/>
  <c r="U11" i="23" s="1"/>
  <c r="W11" i="23" s="1"/>
  <c r="U13" i="22"/>
  <c r="U12" i="22" s="1"/>
  <c r="U11" i="22" s="1"/>
  <c r="W11" i="22" s="1"/>
  <c r="W14" i="22"/>
  <c r="X13" i="22"/>
  <c r="X12" i="22" s="1"/>
  <c r="X11" i="22" s="1"/>
  <c r="X13" i="21"/>
  <c r="X12" i="21" s="1"/>
  <c r="X11" i="21" s="1"/>
  <c r="Z11" i="21" s="1"/>
  <c r="Z14" i="21"/>
  <c r="U13" i="21"/>
  <c r="U12" i="21" s="1"/>
  <c r="U11" i="21" s="1"/>
  <c r="W11" i="21" s="1"/>
  <c r="W14" i="21"/>
  <c r="U13" i="20"/>
  <c r="U12" i="20" s="1"/>
  <c r="U11" i="20" s="1"/>
  <c r="W11" i="20" s="1"/>
  <c r="W14" i="20"/>
  <c r="W12" i="21" l="1"/>
  <c r="Z12" i="21"/>
  <c r="W12" i="22"/>
  <c r="W12" i="23"/>
  <c r="W12" i="24"/>
  <c r="Z12" i="24"/>
  <c r="W12" i="25"/>
  <c r="Z12" i="26"/>
  <c r="W12" i="20"/>
  <c r="Z13" i="26"/>
  <c r="W13" i="25"/>
  <c r="Z13" i="24"/>
  <c r="W13" i="24"/>
  <c r="W13" i="23"/>
  <c r="Z13" i="21"/>
  <c r="W13" i="21"/>
  <c r="W13" i="22"/>
  <c r="Y13" i="25"/>
  <c r="Z14" i="25"/>
  <c r="W13" i="20"/>
  <c r="Y12" i="25" l="1"/>
  <c r="Y11" i="25"/>
  <c r="Z13" i="25"/>
  <c r="Z12" i="25" l="1"/>
  <c r="Z11" i="25"/>
  <c r="T30" i="20"/>
  <c r="T29" i="20"/>
  <c r="X30" i="20"/>
  <c r="Z30" i="20" s="1"/>
  <c r="X29" i="20" l="1"/>
  <c r="Z29" i="20" l="1"/>
  <c r="X28" i="20"/>
  <c r="T27" i="20" l="1"/>
  <c r="Z28" i="20"/>
  <c r="X27" i="20"/>
  <c r="X26" i="20" l="1"/>
  <c r="Z27" i="20"/>
  <c r="T26" i="20"/>
  <c r="T25" i="20" l="1"/>
  <c r="X25" i="20"/>
  <c r="Z26" i="20"/>
  <c r="X24" i="20" l="1"/>
  <c r="Z25" i="20"/>
  <c r="T24" i="20"/>
  <c r="T23" i="20" l="1"/>
  <c r="X23" i="20"/>
  <c r="Z24" i="20"/>
  <c r="Z23" i="20" l="1"/>
  <c r="X22" i="20"/>
  <c r="T22" i="20"/>
  <c r="T21" i="20" l="1"/>
  <c r="X21" i="20"/>
  <c r="Z22" i="20"/>
  <c r="X20" i="20" l="1"/>
  <c r="Z21" i="20"/>
  <c r="T20" i="20"/>
  <c r="T19" i="20" l="1"/>
  <c r="Z20" i="20"/>
  <c r="X19" i="20"/>
  <c r="Z19" i="20" l="1"/>
  <c r="X18" i="20"/>
  <c r="T18" i="20"/>
  <c r="T17" i="20" l="1"/>
  <c r="X17" i="20"/>
  <c r="Z18" i="20"/>
  <c r="Z17" i="20" l="1"/>
  <c r="X16" i="20"/>
  <c r="T16" i="20"/>
  <c r="T15" i="20" l="1"/>
  <c r="Z16" i="20"/>
  <c r="X15" i="20"/>
  <c r="Z15" i="20" l="1"/>
  <c r="X14" i="20"/>
  <c r="T14" i="20"/>
  <c r="T13" i="20" l="1"/>
  <c r="Z14" i="20"/>
  <c r="X13" i="20"/>
  <c r="X12" i="20" s="1"/>
  <c r="X11" i="20" s="1"/>
  <c r="Z11" i="20" s="1"/>
  <c r="Z12" i="20" l="1"/>
  <c r="Z13" i="20"/>
  <c r="N4" i="26" l="1"/>
  <c r="N4" i="22"/>
  <c r="N4" i="21"/>
  <c r="N4" i="23"/>
  <c r="N4" i="25"/>
  <c r="S38" i="22" l="1"/>
  <c r="G38" i="22" s="1"/>
  <c r="H38" i="22" l="1"/>
  <c r="Q38" i="22" s="1"/>
  <c r="Y38" i="22"/>
  <c r="Z38" i="22" s="1"/>
  <c r="T38" i="22"/>
  <c r="AA38" i="22"/>
  <c r="Y37" i="22" l="1"/>
  <c r="Y36" i="22" s="1"/>
  <c r="Z37" i="22" l="1"/>
  <c r="Y35" i="22"/>
  <c r="Z36" i="22"/>
  <c r="Y34" i="22" l="1"/>
  <c r="Z35" i="22"/>
  <c r="Z34" i="22" l="1"/>
  <c r="Y33" i="22"/>
  <c r="Y32" i="22" l="1"/>
  <c r="Z33" i="22"/>
  <c r="Y31" i="22" l="1"/>
  <c r="Z32" i="22"/>
  <c r="Y30" i="22" l="1"/>
  <c r="Z31" i="22"/>
  <c r="Z30" i="22" l="1"/>
  <c r="Y29" i="22"/>
  <c r="Z29" i="22" l="1"/>
  <c r="Y28" i="22"/>
  <c r="Y27" i="22" l="1"/>
  <c r="Z28" i="22"/>
  <c r="Y26" i="22" l="1"/>
  <c r="Z27" i="22"/>
  <c r="Z26" i="22" l="1"/>
  <c r="Y25" i="22"/>
  <c r="Y24" i="22" l="1"/>
  <c r="Z25" i="22"/>
  <c r="Z24" i="22" l="1"/>
  <c r="Y23" i="22"/>
  <c r="Z23" i="22" l="1"/>
  <c r="Y22" i="22"/>
  <c r="Z22" i="22" l="1"/>
  <c r="Y21" i="22"/>
  <c r="Z21" i="22" l="1"/>
  <c r="Y20" i="22"/>
  <c r="Z20" i="22" l="1"/>
  <c r="Y19" i="22"/>
  <c r="Z19" i="22" l="1"/>
  <c r="Y18" i="22"/>
  <c r="Y17" i="22" l="1"/>
  <c r="Z18" i="22"/>
  <c r="Z17" i="22" l="1"/>
  <c r="Y16" i="22"/>
  <c r="Z16" i="22" l="1"/>
  <c r="Y15" i="22"/>
  <c r="Z15" i="22" l="1"/>
  <c r="F14" i="22"/>
  <c r="K13" i="22"/>
  <c r="S13" i="22" s="1"/>
  <c r="K14" i="22"/>
  <c r="S14" i="22" s="1"/>
  <c r="T14" i="22" l="1"/>
  <c r="AA14" i="22"/>
  <c r="G14" i="22"/>
  <c r="H14" i="22" s="1"/>
  <c r="Q14" i="22" s="1"/>
  <c r="Y14" i="22"/>
  <c r="T13" i="22"/>
  <c r="AA13" i="22"/>
  <c r="G13" i="22"/>
  <c r="H13" i="22" s="1"/>
  <c r="Q13" i="22" s="1"/>
  <c r="Y13" i="22" l="1"/>
  <c r="Y12" i="22" s="1"/>
  <c r="Y11" i="22" s="1"/>
  <c r="Z11" i="22" s="1"/>
  <c r="Z14" i="22"/>
  <c r="Z12" i="22" l="1"/>
  <c r="Z13" i="22"/>
  <c r="M40" i="24" l="1"/>
  <c r="M41" i="24"/>
  <c r="AA41" i="24" s="1"/>
  <c r="AA40" i="24" l="1"/>
  <c r="M42" i="24"/>
</calcChain>
</file>

<file path=xl/comments1.xml><?xml version="1.0" encoding="utf-8"?>
<comments xmlns="http://schemas.openxmlformats.org/spreadsheetml/2006/main">
  <authors>
    <author>Jorge Gomez Fernandez</author>
  </authors>
  <commentList>
    <comment ref="M42" authorId="0" shapeId="0">
      <text>
        <r>
          <rPr>
            <b/>
            <sz val="9"/>
            <color indexed="81"/>
            <rFont val="Tahoma"/>
            <family val="2"/>
          </rPr>
          <t>Jorge Gomez Fernandez:</t>
        </r>
        <r>
          <rPr>
            <sz val="9"/>
            <color indexed="81"/>
            <rFont val="Tahoma"/>
            <family val="2"/>
          </rPr>
          <t xml:space="preserve">
Formula para las pérdidas</t>
        </r>
      </text>
    </comment>
  </commentList>
</comments>
</file>

<file path=xl/sharedStrings.xml><?xml version="1.0" encoding="utf-8"?>
<sst xmlns="http://schemas.openxmlformats.org/spreadsheetml/2006/main" count="338" uniqueCount="46">
  <si>
    <t>DIA</t>
  </si>
  <si>
    <t>MAD</t>
  </si>
  <si>
    <t>PICO</t>
  </si>
  <si>
    <t>REACT</t>
  </si>
  <si>
    <t>Plan Pico</t>
  </si>
  <si>
    <t>Real Pico</t>
  </si>
  <si>
    <t>Plan</t>
  </si>
  <si>
    <t>FP</t>
  </si>
  <si>
    <t>Firma Responsable</t>
  </si>
  <si>
    <t>Lectura del contador</t>
  </si>
  <si>
    <t>Consumo acumulado Pico kWh</t>
  </si>
  <si>
    <t>Consumo acumulado Total kWh</t>
  </si>
  <si>
    <t>Universidad Camaguey</t>
  </si>
  <si>
    <t>cierre mes anterior</t>
  </si>
  <si>
    <t>Plan   - Real</t>
  </si>
  <si>
    <t>Real</t>
  </si>
  <si>
    <t>Plan - Real</t>
  </si>
  <si>
    <t>Pico Diurno 1 pm</t>
  </si>
  <si>
    <t>Pico Diurno 11 am</t>
  </si>
  <si>
    <t>TOTAL</t>
  </si>
  <si>
    <t>Consumo diario total kWh</t>
  </si>
  <si>
    <t>Consumo diario pico Diurno kWh</t>
  </si>
  <si>
    <t>Consumo diario Pico nocturno kWh</t>
  </si>
  <si>
    <t>Consumo diario kWh y kvarh</t>
  </si>
  <si>
    <t>Día</t>
  </si>
  <si>
    <t>PLAN MES</t>
  </si>
  <si>
    <t>Plan Pico D</t>
  </si>
  <si>
    <t>Plan Pico N</t>
  </si>
  <si>
    <t xml:space="preserve">                                                                  TABLA 1A</t>
  </si>
  <si>
    <t xml:space="preserve">                                                                        ANEXO No. 1.</t>
  </si>
  <si>
    <t xml:space="preserve">Cumplimiento del plan de consumo de energía eléctrica total, mes: </t>
  </si>
  <si>
    <t>SERVICIO: PREPARATORIA</t>
  </si>
  <si>
    <t>SERVICIO: CIENCIA ANIMAL</t>
  </si>
  <si>
    <t>SRVICIO: AREA CULTURAL</t>
  </si>
  <si>
    <t>SERVICIO: LABORATORIO TECNICO</t>
  </si>
  <si>
    <t>SERVICIO: COCINA COMEDOR</t>
  </si>
  <si>
    <t>SERVICIO: JOSE MARTÍ</t>
  </si>
  <si>
    <t>SERVICIO: MANUEL FAJARDO</t>
  </si>
  <si>
    <t>Aprobado:</t>
  </si>
  <si>
    <t xml:space="preserve"> </t>
  </si>
  <si>
    <t xml:space="preserve">  </t>
  </si>
  <si>
    <t>Perdidas:</t>
  </si>
  <si>
    <t>total</t>
  </si>
  <si>
    <t>diaria</t>
  </si>
  <si>
    <t>Ms.C. Jorge Luis García Santana</t>
  </si>
  <si>
    <t>Director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</si>
</sst>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Tahoma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9"/>
      <name val="Tahoma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0" fontId="9" fillId="0" borderId="0" xfId="0" applyFont="1"/>
    <xf numFmtId="0" fontId="1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4" fillId="0" borderId="0" xfId="0" applyFont="1"/>
    <xf numFmtId="0" fontId="2" fillId="0" borderId="1" xfId="0" applyFont="1" applyBorder="1" applyAlignment="1">
      <alignment horizontal="center" vertical="center" wrapText="1"/>
    </xf>
    <xf numFmtId="0" fontId="8" fillId="0" borderId="0" xfId="0" applyFont="1"/>
    <xf numFmtId="0" fontId="18" fillId="0" borderId="0" xfId="0" applyFont="1"/>
    <xf numFmtId="0" fontId="19" fillId="0" borderId="0" xfId="0" applyFont="1"/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1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2" fontId="1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7" fontId="8" fillId="0" borderId="0" xfId="0" applyNumberFormat="1" applyFont="1"/>
    <xf numFmtId="1" fontId="14" fillId="0" borderId="0" xfId="0" applyNumberFormat="1" applyFont="1" applyAlignment="1">
      <alignment horizontal="left"/>
    </xf>
    <xf numFmtId="0" fontId="14" fillId="0" borderId="0" xfId="0" applyFont="1" applyAlignment="1">
      <alignment horizontal="right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wrapText="1"/>
    </xf>
    <xf numFmtId="1" fontId="0" fillId="0" borderId="0" xfId="0" applyNumberFormat="1"/>
    <xf numFmtId="17" fontId="7" fillId="0" borderId="0" xfId="0" applyNumberFormat="1" applyFont="1"/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right"/>
    </xf>
    <xf numFmtId="0" fontId="12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/>
    <xf numFmtId="14" fontId="0" fillId="0" borderId="0" xfId="0" applyNumberFormat="1"/>
    <xf numFmtId="1" fontId="9" fillId="2" borderId="1" xfId="0" applyNumberFormat="1" applyFont="1" applyFill="1" applyBorder="1" applyAlignment="1">
      <alignment horizontal="center" vertical="center" wrapText="1"/>
    </xf>
    <xf numFmtId="0" fontId="15" fillId="2" borderId="0" xfId="0" applyFont="1" applyFill="1"/>
    <xf numFmtId="1" fontId="10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1" fontId="2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" fontId="10" fillId="3" borderId="1" xfId="0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" fontId="9" fillId="3" borderId="2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top" wrapText="1"/>
    </xf>
    <xf numFmtId="2" fontId="10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3" borderId="0" xfId="0" applyFill="1"/>
    <xf numFmtId="1" fontId="21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2" fontId="10" fillId="0" borderId="4" xfId="0" applyNumberFormat="1" applyFont="1" applyBorder="1" applyAlignment="1">
      <alignment horizontal="center" vertical="center" wrapText="1"/>
    </xf>
    <xf numFmtId="2" fontId="9" fillId="0" borderId="3" xfId="0" applyNumberFormat="1" applyFont="1" applyBorder="1" applyAlignment="1">
      <alignment horizontal="center"/>
    </xf>
    <xf numFmtId="170" fontId="9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B2:AB50"/>
  <sheetViews>
    <sheetView tabSelected="1" topLeftCell="G1" zoomScale="70" zoomScaleNormal="70" zoomScaleSheetLayoutView="93" workbookViewId="0">
      <pane ySplit="8" topLeftCell="A23" activePane="bottomLeft" state="frozen"/>
      <selection pane="bottomLeft" activeCell="AA42" sqref="AA42"/>
    </sheetView>
  </sheetViews>
  <sheetFormatPr baseColWidth="10" defaultColWidth="11.42578125" defaultRowHeight="15" x14ac:dyDescent="0.25"/>
  <cols>
    <col min="1" max="2" width="11.42578125" customWidth="1"/>
    <col min="3" max="3" width="13.85546875" bestFit="1" customWidth="1"/>
    <col min="4" max="4" width="12.28515625" bestFit="1" customWidth="1"/>
    <col min="5" max="5" width="11.42578125" customWidth="1"/>
    <col min="8" max="9" width="12.28515625" bestFit="1" customWidth="1"/>
    <col min="13" max="13" width="14.28515625" customWidth="1"/>
    <col min="16" max="16" width="13.42578125" bestFit="1" customWidth="1"/>
    <col min="17" max="17" width="13.140625" customWidth="1"/>
    <col min="19" max="19" width="11.5703125" bestFit="1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v>45444</v>
      </c>
    </row>
    <row r="5" spans="2:28" x14ac:dyDescent="0.25">
      <c r="C5" s="67" t="s">
        <v>35</v>
      </c>
      <c r="D5" s="67"/>
      <c r="E5" s="67"/>
      <c r="U5" t="s">
        <v>42</v>
      </c>
      <c r="V5" t="s">
        <v>43</v>
      </c>
    </row>
    <row r="6" spans="2:28" ht="15.75" x14ac:dyDescent="0.25">
      <c r="N6" s="13" t="s">
        <v>27</v>
      </c>
      <c r="O6" s="29">
        <f>S6*16.5%</f>
        <v>4125</v>
      </c>
      <c r="P6" s="30" t="s">
        <v>26</v>
      </c>
      <c r="Q6" s="11">
        <f>(S6*8)/100</f>
        <v>2000</v>
      </c>
      <c r="R6" s="13" t="s">
        <v>25</v>
      </c>
      <c r="S6" s="11">
        <v>25000</v>
      </c>
      <c r="T6" t="s">
        <v>41</v>
      </c>
      <c r="U6">
        <v>465</v>
      </c>
      <c r="V6">
        <f>U6/31</f>
        <v>15</v>
      </c>
    </row>
    <row r="7" spans="2:28" ht="46.5" customHeight="1" x14ac:dyDescent="0.25">
      <c r="B7" s="70" t="s">
        <v>24</v>
      </c>
      <c r="C7" s="68" t="s">
        <v>9</v>
      </c>
      <c r="D7" s="68"/>
      <c r="E7" s="68"/>
      <c r="F7" s="68"/>
      <c r="G7" s="68"/>
      <c r="H7" s="68"/>
      <c r="I7" s="68"/>
      <c r="J7" s="68" t="s">
        <v>23</v>
      </c>
      <c r="K7" s="68"/>
      <c r="L7" s="68"/>
      <c r="M7" s="68"/>
      <c r="N7" s="68" t="s">
        <v>22</v>
      </c>
      <c r="O7" s="68"/>
      <c r="P7" s="68"/>
      <c r="Q7" s="69" t="s">
        <v>21</v>
      </c>
      <c r="R7" s="68" t="s">
        <v>20</v>
      </c>
      <c r="S7" s="68"/>
      <c r="T7" s="68"/>
      <c r="U7" s="68" t="s">
        <v>10</v>
      </c>
      <c r="V7" s="68"/>
      <c r="W7" s="68"/>
      <c r="X7" s="68" t="s">
        <v>11</v>
      </c>
      <c r="Y7" s="68"/>
      <c r="Z7" s="68"/>
      <c r="AA7" s="68"/>
      <c r="AB7" s="69" t="s">
        <v>8</v>
      </c>
    </row>
    <row r="8" spans="2:28" ht="30" x14ac:dyDescent="0.25">
      <c r="B8" s="70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69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6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5" customFormat="1" ht="18" x14ac:dyDescent="0.25">
      <c r="B11" s="56">
        <v>31</v>
      </c>
      <c r="C11" s="57"/>
      <c r="D11" s="57"/>
      <c r="E11" s="57"/>
      <c r="F11" s="58">
        <f t="shared" ref="F11" si="0">C11+D11+E11</f>
        <v>0</v>
      </c>
      <c r="G11" s="59">
        <f t="shared" ref="G11" si="1">(C12+D12+E12)+((S11/24)*9.5)</f>
        <v>563450.0625</v>
      </c>
      <c r="H11" s="57">
        <f t="shared" ref="H11" si="2">G11+((K11/12)*2.5)</f>
        <v>447876.3125</v>
      </c>
      <c r="I11" s="57"/>
      <c r="J11" s="60">
        <f t="shared" ref="J11:L11" si="3">C11-C12</f>
        <v>-246320</v>
      </c>
      <c r="K11" s="60">
        <f t="shared" si="3"/>
        <v>-554754</v>
      </c>
      <c r="L11" s="60">
        <f t="shared" si="3"/>
        <v>-131533</v>
      </c>
      <c r="M11" s="60">
        <f t="shared" ref="M11" si="4">I11-I12</f>
        <v>-656569</v>
      </c>
      <c r="N11" s="61">
        <f t="shared" ref="N11" si="5">N12</f>
        <v>137.5</v>
      </c>
      <c r="O11" s="62">
        <f t="shared" ref="O11" si="6">L11</f>
        <v>-131533</v>
      </c>
      <c r="P11" s="61">
        <f t="shared" ref="P11" si="7">N11-O11</f>
        <v>131670.5</v>
      </c>
      <c r="Q11" s="61">
        <f t="shared" ref="Q11" si="8">H11-G11</f>
        <v>-115573.75</v>
      </c>
      <c r="R11" s="57">
        <f t="shared" ref="R11" si="9">R12</f>
        <v>833.33333333333337</v>
      </c>
      <c r="S11" s="60">
        <f t="shared" ref="S11" si="10">J11+K11+L11</f>
        <v>-932607</v>
      </c>
      <c r="T11" s="57">
        <f t="shared" ref="T11" si="11">R11-S11</f>
        <v>933440.33333333337</v>
      </c>
      <c r="U11" s="57">
        <f t="shared" ref="U11:V11" si="12">U12+N11</f>
        <v>4262.5</v>
      </c>
      <c r="V11" s="57">
        <f t="shared" si="12"/>
        <v>-129160</v>
      </c>
      <c r="W11" s="57">
        <f t="shared" ref="W11" si="13">U11-V11</f>
        <v>133422.5</v>
      </c>
      <c r="X11" s="57">
        <f t="shared" ref="X11:Y11" si="14">X12+R11</f>
        <v>25833.333333333325</v>
      </c>
      <c r="Y11" s="57">
        <f t="shared" si="14"/>
        <v>-918303</v>
      </c>
      <c r="Z11" s="57">
        <f t="shared" ref="Z11" si="15">X11-Y11</f>
        <v>944136.33333333337</v>
      </c>
      <c r="AA11" s="63">
        <f t="shared" ref="AA11" si="16">COS(ATAN(M11/S11))</f>
        <v>0.8176867338646242</v>
      </c>
      <c r="AB11" s="64"/>
    </row>
    <row r="12" spans="2:28" ht="18" x14ac:dyDescent="0.25">
      <c r="B12" s="3">
        <v>30</v>
      </c>
      <c r="C12" s="3">
        <v>246320</v>
      </c>
      <c r="D12" s="3">
        <v>554754</v>
      </c>
      <c r="E12" s="3">
        <v>131533</v>
      </c>
      <c r="F12" s="8">
        <f t="shared" ref="F12" si="17">C12+D12+E12</f>
        <v>932607</v>
      </c>
      <c r="G12" s="22">
        <f t="shared" ref="G12" si="18">(C13+D13+E13)+((S12/24)*7.5)</f>
        <v>932273.5625</v>
      </c>
      <c r="H12" s="7">
        <f t="shared" ref="H12" si="19">G12+((K12/12)*2.5)</f>
        <v>932309.8125</v>
      </c>
      <c r="I12" s="3">
        <v>656569</v>
      </c>
      <c r="J12" s="6">
        <f t="shared" ref="J12" si="20">C12-C13</f>
        <v>203</v>
      </c>
      <c r="K12" s="6">
        <f t="shared" ref="K12" si="21">D12-D13</f>
        <v>174</v>
      </c>
      <c r="L12" s="6">
        <f t="shared" ref="L12" si="22">E12-E13</f>
        <v>108</v>
      </c>
      <c r="M12" s="6">
        <f t="shared" ref="M12" si="23">I12-I13</f>
        <v>299</v>
      </c>
      <c r="N12" s="5">
        <f t="shared" ref="N12:N40" si="24">N13</f>
        <v>137.5</v>
      </c>
      <c r="O12" s="23">
        <f t="shared" ref="O12" si="25">L12</f>
        <v>108</v>
      </c>
      <c r="P12" s="5">
        <f t="shared" ref="P12" si="26">N12-O12</f>
        <v>29.5</v>
      </c>
      <c r="Q12" s="5">
        <f t="shared" ref="Q12" si="27">H12-G12</f>
        <v>36.25</v>
      </c>
      <c r="R12" s="7">
        <f t="shared" ref="R12:R39" si="28">R13</f>
        <v>833.33333333333337</v>
      </c>
      <c r="S12" s="6">
        <f t="shared" ref="S12" si="29">J12+K12+L12</f>
        <v>485</v>
      </c>
      <c r="T12" s="7">
        <f t="shared" ref="T12" si="30">R12-S12</f>
        <v>348.33333333333337</v>
      </c>
      <c r="U12" s="7">
        <f t="shared" ref="U12" si="31">U13+N12</f>
        <v>4125</v>
      </c>
      <c r="V12" s="7">
        <f t="shared" ref="V12" si="32">V13+O12</f>
        <v>2373</v>
      </c>
      <c r="W12" s="7">
        <f t="shared" ref="W12" si="33">U12-V12</f>
        <v>1752</v>
      </c>
      <c r="X12" s="7">
        <f t="shared" ref="X12" si="34">X13+R12</f>
        <v>24999.999999999993</v>
      </c>
      <c r="Y12" s="7">
        <f t="shared" ref="Y12" si="35">Y13+S12</f>
        <v>14304</v>
      </c>
      <c r="Z12" s="7">
        <f t="shared" ref="Z12" si="36">X12-Y12</f>
        <v>10695.999999999993</v>
      </c>
      <c r="AA12" s="24">
        <f t="shared" ref="AA12" si="37">COS(ATAN(M12/S12))</f>
        <v>0.85123620793536026</v>
      </c>
      <c r="AB12" s="25"/>
    </row>
    <row r="13" spans="2:28" ht="18" x14ac:dyDescent="0.25">
      <c r="B13" s="3">
        <v>29</v>
      </c>
      <c r="C13" s="3">
        <f>C14+200</f>
        <v>246117</v>
      </c>
      <c r="D13" s="3">
        <f>D14+92</f>
        <v>554580</v>
      </c>
      <c r="E13" s="3">
        <f>E14+109</f>
        <v>131425</v>
      </c>
      <c r="F13" s="8">
        <f>C13+D13+E13</f>
        <v>932122</v>
      </c>
      <c r="G13" s="22">
        <f t="shared" ref="G13:G41" si="38">(C14+D14+E14)+((S13/24)*7.5)</f>
        <v>931846.3125</v>
      </c>
      <c r="H13" s="7">
        <f t="shared" ref="H13:H41" si="39">G13+((K13/12)*2.5)</f>
        <v>931865.47916666663</v>
      </c>
      <c r="I13" s="3">
        <f>I14+350</f>
        <v>656270</v>
      </c>
      <c r="J13" s="6">
        <f t="shared" ref="J13:L13" si="40">C13-C14</f>
        <v>200</v>
      </c>
      <c r="K13" s="6">
        <f t="shared" si="40"/>
        <v>92</v>
      </c>
      <c r="L13" s="6">
        <f t="shared" si="40"/>
        <v>109</v>
      </c>
      <c r="M13" s="6">
        <f t="shared" ref="M13:M41" si="41">I13-I14</f>
        <v>350</v>
      </c>
      <c r="N13" s="5">
        <f t="shared" si="24"/>
        <v>137.5</v>
      </c>
      <c r="O13" s="23">
        <f t="shared" ref="O13:O41" si="42">L13</f>
        <v>109</v>
      </c>
      <c r="P13" s="5">
        <f t="shared" ref="P13:P41" si="43">N13-O13</f>
        <v>28.5</v>
      </c>
      <c r="Q13" s="5">
        <f t="shared" ref="Q13:Q41" si="44">H13-G13</f>
        <v>19.166666666627862</v>
      </c>
      <c r="R13" s="7">
        <f t="shared" si="28"/>
        <v>833.33333333333337</v>
      </c>
      <c r="S13" s="6">
        <f t="shared" ref="S13:S39" si="45">J13+K13+L13</f>
        <v>401</v>
      </c>
      <c r="T13" s="7">
        <f t="shared" ref="T13:T41" si="46">R13-S13</f>
        <v>432.33333333333337</v>
      </c>
      <c r="U13" s="7">
        <f t="shared" ref="U13:V40" si="47">U14+N13</f>
        <v>3987.5</v>
      </c>
      <c r="V13" s="7">
        <f t="shared" si="47"/>
        <v>2265</v>
      </c>
      <c r="W13" s="7">
        <f t="shared" ref="W13:W41" si="48">U13-V13</f>
        <v>1722.5</v>
      </c>
      <c r="X13" s="7">
        <f t="shared" ref="X13:Y40" si="49">X14+R13</f>
        <v>24166.666666666661</v>
      </c>
      <c r="Y13" s="7">
        <f t="shared" si="49"/>
        <v>13819</v>
      </c>
      <c r="Z13" s="7">
        <f t="shared" ref="Z13:Z41" si="50">X13-Y13</f>
        <v>10347.666666666661</v>
      </c>
      <c r="AA13" s="24">
        <f t="shared" ref="AA13:AA41" si="51">COS(ATAN(M13/S13))</f>
        <v>0.75339081099524885</v>
      </c>
      <c r="AB13" s="25"/>
    </row>
    <row r="14" spans="2:28" ht="18" x14ac:dyDescent="0.25">
      <c r="B14" s="3">
        <v>28</v>
      </c>
      <c r="C14" s="3">
        <f>C15+183</f>
        <v>245917</v>
      </c>
      <c r="D14" s="3">
        <f>D15+231</f>
        <v>554488</v>
      </c>
      <c r="E14" s="3">
        <f>E15+114</f>
        <v>131316</v>
      </c>
      <c r="F14" s="8">
        <f t="shared" ref="F14:F41" si="52">C14+D14+E14</f>
        <v>931721</v>
      </c>
      <c r="G14" s="22">
        <f t="shared" si="38"/>
        <v>931358</v>
      </c>
      <c r="H14" s="7">
        <f t="shared" si="39"/>
        <v>931406.125</v>
      </c>
      <c r="I14" s="3">
        <f>I15+342</f>
        <v>655920</v>
      </c>
      <c r="J14" s="6">
        <f t="shared" ref="J14:L41" si="53">C14-C15</f>
        <v>183</v>
      </c>
      <c r="K14" s="6">
        <f t="shared" si="53"/>
        <v>231</v>
      </c>
      <c r="L14" s="6">
        <f t="shared" si="53"/>
        <v>114</v>
      </c>
      <c r="M14" s="6">
        <f t="shared" si="41"/>
        <v>342</v>
      </c>
      <c r="N14" s="5">
        <f t="shared" si="24"/>
        <v>137.5</v>
      </c>
      <c r="O14" s="23">
        <f t="shared" si="42"/>
        <v>114</v>
      </c>
      <c r="P14" s="5">
        <f t="shared" si="43"/>
        <v>23.5</v>
      </c>
      <c r="Q14" s="5">
        <f t="shared" si="44"/>
        <v>48.125</v>
      </c>
      <c r="R14" s="7">
        <f t="shared" si="28"/>
        <v>833.33333333333337</v>
      </c>
      <c r="S14" s="6">
        <f t="shared" si="45"/>
        <v>528</v>
      </c>
      <c r="T14" s="7">
        <f t="shared" si="46"/>
        <v>305.33333333333337</v>
      </c>
      <c r="U14" s="7">
        <f t="shared" si="47"/>
        <v>3850</v>
      </c>
      <c r="V14" s="7">
        <f t="shared" si="47"/>
        <v>2156</v>
      </c>
      <c r="W14" s="7">
        <f t="shared" si="48"/>
        <v>1694</v>
      </c>
      <c r="X14" s="7">
        <f t="shared" si="49"/>
        <v>23333.333333333328</v>
      </c>
      <c r="Y14" s="7">
        <f t="shared" si="49"/>
        <v>13418</v>
      </c>
      <c r="Z14" s="7">
        <f t="shared" si="50"/>
        <v>9915.3333333333285</v>
      </c>
      <c r="AA14" s="24">
        <f t="shared" si="51"/>
        <v>0.83931417554599075</v>
      </c>
      <c r="AB14" s="25"/>
    </row>
    <row r="15" spans="2:28" ht="18" x14ac:dyDescent="0.25">
      <c r="B15" s="3">
        <v>27</v>
      </c>
      <c r="C15" s="3">
        <f>C16+190</f>
        <v>245734</v>
      </c>
      <c r="D15" s="3">
        <f>D16+192</f>
        <v>554257</v>
      </c>
      <c r="E15" s="3">
        <f>E16+110</f>
        <v>131202</v>
      </c>
      <c r="F15" s="8">
        <f t="shared" si="52"/>
        <v>931193</v>
      </c>
      <c r="G15" s="22">
        <f t="shared" si="38"/>
        <v>930854.75</v>
      </c>
      <c r="H15" s="7">
        <f t="shared" si="39"/>
        <v>930894.75</v>
      </c>
      <c r="I15" s="3">
        <f>I16+355</f>
        <v>655578</v>
      </c>
      <c r="J15" s="6">
        <f t="shared" si="53"/>
        <v>190</v>
      </c>
      <c r="K15" s="6">
        <f t="shared" si="53"/>
        <v>192</v>
      </c>
      <c r="L15" s="6">
        <f t="shared" si="53"/>
        <v>110</v>
      </c>
      <c r="M15" s="6">
        <f t="shared" si="41"/>
        <v>355</v>
      </c>
      <c r="N15" s="5">
        <f t="shared" si="24"/>
        <v>137.5</v>
      </c>
      <c r="O15" s="23">
        <f t="shared" si="42"/>
        <v>110</v>
      </c>
      <c r="P15" s="5">
        <f t="shared" si="43"/>
        <v>27.5</v>
      </c>
      <c r="Q15" s="5">
        <f t="shared" si="44"/>
        <v>40</v>
      </c>
      <c r="R15" s="7">
        <f t="shared" si="28"/>
        <v>833.33333333333337</v>
      </c>
      <c r="S15" s="6">
        <f t="shared" si="45"/>
        <v>492</v>
      </c>
      <c r="T15" s="7">
        <f t="shared" si="46"/>
        <v>341.33333333333337</v>
      </c>
      <c r="U15" s="7">
        <f t="shared" si="47"/>
        <v>3712.5</v>
      </c>
      <c r="V15" s="7">
        <f t="shared" si="47"/>
        <v>2042</v>
      </c>
      <c r="W15" s="7">
        <f t="shared" si="48"/>
        <v>1670.5</v>
      </c>
      <c r="X15" s="7">
        <f t="shared" si="49"/>
        <v>22499.999999999996</v>
      </c>
      <c r="Y15" s="7">
        <f t="shared" si="49"/>
        <v>12890</v>
      </c>
      <c r="Z15" s="7">
        <f t="shared" si="50"/>
        <v>9609.9999999999964</v>
      </c>
      <c r="AA15" s="24">
        <f t="shared" si="51"/>
        <v>0.81093992617600685</v>
      </c>
      <c r="AB15" s="25"/>
    </row>
    <row r="16" spans="2:28" ht="18" x14ac:dyDescent="0.25">
      <c r="B16" s="3">
        <v>26</v>
      </c>
      <c r="C16" s="3">
        <f>C17+197</f>
        <v>245544</v>
      </c>
      <c r="D16" s="3">
        <f>D17+234</f>
        <v>554065</v>
      </c>
      <c r="E16" s="3">
        <f>E17+112</f>
        <v>131092</v>
      </c>
      <c r="F16" s="8">
        <f t="shared" si="52"/>
        <v>930701</v>
      </c>
      <c r="G16" s="22">
        <f t="shared" si="38"/>
        <v>930327.6875</v>
      </c>
      <c r="H16" s="7">
        <f t="shared" si="39"/>
        <v>930376.4375</v>
      </c>
      <c r="I16" s="3">
        <f>I17+351</f>
        <v>655223</v>
      </c>
      <c r="J16" s="6">
        <f t="shared" si="53"/>
        <v>197</v>
      </c>
      <c r="K16" s="6">
        <f t="shared" si="53"/>
        <v>234</v>
      </c>
      <c r="L16" s="6">
        <f t="shared" si="53"/>
        <v>112</v>
      </c>
      <c r="M16" s="6">
        <f t="shared" si="41"/>
        <v>351</v>
      </c>
      <c r="N16" s="5">
        <f t="shared" si="24"/>
        <v>137.5</v>
      </c>
      <c r="O16" s="23">
        <f t="shared" si="42"/>
        <v>112</v>
      </c>
      <c r="P16" s="5">
        <f t="shared" si="43"/>
        <v>25.5</v>
      </c>
      <c r="Q16" s="5">
        <f t="shared" si="44"/>
        <v>48.75</v>
      </c>
      <c r="R16" s="7">
        <f t="shared" si="28"/>
        <v>833.33333333333337</v>
      </c>
      <c r="S16" s="6">
        <f t="shared" si="45"/>
        <v>543</v>
      </c>
      <c r="T16" s="7">
        <f t="shared" si="46"/>
        <v>290.33333333333337</v>
      </c>
      <c r="U16" s="7">
        <f t="shared" si="47"/>
        <v>3575</v>
      </c>
      <c r="V16" s="7">
        <f t="shared" si="47"/>
        <v>1932</v>
      </c>
      <c r="W16" s="7">
        <f t="shared" si="48"/>
        <v>1643</v>
      </c>
      <c r="X16" s="7">
        <f t="shared" si="49"/>
        <v>21666.666666666664</v>
      </c>
      <c r="Y16" s="7">
        <f t="shared" si="49"/>
        <v>12398</v>
      </c>
      <c r="Z16" s="7">
        <f t="shared" si="50"/>
        <v>9268.6666666666642</v>
      </c>
      <c r="AA16" s="24">
        <f t="shared" si="51"/>
        <v>0.83981903837839988</v>
      </c>
      <c r="AB16" s="25"/>
    </row>
    <row r="17" spans="2:28" ht="18" x14ac:dyDescent="0.25">
      <c r="B17" s="3">
        <v>25</v>
      </c>
      <c r="C17" s="3">
        <v>245347</v>
      </c>
      <c r="D17" s="3">
        <v>553831</v>
      </c>
      <c r="E17" s="3">
        <v>130980</v>
      </c>
      <c r="F17" s="8">
        <f t="shared" si="52"/>
        <v>930158</v>
      </c>
      <c r="G17" s="22">
        <f t="shared" si="38"/>
        <v>929778.5</v>
      </c>
      <c r="H17" s="7">
        <f t="shared" si="39"/>
        <v>929855.16666666663</v>
      </c>
      <c r="I17" s="3">
        <v>654872</v>
      </c>
      <c r="J17" s="6">
        <f t="shared" si="53"/>
        <v>101</v>
      </c>
      <c r="K17" s="6">
        <f t="shared" si="53"/>
        <v>368</v>
      </c>
      <c r="L17" s="6">
        <f t="shared" si="53"/>
        <v>83</v>
      </c>
      <c r="M17" s="6">
        <f t="shared" si="41"/>
        <v>368</v>
      </c>
      <c r="N17" s="5">
        <f t="shared" si="24"/>
        <v>137.5</v>
      </c>
      <c r="O17" s="23">
        <f t="shared" si="42"/>
        <v>83</v>
      </c>
      <c r="P17" s="5">
        <f t="shared" si="43"/>
        <v>54.5</v>
      </c>
      <c r="Q17" s="5">
        <f t="shared" si="44"/>
        <v>76.666666666627862</v>
      </c>
      <c r="R17" s="7">
        <f t="shared" si="28"/>
        <v>833.33333333333337</v>
      </c>
      <c r="S17" s="6">
        <f t="shared" si="45"/>
        <v>552</v>
      </c>
      <c r="T17" s="7">
        <f t="shared" si="46"/>
        <v>281.33333333333337</v>
      </c>
      <c r="U17" s="7">
        <f t="shared" si="47"/>
        <v>3437.5</v>
      </c>
      <c r="V17" s="7">
        <f t="shared" si="47"/>
        <v>1820</v>
      </c>
      <c r="W17" s="7">
        <f t="shared" si="48"/>
        <v>1617.5</v>
      </c>
      <c r="X17" s="7">
        <f t="shared" si="49"/>
        <v>20833.333333333332</v>
      </c>
      <c r="Y17" s="7">
        <f t="shared" si="49"/>
        <v>11855</v>
      </c>
      <c r="Z17" s="7">
        <f t="shared" si="50"/>
        <v>8978.3333333333321</v>
      </c>
      <c r="AA17" s="24">
        <f t="shared" si="51"/>
        <v>0.83205029433784372</v>
      </c>
      <c r="AB17" s="25"/>
    </row>
    <row r="18" spans="2:28" ht="18" x14ac:dyDescent="0.25">
      <c r="B18" s="3">
        <v>24</v>
      </c>
      <c r="C18" s="3">
        <f>C19+107</f>
        <v>245246</v>
      </c>
      <c r="D18" s="3">
        <f>D19+372</f>
        <v>553463</v>
      </c>
      <c r="E18" s="3">
        <f>E19+85</f>
        <v>130897</v>
      </c>
      <c r="F18" s="8">
        <f t="shared" si="52"/>
        <v>929606</v>
      </c>
      <c r="G18" s="22">
        <f t="shared" si="38"/>
        <v>929218.25</v>
      </c>
      <c r="H18" s="7">
        <f t="shared" si="39"/>
        <v>929295.75</v>
      </c>
      <c r="I18" s="3">
        <f>I19+379</f>
        <v>654504</v>
      </c>
      <c r="J18" s="6">
        <f t="shared" si="53"/>
        <v>107</v>
      </c>
      <c r="K18" s="6">
        <f t="shared" si="53"/>
        <v>372</v>
      </c>
      <c r="L18" s="6">
        <f t="shared" si="53"/>
        <v>85</v>
      </c>
      <c r="M18" s="6">
        <f t="shared" si="41"/>
        <v>379</v>
      </c>
      <c r="N18" s="5">
        <f t="shared" si="24"/>
        <v>137.5</v>
      </c>
      <c r="O18" s="23">
        <f t="shared" si="42"/>
        <v>85</v>
      </c>
      <c r="P18" s="5">
        <f t="shared" si="43"/>
        <v>52.5</v>
      </c>
      <c r="Q18" s="5">
        <f t="shared" si="44"/>
        <v>77.5</v>
      </c>
      <c r="R18" s="7">
        <f t="shared" si="28"/>
        <v>833.33333333333337</v>
      </c>
      <c r="S18" s="6">
        <f t="shared" si="45"/>
        <v>564</v>
      </c>
      <c r="T18" s="7">
        <f t="shared" si="46"/>
        <v>269.33333333333337</v>
      </c>
      <c r="U18" s="7">
        <f t="shared" si="47"/>
        <v>3300</v>
      </c>
      <c r="V18" s="7">
        <f t="shared" si="47"/>
        <v>1737</v>
      </c>
      <c r="W18" s="7">
        <f t="shared" si="48"/>
        <v>1563</v>
      </c>
      <c r="X18" s="7">
        <f t="shared" si="49"/>
        <v>20000</v>
      </c>
      <c r="Y18" s="7">
        <f t="shared" si="49"/>
        <v>11303</v>
      </c>
      <c r="Z18" s="7">
        <f t="shared" si="50"/>
        <v>8697</v>
      </c>
      <c r="AA18" s="24">
        <f t="shared" si="51"/>
        <v>0.8300070199525591</v>
      </c>
      <c r="AB18" s="25"/>
    </row>
    <row r="19" spans="2:28" ht="18" x14ac:dyDescent="0.25">
      <c r="B19" s="3">
        <v>23</v>
      </c>
      <c r="C19" s="3">
        <v>245139</v>
      </c>
      <c r="D19" s="3">
        <v>553091</v>
      </c>
      <c r="E19" s="3">
        <v>130812</v>
      </c>
      <c r="F19" s="8">
        <f t="shared" si="52"/>
        <v>929042</v>
      </c>
      <c r="G19" s="22">
        <f t="shared" si="38"/>
        <v>928697.5625</v>
      </c>
      <c r="H19" s="7">
        <f t="shared" si="39"/>
        <v>928746.72916666663</v>
      </c>
      <c r="I19" s="3">
        <v>654125</v>
      </c>
      <c r="J19" s="6">
        <f t="shared" si="53"/>
        <v>211</v>
      </c>
      <c r="K19" s="6">
        <f t="shared" si="53"/>
        <v>236</v>
      </c>
      <c r="L19" s="6">
        <f t="shared" si="53"/>
        <v>54</v>
      </c>
      <c r="M19" s="6">
        <f t="shared" si="41"/>
        <v>363</v>
      </c>
      <c r="N19" s="5">
        <f t="shared" si="24"/>
        <v>137.5</v>
      </c>
      <c r="O19" s="3">
        <f t="shared" si="42"/>
        <v>54</v>
      </c>
      <c r="P19" s="5">
        <f t="shared" si="43"/>
        <v>83.5</v>
      </c>
      <c r="Q19" s="5">
        <f t="shared" si="44"/>
        <v>49.166666666627862</v>
      </c>
      <c r="R19" s="7">
        <f t="shared" si="28"/>
        <v>833.33333333333337</v>
      </c>
      <c r="S19" s="6">
        <f t="shared" si="45"/>
        <v>501</v>
      </c>
      <c r="T19" s="7">
        <f t="shared" si="46"/>
        <v>332.33333333333337</v>
      </c>
      <c r="U19" s="7">
        <f t="shared" si="47"/>
        <v>3162.5</v>
      </c>
      <c r="V19" s="7">
        <f t="shared" si="47"/>
        <v>1652</v>
      </c>
      <c r="W19" s="7">
        <f t="shared" si="48"/>
        <v>1510.5</v>
      </c>
      <c r="X19" s="7">
        <f t="shared" si="49"/>
        <v>19166.666666666668</v>
      </c>
      <c r="Y19" s="7">
        <f t="shared" si="49"/>
        <v>10739</v>
      </c>
      <c r="Z19" s="7">
        <f t="shared" si="50"/>
        <v>8427.6666666666679</v>
      </c>
      <c r="AA19" s="24">
        <f t="shared" si="51"/>
        <v>0.80978323219322834</v>
      </c>
      <c r="AB19" s="1"/>
    </row>
    <row r="20" spans="2:28" ht="18" x14ac:dyDescent="0.25">
      <c r="B20" s="3">
        <v>22</v>
      </c>
      <c r="C20" s="3">
        <f>C21+213</f>
        <v>244928</v>
      </c>
      <c r="D20" s="3">
        <f>D21+233</f>
        <v>552855</v>
      </c>
      <c r="E20" s="3">
        <f>E21+56</f>
        <v>130758</v>
      </c>
      <c r="F20" s="8">
        <f t="shared" si="52"/>
        <v>928541</v>
      </c>
      <c r="G20" s="22">
        <f t="shared" si="38"/>
        <v>928195.875</v>
      </c>
      <c r="H20" s="7">
        <f t="shared" si="39"/>
        <v>928244.41666666663</v>
      </c>
      <c r="I20" s="3">
        <f>I21+366</f>
        <v>653762</v>
      </c>
      <c r="J20" s="6">
        <f t="shared" si="53"/>
        <v>213</v>
      </c>
      <c r="K20" s="6">
        <f t="shared" si="53"/>
        <v>233</v>
      </c>
      <c r="L20" s="6">
        <f t="shared" si="53"/>
        <v>56</v>
      </c>
      <c r="M20" s="6">
        <f t="shared" si="41"/>
        <v>366</v>
      </c>
      <c r="N20" s="5">
        <f t="shared" si="24"/>
        <v>137.5</v>
      </c>
      <c r="O20" s="3">
        <f t="shared" si="42"/>
        <v>56</v>
      </c>
      <c r="P20" s="5">
        <f t="shared" si="43"/>
        <v>81.5</v>
      </c>
      <c r="Q20" s="5">
        <f t="shared" si="44"/>
        <v>48.541666666627862</v>
      </c>
      <c r="R20" s="7">
        <f t="shared" si="28"/>
        <v>833.33333333333337</v>
      </c>
      <c r="S20" s="6">
        <f t="shared" si="45"/>
        <v>502</v>
      </c>
      <c r="T20" s="7">
        <f t="shared" si="46"/>
        <v>331.33333333333337</v>
      </c>
      <c r="U20" s="7">
        <f t="shared" si="47"/>
        <v>3025</v>
      </c>
      <c r="V20" s="7">
        <f t="shared" si="47"/>
        <v>1598</v>
      </c>
      <c r="W20" s="7">
        <f t="shared" si="48"/>
        <v>1427</v>
      </c>
      <c r="X20" s="7">
        <f t="shared" si="49"/>
        <v>18333.333333333336</v>
      </c>
      <c r="Y20" s="7">
        <f t="shared" si="49"/>
        <v>10238</v>
      </c>
      <c r="Z20" s="7">
        <f t="shared" si="50"/>
        <v>8095.3333333333358</v>
      </c>
      <c r="AA20" s="24">
        <f t="shared" si="51"/>
        <v>0.80803945728855653</v>
      </c>
      <c r="AB20" s="1"/>
    </row>
    <row r="21" spans="2:28" ht="18" x14ac:dyDescent="0.25">
      <c r="B21" s="3">
        <v>21</v>
      </c>
      <c r="C21" s="3">
        <f>C22+215</f>
        <v>244715</v>
      </c>
      <c r="D21" s="3">
        <f>D22+230</f>
        <v>552622</v>
      </c>
      <c r="E21" s="3">
        <f>E22+59</f>
        <v>130702</v>
      </c>
      <c r="F21" s="8">
        <f t="shared" si="52"/>
        <v>928039</v>
      </c>
      <c r="G21" s="22">
        <f t="shared" si="38"/>
        <v>927692.5</v>
      </c>
      <c r="H21" s="7">
        <f t="shared" si="39"/>
        <v>927740.41666666663</v>
      </c>
      <c r="I21" s="3">
        <f>I22+369</f>
        <v>653396</v>
      </c>
      <c r="J21" s="6">
        <f t="shared" si="53"/>
        <v>215</v>
      </c>
      <c r="K21" s="6">
        <f t="shared" si="53"/>
        <v>230</v>
      </c>
      <c r="L21" s="6">
        <f t="shared" si="53"/>
        <v>59</v>
      </c>
      <c r="M21" s="6">
        <f t="shared" si="41"/>
        <v>369</v>
      </c>
      <c r="N21" s="5">
        <f t="shared" si="24"/>
        <v>137.5</v>
      </c>
      <c r="O21" s="3">
        <f t="shared" si="42"/>
        <v>59</v>
      </c>
      <c r="P21" s="5">
        <f t="shared" si="43"/>
        <v>78.5</v>
      </c>
      <c r="Q21" s="5">
        <f t="shared" si="44"/>
        <v>47.916666666627862</v>
      </c>
      <c r="R21" s="7">
        <f t="shared" si="28"/>
        <v>833.33333333333337</v>
      </c>
      <c r="S21" s="6">
        <f t="shared" si="45"/>
        <v>504</v>
      </c>
      <c r="T21" s="7">
        <f t="shared" si="46"/>
        <v>329.33333333333337</v>
      </c>
      <c r="U21" s="7">
        <f t="shared" si="47"/>
        <v>2887.5</v>
      </c>
      <c r="V21" s="7">
        <f t="shared" si="47"/>
        <v>1542</v>
      </c>
      <c r="W21" s="7">
        <f t="shared" si="48"/>
        <v>1345.5</v>
      </c>
      <c r="X21" s="7">
        <f t="shared" si="49"/>
        <v>17500.000000000004</v>
      </c>
      <c r="Y21" s="7">
        <f t="shared" si="49"/>
        <v>9736</v>
      </c>
      <c r="Z21" s="7">
        <f t="shared" si="50"/>
        <v>7764.0000000000036</v>
      </c>
      <c r="AA21" s="24">
        <f t="shared" si="51"/>
        <v>0.80686282015345279</v>
      </c>
      <c r="AB21" s="1"/>
    </row>
    <row r="22" spans="2:28" ht="18" x14ac:dyDescent="0.25">
      <c r="B22" s="3">
        <v>20</v>
      </c>
      <c r="C22" s="3">
        <v>244500</v>
      </c>
      <c r="D22" s="3">
        <v>552392</v>
      </c>
      <c r="E22" s="3">
        <v>130643</v>
      </c>
      <c r="F22" s="8">
        <f t="shared" si="52"/>
        <v>927535</v>
      </c>
      <c r="G22" s="22">
        <f t="shared" si="38"/>
        <v>927150</v>
      </c>
      <c r="H22" s="7">
        <f t="shared" si="39"/>
        <v>927218.54166666663</v>
      </c>
      <c r="I22" s="3">
        <v>653027</v>
      </c>
      <c r="J22" s="6">
        <f t="shared" si="53"/>
        <v>134</v>
      </c>
      <c r="K22" s="6">
        <f t="shared" si="53"/>
        <v>329</v>
      </c>
      <c r="L22" s="6">
        <f t="shared" si="53"/>
        <v>97</v>
      </c>
      <c r="M22" s="6">
        <f t="shared" si="41"/>
        <v>365</v>
      </c>
      <c r="N22" s="5">
        <f t="shared" si="24"/>
        <v>137.5</v>
      </c>
      <c r="O22" s="3">
        <f t="shared" si="42"/>
        <v>97</v>
      </c>
      <c r="P22" s="5">
        <f t="shared" si="43"/>
        <v>40.5</v>
      </c>
      <c r="Q22" s="5">
        <f t="shared" si="44"/>
        <v>68.541666666627862</v>
      </c>
      <c r="R22" s="7">
        <f t="shared" si="28"/>
        <v>833.33333333333337</v>
      </c>
      <c r="S22" s="6">
        <f t="shared" si="45"/>
        <v>560</v>
      </c>
      <c r="T22" s="7">
        <f t="shared" si="46"/>
        <v>273.33333333333337</v>
      </c>
      <c r="U22" s="7">
        <f t="shared" si="47"/>
        <v>2750</v>
      </c>
      <c r="V22" s="7">
        <f t="shared" si="47"/>
        <v>1483</v>
      </c>
      <c r="W22" s="7">
        <f t="shared" si="48"/>
        <v>1267</v>
      </c>
      <c r="X22" s="7">
        <f t="shared" si="49"/>
        <v>16666.666666666672</v>
      </c>
      <c r="Y22" s="7">
        <f t="shared" si="49"/>
        <v>9232</v>
      </c>
      <c r="Z22" s="7">
        <f t="shared" si="50"/>
        <v>7434.6666666666715</v>
      </c>
      <c r="AA22" s="24">
        <f t="shared" si="51"/>
        <v>0.83775937201581008</v>
      </c>
      <c r="AB22" s="1"/>
    </row>
    <row r="23" spans="2:28" ht="18" x14ac:dyDescent="0.25">
      <c r="B23" s="3">
        <v>19</v>
      </c>
      <c r="C23" s="3">
        <f>C24+129</f>
        <v>244366</v>
      </c>
      <c r="D23" s="3">
        <f>D24+321</f>
        <v>552063</v>
      </c>
      <c r="E23" s="3">
        <f>E24+98</f>
        <v>130546</v>
      </c>
      <c r="F23" s="9">
        <f>C23+D23+E23</f>
        <v>926975</v>
      </c>
      <c r="G23" s="22">
        <f t="shared" si="38"/>
        <v>926598.25</v>
      </c>
      <c r="H23" s="7">
        <f t="shared" si="39"/>
        <v>926665.125</v>
      </c>
      <c r="I23" s="3">
        <f>I24+377</f>
        <v>652662</v>
      </c>
      <c r="J23" s="6">
        <f t="shared" si="53"/>
        <v>129</v>
      </c>
      <c r="K23" s="6">
        <f t="shared" si="53"/>
        <v>321</v>
      </c>
      <c r="L23" s="6">
        <f t="shared" si="53"/>
        <v>98</v>
      </c>
      <c r="M23" s="6">
        <f t="shared" si="41"/>
        <v>377</v>
      </c>
      <c r="N23" s="5">
        <f t="shared" si="24"/>
        <v>137.5</v>
      </c>
      <c r="O23" s="3">
        <f t="shared" si="42"/>
        <v>98</v>
      </c>
      <c r="P23" s="5">
        <f t="shared" si="43"/>
        <v>39.5</v>
      </c>
      <c r="Q23" s="5">
        <f t="shared" si="44"/>
        <v>66.875</v>
      </c>
      <c r="R23" s="7">
        <f t="shared" si="28"/>
        <v>833.33333333333337</v>
      </c>
      <c r="S23" s="6">
        <f t="shared" si="45"/>
        <v>548</v>
      </c>
      <c r="T23" s="7">
        <f t="shared" si="46"/>
        <v>285.33333333333337</v>
      </c>
      <c r="U23" s="7">
        <f t="shared" si="47"/>
        <v>2612.5</v>
      </c>
      <c r="V23" s="7">
        <f t="shared" si="47"/>
        <v>1386</v>
      </c>
      <c r="W23" s="7">
        <f t="shared" si="48"/>
        <v>1226.5</v>
      </c>
      <c r="X23" s="7">
        <f t="shared" si="49"/>
        <v>15833.333333333338</v>
      </c>
      <c r="Y23" s="7">
        <f t="shared" si="49"/>
        <v>8672</v>
      </c>
      <c r="Z23" s="7">
        <f t="shared" si="50"/>
        <v>7161.3333333333376</v>
      </c>
      <c r="AA23" s="24">
        <f t="shared" si="51"/>
        <v>0.82386642086037887</v>
      </c>
      <c r="AB23" s="1"/>
    </row>
    <row r="24" spans="2:28" ht="18" x14ac:dyDescent="0.25">
      <c r="B24" s="3">
        <v>18</v>
      </c>
      <c r="C24" s="3">
        <f>C25+125</f>
        <v>244237</v>
      </c>
      <c r="D24" s="3">
        <f>D25+298</f>
        <v>551742</v>
      </c>
      <c r="E24" s="3">
        <f>E25+93</f>
        <v>130448</v>
      </c>
      <c r="F24" s="8">
        <f t="shared" si="52"/>
        <v>926427</v>
      </c>
      <c r="G24" s="22">
        <f t="shared" si="38"/>
        <v>926072.25</v>
      </c>
      <c r="H24" s="7">
        <f t="shared" si="39"/>
        <v>926134.33333333337</v>
      </c>
      <c r="I24" s="3">
        <f>I25+370</f>
        <v>652285</v>
      </c>
      <c r="J24" s="6">
        <f t="shared" si="53"/>
        <v>125</v>
      </c>
      <c r="K24" s="6">
        <f t="shared" si="53"/>
        <v>298</v>
      </c>
      <c r="L24" s="6">
        <f t="shared" si="53"/>
        <v>93</v>
      </c>
      <c r="M24" s="6">
        <f t="shared" si="41"/>
        <v>370</v>
      </c>
      <c r="N24" s="5">
        <f t="shared" si="24"/>
        <v>137.5</v>
      </c>
      <c r="O24" s="3">
        <f t="shared" si="42"/>
        <v>93</v>
      </c>
      <c r="P24" s="5">
        <f t="shared" si="43"/>
        <v>44.5</v>
      </c>
      <c r="Q24" s="5">
        <f t="shared" si="44"/>
        <v>62.083333333372138</v>
      </c>
      <c r="R24" s="7">
        <f t="shared" si="28"/>
        <v>833.33333333333337</v>
      </c>
      <c r="S24" s="6">
        <f t="shared" si="45"/>
        <v>516</v>
      </c>
      <c r="T24" s="7">
        <f t="shared" si="46"/>
        <v>317.33333333333337</v>
      </c>
      <c r="U24" s="7">
        <f t="shared" si="47"/>
        <v>2475</v>
      </c>
      <c r="V24" s="7">
        <f t="shared" si="47"/>
        <v>1288</v>
      </c>
      <c r="W24" s="7">
        <f t="shared" si="48"/>
        <v>1187</v>
      </c>
      <c r="X24" s="7">
        <f t="shared" si="49"/>
        <v>15000.000000000004</v>
      </c>
      <c r="Y24" s="7">
        <f t="shared" si="49"/>
        <v>8124</v>
      </c>
      <c r="Z24" s="7">
        <f t="shared" si="50"/>
        <v>6876.0000000000036</v>
      </c>
      <c r="AA24" s="24">
        <f t="shared" si="51"/>
        <v>0.8126679601814274</v>
      </c>
      <c r="AB24" s="1"/>
    </row>
    <row r="25" spans="2:28" ht="18" x14ac:dyDescent="0.25">
      <c r="B25" s="3">
        <v>17</v>
      </c>
      <c r="C25" s="3">
        <v>244112</v>
      </c>
      <c r="D25" s="3">
        <v>551444</v>
      </c>
      <c r="E25" s="3">
        <v>130355</v>
      </c>
      <c r="F25" s="8">
        <f t="shared" si="52"/>
        <v>925911</v>
      </c>
      <c r="G25" s="22">
        <f t="shared" si="38"/>
        <v>925473.0625</v>
      </c>
      <c r="H25" s="7">
        <f t="shared" si="39"/>
        <v>925522.4375</v>
      </c>
      <c r="I25" s="3">
        <v>651915</v>
      </c>
      <c r="J25" s="6">
        <f t="shared" si="53"/>
        <v>206</v>
      </c>
      <c r="K25" s="6">
        <f t="shared" si="53"/>
        <v>237</v>
      </c>
      <c r="L25" s="6">
        <f t="shared" si="53"/>
        <v>194</v>
      </c>
      <c r="M25" s="7">
        <f t="shared" si="41"/>
        <v>462</v>
      </c>
      <c r="N25" s="5">
        <f t="shared" si="24"/>
        <v>137.5</v>
      </c>
      <c r="O25" s="3">
        <f t="shared" si="42"/>
        <v>194</v>
      </c>
      <c r="P25" s="5">
        <f t="shared" si="43"/>
        <v>-56.5</v>
      </c>
      <c r="Q25" s="5">
        <f t="shared" si="44"/>
        <v>49.375</v>
      </c>
      <c r="R25" s="7">
        <f t="shared" si="28"/>
        <v>833.33333333333337</v>
      </c>
      <c r="S25" s="6">
        <f t="shared" si="45"/>
        <v>637</v>
      </c>
      <c r="T25" s="7">
        <f t="shared" si="46"/>
        <v>196.33333333333337</v>
      </c>
      <c r="U25" s="7">
        <f t="shared" si="47"/>
        <v>2337.5</v>
      </c>
      <c r="V25" s="6">
        <f t="shared" si="47"/>
        <v>1195</v>
      </c>
      <c r="W25" s="7">
        <f t="shared" si="48"/>
        <v>1142.5</v>
      </c>
      <c r="X25" s="7">
        <f t="shared" si="49"/>
        <v>14166.66666666667</v>
      </c>
      <c r="Y25" s="7">
        <f t="shared" si="49"/>
        <v>7608</v>
      </c>
      <c r="Z25" s="7">
        <f t="shared" si="50"/>
        <v>6558.6666666666697</v>
      </c>
      <c r="AA25" s="24">
        <f t="shared" si="51"/>
        <v>0.80950474651874971</v>
      </c>
      <c r="AB25" s="1"/>
    </row>
    <row r="26" spans="2:28" ht="16.5" customHeight="1" x14ac:dyDescent="0.25">
      <c r="B26" s="3">
        <v>16</v>
      </c>
      <c r="C26" s="3">
        <f t="shared" ref="C26" si="54">C27+166</f>
        <v>243906</v>
      </c>
      <c r="D26" s="3">
        <f>D27+181</f>
        <v>551207</v>
      </c>
      <c r="E26" s="3">
        <f>E27+49</f>
        <v>130161</v>
      </c>
      <c r="F26" s="8">
        <f t="shared" si="52"/>
        <v>925274</v>
      </c>
      <c r="G26" s="22">
        <f t="shared" si="38"/>
        <v>925001.75</v>
      </c>
      <c r="H26" s="7">
        <f t="shared" si="39"/>
        <v>925039.45833333337</v>
      </c>
      <c r="I26" s="3">
        <f>I27+284</f>
        <v>651453</v>
      </c>
      <c r="J26" s="6">
        <f t="shared" si="53"/>
        <v>166</v>
      </c>
      <c r="K26" s="6">
        <f t="shared" si="53"/>
        <v>181</v>
      </c>
      <c r="L26" s="6">
        <f t="shared" si="53"/>
        <v>49</v>
      </c>
      <c r="M26" s="7">
        <f t="shared" si="41"/>
        <v>284</v>
      </c>
      <c r="N26" s="5">
        <f t="shared" si="24"/>
        <v>137.5</v>
      </c>
      <c r="O26" s="3">
        <f t="shared" si="42"/>
        <v>49</v>
      </c>
      <c r="P26" s="5">
        <f t="shared" si="43"/>
        <v>88.5</v>
      </c>
      <c r="Q26" s="5">
        <f t="shared" si="44"/>
        <v>37.708333333372138</v>
      </c>
      <c r="R26" s="7">
        <f t="shared" si="28"/>
        <v>833.33333333333337</v>
      </c>
      <c r="S26" s="6">
        <f>J26+K26+L26</f>
        <v>396</v>
      </c>
      <c r="T26" s="7">
        <f t="shared" si="46"/>
        <v>437.33333333333337</v>
      </c>
      <c r="U26" s="7">
        <f t="shared" si="47"/>
        <v>2200</v>
      </c>
      <c r="V26" s="6">
        <f t="shared" si="47"/>
        <v>1001</v>
      </c>
      <c r="W26" s="7">
        <f t="shared" si="48"/>
        <v>1199</v>
      </c>
      <c r="X26" s="7">
        <f t="shared" si="49"/>
        <v>13333.333333333336</v>
      </c>
      <c r="Y26" s="7">
        <f t="shared" si="49"/>
        <v>6971</v>
      </c>
      <c r="Z26" s="7">
        <f t="shared" si="50"/>
        <v>6362.3333333333358</v>
      </c>
      <c r="AA26" s="24">
        <f t="shared" si="51"/>
        <v>0.81262275823648999</v>
      </c>
      <c r="AB26" s="1"/>
    </row>
    <row r="27" spans="2:28" ht="18" x14ac:dyDescent="0.25">
      <c r="B27" s="3">
        <v>15</v>
      </c>
      <c r="C27" s="3">
        <f>C28+177</f>
        <v>243740</v>
      </c>
      <c r="D27" s="3">
        <f>D28+173</f>
        <v>551026</v>
      </c>
      <c r="E27" s="3">
        <f>E28+50</f>
        <v>130112</v>
      </c>
      <c r="F27" s="8">
        <f t="shared" si="52"/>
        <v>924878</v>
      </c>
      <c r="G27" s="22">
        <f t="shared" si="38"/>
        <v>924603</v>
      </c>
      <c r="H27" s="7">
        <f t="shared" si="39"/>
        <v>924639.04166666663</v>
      </c>
      <c r="I27" s="3">
        <f>I28+281</f>
        <v>651169</v>
      </c>
      <c r="J27" s="6">
        <f t="shared" si="53"/>
        <v>177</v>
      </c>
      <c r="K27" s="6">
        <f t="shared" si="53"/>
        <v>173</v>
      </c>
      <c r="L27" s="6">
        <f t="shared" si="53"/>
        <v>50</v>
      </c>
      <c r="M27" s="7">
        <f t="shared" si="41"/>
        <v>281</v>
      </c>
      <c r="N27" s="5">
        <f t="shared" si="24"/>
        <v>137.5</v>
      </c>
      <c r="O27" s="3">
        <f t="shared" si="42"/>
        <v>50</v>
      </c>
      <c r="P27" s="5">
        <f t="shared" si="43"/>
        <v>87.5</v>
      </c>
      <c r="Q27" s="5">
        <f t="shared" si="44"/>
        <v>36.041666666627862</v>
      </c>
      <c r="R27" s="7">
        <f t="shared" si="28"/>
        <v>833.33333333333337</v>
      </c>
      <c r="S27" s="6">
        <f t="shared" si="45"/>
        <v>400</v>
      </c>
      <c r="T27" s="7">
        <f t="shared" si="46"/>
        <v>433.33333333333337</v>
      </c>
      <c r="U27" s="7">
        <f t="shared" si="47"/>
        <v>2062.5</v>
      </c>
      <c r="V27" s="6">
        <f t="shared" si="47"/>
        <v>952</v>
      </c>
      <c r="W27" s="7">
        <f t="shared" si="48"/>
        <v>1110.5</v>
      </c>
      <c r="X27" s="7">
        <f t="shared" si="49"/>
        <v>12500.000000000002</v>
      </c>
      <c r="Y27" s="7">
        <f t="shared" si="49"/>
        <v>6575</v>
      </c>
      <c r="Z27" s="7">
        <f t="shared" si="50"/>
        <v>5925.0000000000018</v>
      </c>
      <c r="AA27" s="24">
        <f t="shared" si="51"/>
        <v>0.81826971504484025</v>
      </c>
      <c r="AB27" s="1"/>
    </row>
    <row r="28" spans="2:28" ht="18" x14ac:dyDescent="0.25">
      <c r="B28" s="3">
        <v>14</v>
      </c>
      <c r="C28" s="3">
        <f>C29+169</f>
        <v>243563</v>
      </c>
      <c r="D28" s="3">
        <f>D29+168</f>
        <v>550853</v>
      </c>
      <c r="E28" s="3">
        <f>E29+46</f>
        <v>130062</v>
      </c>
      <c r="F28" s="8">
        <f t="shared" si="52"/>
        <v>924478</v>
      </c>
      <c r="G28" s="22">
        <f t="shared" si="38"/>
        <v>924214.6875</v>
      </c>
      <c r="H28" s="7">
        <f t="shared" si="39"/>
        <v>924249.6875</v>
      </c>
      <c r="I28" s="3">
        <f>I29+277</f>
        <v>650888</v>
      </c>
      <c r="J28" s="6">
        <f t="shared" si="53"/>
        <v>169</v>
      </c>
      <c r="K28" s="6">
        <f t="shared" si="53"/>
        <v>168</v>
      </c>
      <c r="L28" s="6">
        <f t="shared" si="53"/>
        <v>46</v>
      </c>
      <c r="M28" s="7">
        <f t="shared" si="41"/>
        <v>277</v>
      </c>
      <c r="N28" s="5">
        <f t="shared" si="24"/>
        <v>137.5</v>
      </c>
      <c r="O28" s="3">
        <f t="shared" si="42"/>
        <v>46</v>
      </c>
      <c r="P28" s="5">
        <f t="shared" si="43"/>
        <v>91.5</v>
      </c>
      <c r="Q28" s="5">
        <f t="shared" si="44"/>
        <v>35</v>
      </c>
      <c r="R28" s="7">
        <f t="shared" si="28"/>
        <v>833.33333333333337</v>
      </c>
      <c r="S28" s="6">
        <f t="shared" si="45"/>
        <v>383</v>
      </c>
      <c r="T28" s="7">
        <f t="shared" si="46"/>
        <v>450.33333333333337</v>
      </c>
      <c r="U28" s="7">
        <f t="shared" si="47"/>
        <v>1925</v>
      </c>
      <c r="V28" s="6">
        <f t="shared" si="47"/>
        <v>902</v>
      </c>
      <c r="W28" s="7">
        <f t="shared" si="48"/>
        <v>1023</v>
      </c>
      <c r="X28" s="7">
        <f t="shared" si="49"/>
        <v>11666.666666666668</v>
      </c>
      <c r="Y28" s="7">
        <f t="shared" si="49"/>
        <v>6175</v>
      </c>
      <c r="Z28" s="7">
        <f t="shared" si="50"/>
        <v>5491.6666666666679</v>
      </c>
      <c r="AA28" s="24">
        <f t="shared" si="51"/>
        <v>0.81028853516970489</v>
      </c>
      <c r="AB28" s="1"/>
    </row>
    <row r="29" spans="2:28" ht="18" x14ac:dyDescent="0.25">
      <c r="B29" s="3">
        <v>13</v>
      </c>
      <c r="C29" s="3">
        <v>243394</v>
      </c>
      <c r="D29" s="3">
        <v>550685</v>
      </c>
      <c r="E29" s="3">
        <v>130016</v>
      </c>
      <c r="F29" s="8">
        <f t="shared" si="52"/>
        <v>924095</v>
      </c>
      <c r="G29" s="22">
        <f t="shared" si="38"/>
        <v>923836.5</v>
      </c>
      <c r="H29" s="7">
        <f t="shared" si="39"/>
        <v>923870.25</v>
      </c>
      <c r="I29" s="3">
        <v>650611</v>
      </c>
      <c r="J29" s="6">
        <f t="shared" si="53"/>
        <v>176</v>
      </c>
      <c r="K29" s="6">
        <f t="shared" si="53"/>
        <v>162</v>
      </c>
      <c r="L29" s="6">
        <f t="shared" si="53"/>
        <v>38</v>
      </c>
      <c r="M29" s="6">
        <f t="shared" si="41"/>
        <v>285</v>
      </c>
      <c r="N29" s="5">
        <f t="shared" si="24"/>
        <v>137.5</v>
      </c>
      <c r="O29" s="3">
        <f t="shared" si="42"/>
        <v>38</v>
      </c>
      <c r="P29" s="5">
        <f t="shared" si="43"/>
        <v>99.5</v>
      </c>
      <c r="Q29" s="5">
        <f t="shared" si="44"/>
        <v>33.75</v>
      </c>
      <c r="R29" s="7">
        <f t="shared" si="28"/>
        <v>833.33333333333337</v>
      </c>
      <c r="S29" s="6">
        <f t="shared" si="45"/>
        <v>376</v>
      </c>
      <c r="T29" s="7">
        <f t="shared" si="46"/>
        <v>457.33333333333337</v>
      </c>
      <c r="U29" s="7">
        <f t="shared" si="47"/>
        <v>1787.5</v>
      </c>
      <c r="V29" s="6">
        <f t="shared" si="47"/>
        <v>856</v>
      </c>
      <c r="W29" s="7">
        <f t="shared" si="48"/>
        <v>931.5</v>
      </c>
      <c r="X29" s="7">
        <f t="shared" si="49"/>
        <v>10833.333333333334</v>
      </c>
      <c r="Y29" s="7">
        <f t="shared" si="49"/>
        <v>5792</v>
      </c>
      <c r="Z29" s="7">
        <f t="shared" si="50"/>
        <v>5041.3333333333339</v>
      </c>
      <c r="AA29" s="24">
        <f t="shared" si="51"/>
        <v>0.79693754832631858</v>
      </c>
      <c r="AB29" s="1"/>
    </row>
    <row r="30" spans="2:28" ht="18" x14ac:dyDescent="0.25">
      <c r="B30" s="3">
        <v>12</v>
      </c>
      <c r="C30" s="3">
        <f>C31+170</f>
        <v>243218</v>
      </c>
      <c r="D30" s="3">
        <f t="shared" ref="D30" si="55">D31+169</f>
        <v>550523</v>
      </c>
      <c r="E30" s="3">
        <f>E31+48</f>
        <v>129978</v>
      </c>
      <c r="F30" s="8">
        <f t="shared" si="52"/>
        <v>923719</v>
      </c>
      <c r="G30" s="22">
        <f t="shared" si="38"/>
        <v>923452.9375</v>
      </c>
      <c r="H30" s="7">
        <f t="shared" si="39"/>
        <v>923488.14583333337</v>
      </c>
      <c r="I30" s="3">
        <f>I31+283</f>
        <v>650326</v>
      </c>
      <c r="J30" s="6">
        <f t="shared" ref="J30:L32" si="56">C30-C31</f>
        <v>170</v>
      </c>
      <c r="K30" s="6">
        <f t="shared" si="56"/>
        <v>169</v>
      </c>
      <c r="L30" s="6">
        <f t="shared" si="56"/>
        <v>48</v>
      </c>
      <c r="M30" s="6">
        <f t="shared" si="41"/>
        <v>283</v>
      </c>
      <c r="N30" s="5">
        <f t="shared" si="24"/>
        <v>137.5</v>
      </c>
      <c r="O30" s="3">
        <f t="shared" si="42"/>
        <v>48</v>
      </c>
      <c r="P30" s="5">
        <f t="shared" si="43"/>
        <v>89.5</v>
      </c>
      <c r="Q30" s="5">
        <f t="shared" si="44"/>
        <v>35.208333333372138</v>
      </c>
      <c r="R30" s="7">
        <f t="shared" si="28"/>
        <v>833.33333333333337</v>
      </c>
      <c r="S30" s="6">
        <f t="shared" si="45"/>
        <v>387</v>
      </c>
      <c r="T30" s="7">
        <f t="shared" si="46"/>
        <v>446.33333333333337</v>
      </c>
      <c r="U30" s="7">
        <f t="shared" si="47"/>
        <v>1650</v>
      </c>
      <c r="V30" s="6">
        <f t="shared" si="47"/>
        <v>818</v>
      </c>
      <c r="W30" s="7">
        <f t="shared" si="48"/>
        <v>832</v>
      </c>
      <c r="X30" s="7">
        <f t="shared" si="49"/>
        <v>10000</v>
      </c>
      <c r="Y30" s="7">
        <f t="shared" si="49"/>
        <v>5416</v>
      </c>
      <c r="Z30" s="7">
        <f t="shared" si="50"/>
        <v>4584</v>
      </c>
      <c r="AA30" s="24">
        <f t="shared" si="51"/>
        <v>0.80720000000344927</v>
      </c>
      <c r="AB30" s="1"/>
    </row>
    <row r="31" spans="2:28" ht="18" x14ac:dyDescent="0.25">
      <c r="B31" s="3">
        <v>11</v>
      </c>
      <c r="C31" s="3">
        <f>C32+189</f>
        <v>243048</v>
      </c>
      <c r="D31" s="3">
        <f>D32+171</f>
        <v>550354</v>
      </c>
      <c r="E31" s="3">
        <f>E32+50</f>
        <v>129930</v>
      </c>
      <c r="F31" s="8">
        <f>C31+D31+E31</f>
        <v>923332</v>
      </c>
      <c r="G31" s="22">
        <f t="shared" si="38"/>
        <v>923050.125</v>
      </c>
      <c r="H31" s="7">
        <f t="shared" si="39"/>
        <v>923085.75</v>
      </c>
      <c r="I31" s="3">
        <f>I32+271</f>
        <v>650043</v>
      </c>
      <c r="J31" s="6">
        <f t="shared" si="56"/>
        <v>189</v>
      </c>
      <c r="K31" s="6">
        <f t="shared" si="56"/>
        <v>171</v>
      </c>
      <c r="L31" s="6">
        <f t="shared" si="56"/>
        <v>50</v>
      </c>
      <c r="M31" s="6">
        <f t="shared" si="41"/>
        <v>271</v>
      </c>
      <c r="N31" s="5">
        <f>N32</f>
        <v>137.5</v>
      </c>
      <c r="O31" s="3">
        <f t="shared" si="42"/>
        <v>50</v>
      </c>
      <c r="P31" s="5">
        <f t="shared" si="43"/>
        <v>87.5</v>
      </c>
      <c r="Q31" s="5">
        <f t="shared" si="44"/>
        <v>35.625</v>
      </c>
      <c r="R31" s="7">
        <f t="shared" si="28"/>
        <v>833.33333333333337</v>
      </c>
      <c r="S31" s="6">
        <f t="shared" si="45"/>
        <v>410</v>
      </c>
      <c r="T31" s="7">
        <f t="shared" si="46"/>
        <v>423.33333333333337</v>
      </c>
      <c r="U31" s="7">
        <f t="shared" si="47"/>
        <v>1512.5</v>
      </c>
      <c r="V31" s="6">
        <f t="shared" si="47"/>
        <v>770</v>
      </c>
      <c r="W31" s="7">
        <f t="shared" si="48"/>
        <v>742.5</v>
      </c>
      <c r="X31" s="7">
        <f t="shared" si="49"/>
        <v>9166.6666666666661</v>
      </c>
      <c r="Y31" s="7">
        <f t="shared" si="49"/>
        <v>5029</v>
      </c>
      <c r="Z31" s="7">
        <f t="shared" si="50"/>
        <v>4137.6666666666661</v>
      </c>
      <c r="AA31" s="24">
        <f t="shared" si="51"/>
        <v>0.83423503876815441</v>
      </c>
      <c r="AB31" s="1"/>
    </row>
    <row r="32" spans="2:28" ht="18" x14ac:dyDescent="0.25">
      <c r="B32" s="3">
        <v>10</v>
      </c>
      <c r="C32" s="3">
        <f>C33+176</f>
        <v>242859</v>
      </c>
      <c r="D32" s="3">
        <f>D33+165</f>
        <v>550183</v>
      </c>
      <c r="E32" s="3">
        <f>E33+57</f>
        <v>129880</v>
      </c>
      <c r="F32" s="8">
        <f>C32+D32+E32</f>
        <v>922922</v>
      </c>
      <c r="G32" s="22">
        <f t="shared" si="38"/>
        <v>922648.375</v>
      </c>
      <c r="H32" s="7">
        <f t="shared" si="39"/>
        <v>922682.75</v>
      </c>
      <c r="I32" s="3">
        <f>I33+297</f>
        <v>649772</v>
      </c>
      <c r="J32" s="6">
        <f t="shared" si="56"/>
        <v>176</v>
      </c>
      <c r="K32" s="6">
        <f t="shared" si="56"/>
        <v>165</v>
      </c>
      <c r="L32" s="6">
        <f t="shared" si="56"/>
        <v>57</v>
      </c>
      <c r="M32" s="6">
        <f t="shared" si="41"/>
        <v>297</v>
      </c>
      <c r="N32" s="5">
        <f t="shared" si="24"/>
        <v>137.5</v>
      </c>
      <c r="O32" s="3">
        <f t="shared" si="42"/>
        <v>57</v>
      </c>
      <c r="P32" s="5">
        <f t="shared" si="43"/>
        <v>80.5</v>
      </c>
      <c r="Q32" s="5">
        <f t="shared" si="44"/>
        <v>34.375</v>
      </c>
      <c r="R32" s="7">
        <f t="shared" si="28"/>
        <v>833.33333333333337</v>
      </c>
      <c r="S32" s="6">
        <f t="shared" si="45"/>
        <v>398</v>
      </c>
      <c r="T32" s="7">
        <f t="shared" si="46"/>
        <v>435.33333333333337</v>
      </c>
      <c r="U32" s="7">
        <f t="shared" si="47"/>
        <v>1375</v>
      </c>
      <c r="V32" s="6">
        <f t="shared" si="47"/>
        <v>720</v>
      </c>
      <c r="W32" s="7">
        <f t="shared" si="48"/>
        <v>655</v>
      </c>
      <c r="X32" s="7">
        <f t="shared" si="49"/>
        <v>8333.3333333333321</v>
      </c>
      <c r="Y32" s="7">
        <f t="shared" si="49"/>
        <v>4619</v>
      </c>
      <c r="Z32" s="7">
        <f t="shared" si="50"/>
        <v>3714.3333333333321</v>
      </c>
      <c r="AA32" s="24">
        <f t="shared" si="51"/>
        <v>0.8014475191618291</v>
      </c>
      <c r="AB32" s="1"/>
    </row>
    <row r="33" spans="2:28" ht="18" x14ac:dyDescent="0.25">
      <c r="B33" s="3">
        <v>9</v>
      </c>
      <c r="C33" s="3">
        <f>C34+182</f>
        <v>242683</v>
      </c>
      <c r="D33" s="3">
        <f>D34+166</f>
        <v>550018</v>
      </c>
      <c r="E33" s="3">
        <f>E34+54</f>
        <v>129823</v>
      </c>
      <c r="F33" s="8">
        <f t="shared" si="52"/>
        <v>922524</v>
      </c>
      <c r="G33" s="22">
        <f t="shared" si="38"/>
        <v>922247.625</v>
      </c>
      <c r="H33" s="7">
        <f t="shared" si="39"/>
        <v>922282.20833333337</v>
      </c>
      <c r="I33" s="3">
        <f>I34+292</f>
        <v>649475</v>
      </c>
      <c r="J33" s="6">
        <f t="shared" si="53"/>
        <v>182</v>
      </c>
      <c r="K33" s="6">
        <f t="shared" si="53"/>
        <v>166</v>
      </c>
      <c r="L33" s="6">
        <f t="shared" si="53"/>
        <v>54</v>
      </c>
      <c r="M33" s="6">
        <f t="shared" si="41"/>
        <v>292</v>
      </c>
      <c r="N33" s="5">
        <f t="shared" si="24"/>
        <v>137.5</v>
      </c>
      <c r="O33" s="3">
        <f t="shared" si="42"/>
        <v>54</v>
      </c>
      <c r="P33" s="5">
        <f t="shared" si="43"/>
        <v>83.5</v>
      </c>
      <c r="Q33" s="5">
        <f t="shared" si="44"/>
        <v>34.583333333372138</v>
      </c>
      <c r="R33" s="7">
        <f t="shared" si="28"/>
        <v>833.33333333333337</v>
      </c>
      <c r="S33" s="6">
        <f t="shared" si="45"/>
        <v>402</v>
      </c>
      <c r="T33" s="7">
        <f t="shared" si="46"/>
        <v>431.33333333333337</v>
      </c>
      <c r="U33" s="7">
        <f t="shared" si="47"/>
        <v>1237.5</v>
      </c>
      <c r="V33" s="6">
        <f t="shared" si="47"/>
        <v>663</v>
      </c>
      <c r="W33" s="7">
        <f t="shared" si="48"/>
        <v>574.5</v>
      </c>
      <c r="X33" s="7">
        <f t="shared" si="49"/>
        <v>7499.9999999999991</v>
      </c>
      <c r="Y33" s="7">
        <f t="shared" si="49"/>
        <v>4221</v>
      </c>
      <c r="Z33" s="7">
        <f t="shared" si="50"/>
        <v>3278.9999999999991</v>
      </c>
      <c r="AA33" s="24">
        <f t="shared" si="51"/>
        <v>0.80908407616638311</v>
      </c>
      <c r="AB33" s="1"/>
    </row>
    <row r="34" spans="2:28" ht="18" x14ac:dyDescent="0.25">
      <c r="B34" s="3">
        <v>8</v>
      </c>
      <c r="C34" s="3">
        <f>C35+184</f>
        <v>242501</v>
      </c>
      <c r="D34" s="3">
        <f>D35+172</f>
        <v>549852</v>
      </c>
      <c r="E34" s="3">
        <f>E35+52</f>
        <v>129769</v>
      </c>
      <c r="F34" s="8">
        <f t="shared" si="52"/>
        <v>922122</v>
      </c>
      <c r="G34" s="22">
        <f t="shared" si="38"/>
        <v>921841.5</v>
      </c>
      <c r="H34" s="7">
        <f t="shared" si="39"/>
        <v>921877.33333333337</v>
      </c>
      <c r="I34" s="3">
        <f>I35+287</f>
        <v>649183</v>
      </c>
      <c r="J34" s="6">
        <f t="shared" si="53"/>
        <v>184</v>
      </c>
      <c r="K34" s="6">
        <f t="shared" si="53"/>
        <v>172</v>
      </c>
      <c r="L34" s="6">
        <f t="shared" si="53"/>
        <v>52</v>
      </c>
      <c r="M34" s="6">
        <f t="shared" si="41"/>
        <v>287</v>
      </c>
      <c r="N34" s="5">
        <f t="shared" si="24"/>
        <v>137.5</v>
      </c>
      <c r="O34" s="3">
        <f t="shared" si="42"/>
        <v>52</v>
      </c>
      <c r="P34" s="5">
        <f t="shared" si="43"/>
        <v>85.5</v>
      </c>
      <c r="Q34" s="5">
        <f t="shared" si="44"/>
        <v>35.833333333372138</v>
      </c>
      <c r="R34" s="7">
        <f t="shared" si="28"/>
        <v>833.33333333333337</v>
      </c>
      <c r="S34" s="6">
        <f t="shared" si="45"/>
        <v>408</v>
      </c>
      <c r="T34" s="7">
        <f t="shared" si="46"/>
        <v>425.33333333333337</v>
      </c>
      <c r="U34" s="7">
        <f t="shared" si="47"/>
        <v>1100</v>
      </c>
      <c r="V34" s="6">
        <f t="shared" si="47"/>
        <v>609</v>
      </c>
      <c r="W34" s="7">
        <f t="shared" si="48"/>
        <v>491</v>
      </c>
      <c r="X34" s="7">
        <f t="shared" si="49"/>
        <v>6666.6666666666661</v>
      </c>
      <c r="Y34" s="7">
        <f t="shared" si="49"/>
        <v>3819</v>
      </c>
      <c r="Z34" s="7">
        <f t="shared" si="50"/>
        <v>2847.6666666666661</v>
      </c>
      <c r="AA34" s="24">
        <f t="shared" si="51"/>
        <v>0.81791123785270903</v>
      </c>
      <c r="AB34" s="1"/>
    </row>
    <row r="35" spans="2:28" ht="18" x14ac:dyDescent="0.25">
      <c r="B35" s="3">
        <v>7</v>
      </c>
      <c r="C35" s="3">
        <f>C36+187</f>
        <v>242317</v>
      </c>
      <c r="D35" s="3">
        <f>D36+180</f>
        <v>549680</v>
      </c>
      <c r="E35" s="3">
        <f>E36+61</f>
        <v>129717</v>
      </c>
      <c r="F35" s="9">
        <f>C35+D35+E35</f>
        <v>921714</v>
      </c>
      <c r="G35" s="22">
        <f t="shared" si="38"/>
        <v>921419.75</v>
      </c>
      <c r="H35" s="7">
        <f t="shared" si="39"/>
        <v>921457.25</v>
      </c>
      <c r="I35" s="3">
        <f>I36+289</f>
        <v>648896</v>
      </c>
      <c r="J35" s="6">
        <f t="shared" si="53"/>
        <v>187</v>
      </c>
      <c r="K35" s="6">
        <f t="shared" si="53"/>
        <v>180</v>
      </c>
      <c r="L35" s="6">
        <f t="shared" si="53"/>
        <v>61</v>
      </c>
      <c r="M35" s="6">
        <f t="shared" si="41"/>
        <v>289</v>
      </c>
      <c r="N35" s="5">
        <f t="shared" si="24"/>
        <v>137.5</v>
      </c>
      <c r="O35" s="3">
        <f t="shared" si="42"/>
        <v>61</v>
      </c>
      <c r="P35" s="5">
        <f t="shared" si="43"/>
        <v>76.5</v>
      </c>
      <c r="Q35" s="5">
        <f t="shared" si="44"/>
        <v>37.5</v>
      </c>
      <c r="R35" s="7">
        <f t="shared" si="28"/>
        <v>833.33333333333337</v>
      </c>
      <c r="S35" s="6">
        <f t="shared" si="45"/>
        <v>428</v>
      </c>
      <c r="T35" s="7">
        <f t="shared" si="46"/>
        <v>405.33333333333337</v>
      </c>
      <c r="U35" s="7">
        <f t="shared" si="47"/>
        <v>962.5</v>
      </c>
      <c r="V35" s="6">
        <f t="shared" si="47"/>
        <v>557</v>
      </c>
      <c r="W35" s="7">
        <f t="shared" si="48"/>
        <v>405.5</v>
      </c>
      <c r="X35" s="7">
        <f t="shared" si="49"/>
        <v>5833.333333333333</v>
      </c>
      <c r="Y35" s="7">
        <f t="shared" si="49"/>
        <v>3411</v>
      </c>
      <c r="Z35" s="7">
        <f t="shared" si="50"/>
        <v>2422.333333333333</v>
      </c>
      <c r="AA35" s="24">
        <f t="shared" si="51"/>
        <v>0.82875887118505764</v>
      </c>
      <c r="AB35" s="1"/>
    </row>
    <row r="36" spans="2:28" ht="18" x14ac:dyDescent="0.25">
      <c r="B36" s="3">
        <v>6</v>
      </c>
      <c r="C36" s="3">
        <v>242130</v>
      </c>
      <c r="D36" s="3">
        <v>549500</v>
      </c>
      <c r="E36" s="3">
        <v>129656</v>
      </c>
      <c r="F36" s="8">
        <f t="shared" si="52"/>
        <v>921286</v>
      </c>
      <c r="G36" s="22">
        <f t="shared" si="38"/>
        <v>920879.6875</v>
      </c>
      <c r="H36" s="7">
        <f t="shared" si="39"/>
        <v>920944.89583333337</v>
      </c>
      <c r="I36" s="3">
        <v>648607</v>
      </c>
      <c r="J36" s="6">
        <f t="shared" si="53"/>
        <v>197</v>
      </c>
      <c r="K36" s="6">
        <f t="shared" si="53"/>
        <v>313</v>
      </c>
      <c r="L36" s="6">
        <f t="shared" si="53"/>
        <v>81</v>
      </c>
      <c r="M36" s="6">
        <f t="shared" si="41"/>
        <v>370</v>
      </c>
      <c r="N36" s="5">
        <f t="shared" si="24"/>
        <v>137.5</v>
      </c>
      <c r="O36" s="3">
        <f t="shared" si="42"/>
        <v>81</v>
      </c>
      <c r="P36" s="5">
        <f t="shared" si="43"/>
        <v>56.5</v>
      </c>
      <c r="Q36" s="5">
        <f t="shared" si="44"/>
        <v>65.208333333372138</v>
      </c>
      <c r="R36" s="7">
        <f t="shared" si="28"/>
        <v>833.33333333333337</v>
      </c>
      <c r="S36" s="6">
        <f t="shared" si="45"/>
        <v>591</v>
      </c>
      <c r="T36" s="7">
        <f t="shared" si="46"/>
        <v>242.33333333333337</v>
      </c>
      <c r="U36" s="7">
        <f t="shared" si="47"/>
        <v>825</v>
      </c>
      <c r="V36" s="6">
        <f t="shared" si="47"/>
        <v>496</v>
      </c>
      <c r="W36" s="7">
        <f t="shared" si="48"/>
        <v>329</v>
      </c>
      <c r="X36" s="7">
        <f t="shared" si="49"/>
        <v>5000</v>
      </c>
      <c r="Y36" s="7">
        <f t="shared" si="49"/>
        <v>2983</v>
      </c>
      <c r="Z36" s="7">
        <f t="shared" si="50"/>
        <v>2017</v>
      </c>
      <c r="AA36" s="24">
        <f t="shared" si="51"/>
        <v>0.84759520194327553</v>
      </c>
      <c r="AB36" s="1"/>
    </row>
    <row r="37" spans="2:28" ht="18" x14ac:dyDescent="0.25">
      <c r="B37" s="3">
        <v>5</v>
      </c>
      <c r="C37" s="3">
        <f>C38+177</f>
        <v>241933</v>
      </c>
      <c r="D37" s="3">
        <f>D38+220</f>
        <v>549187</v>
      </c>
      <c r="E37" s="3">
        <f>E38+80</f>
        <v>129575</v>
      </c>
      <c r="F37" s="8">
        <f t="shared" si="52"/>
        <v>920695</v>
      </c>
      <c r="G37" s="22">
        <f t="shared" si="38"/>
        <v>920367.0625</v>
      </c>
      <c r="H37" s="7">
        <f t="shared" si="39"/>
        <v>920412.89583333337</v>
      </c>
      <c r="I37" s="3">
        <f>I38+359</f>
        <v>648237</v>
      </c>
      <c r="J37" s="6">
        <f t="shared" si="53"/>
        <v>177</v>
      </c>
      <c r="K37" s="6">
        <f t="shared" si="53"/>
        <v>220</v>
      </c>
      <c r="L37" s="6">
        <f t="shared" si="53"/>
        <v>80</v>
      </c>
      <c r="M37" s="6">
        <f t="shared" si="41"/>
        <v>359</v>
      </c>
      <c r="N37" s="5">
        <f t="shared" si="24"/>
        <v>137.5</v>
      </c>
      <c r="O37" s="3">
        <f t="shared" si="42"/>
        <v>80</v>
      </c>
      <c r="P37" s="5">
        <f t="shared" si="43"/>
        <v>57.5</v>
      </c>
      <c r="Q37" s="5">
        <f t="shared" si="44"/>
        <v>45.833333333372138</v>
      </c>
      <c r="R37" s="7">
        <f t="shared" si="28"/>
        <v>833.33333333333337</v>
      </c>
      <c r="S37" s="6">
        <f t="shared" si="45"/>
        <v>477</v>
      </c>
      <c r="T37" s="7">
        <f t="shared" si="46"/>
        <v>356.33333333333337</v>
      </c>
      <c r="U37" s="7">
        <f t="shared" si="47"/>
        <v>687.5</v>
      </c>
      <c r="V37" s="6">
        <f t="shared" si="47"/>
        <v>415</v>
      </c>
      <c r="W37" s="7">
        <f t="shared" si="48"/>
        <v>272.5</v>
      </c>
      <c r="X37" s="7">
        <f t="shared" si="49"/>
        <v>4166.666666666667</v>
      </c>
      <c r="Y37" s="7">
        <f t="shared" si="49"/>
        <v>2392</v>
      </c>
      <c r="Z37" s="7">
        <f t="shared" si="50"/>
        <v>1774.666666666667</v>
      </c>
      <c r="AA37" s="24">
        <f t="shared" si="51"/>
        <v>0.79899385398054834</v>
      </c>
      <c r="AB37" s="1"/>
    </row>
    <row r="38" spans="2:28" ht="18" x14ac:dyDescent="0.25">
      <c r="B38" s="3">
        <v>4</v>
      </c>
      <c r="C38" s="3">
        <v>241756</v>
      </c>
      <c r="D38" s="3">
        <v>548967</v>
      </c>
      <c r="E38" s="3">
        <v>129495</v>
      </c>
      <c r="F38" s="8">
        <f t="shared" si="52"/>
        <v>920218</v>
      </c>
      <c r="G38" s="22">
        <f t="shared" si="38"/>
        <v>919889.375</v>
      </c>
      <c r="H38" s="7">
        <f t="shared" si="39"/>
        <v>919934.375</v>
      </c>
      <c r="I38" s="3">
        <v>647878</v>
      </c>
      <c r="J38" s="6">
        <f t="shared" si="53"/>
        <v>178</v>
      </c>
      <c r="K38" s="6">
        <f t="shared" si="53"/>
        <v>216</v>
      </c>
      <c r="L38" s="6">
        <f t="shared" si="53"/>
        <v>84</v>
      </c>
      <c r="M38" s="6">
        <f t="shared" si="41"/>
        <v>344</v>
      </c>
      <c r="N38" s="5">
        <f t="shared" si="24"/>
        <v>137.5</v>
      </c>
      <c r="O38" s="3">
        <f t="shared" si="42"/>
        <v>84</v>
      </c>
      <c r="P38" s="5">
        <f t="shared" si="43"/>
        <v>53.5</v>
      </c>
      <c r="Q38" s="5">
        <f t="shared" si="44"/>
        <v>45</v>
      </c>
      <c r="R38" s="7">
        <f t="shared" si="28"/>
        <v>833.33333333333337</v>
      </c>
      <c r="S38" s="6">
        <f t="shared" si="45"/>
        <v>478</v>
      </c>
      <c r="T38" s="7">
        <f t="shared" si="46"/>
        <v>355.33333333333337</v>
      </c>
      <c r="U38" s="7">
        <f t="shared" si="47"/>
        <v>550</v>
      </c>
      <c r="V38" s="6">
        <f t="shared" si="47"/>
        <v>335</v>
      </c>
      <c r="W38" s="7">
        <f t="shared" si="48"/>
        <v>215</v>
      </c>
      <c r="X38" s="7">
        <f t="shared" si="49"/>
        <v>3333.3333333333335</v>
      </c>
      <c r="Y38" s="7">
        <f t="shared" si="49"/>
        <v>1915</v>
      </c>
      <c r="Z38" s="7">
        <f t="shared" si="50"/>
        <v>1418.3333333333335</v>
      </c>
      <c r="AA38" s="24">
        <f t="shared" si="51"/>
        <v>0.81166315089851027</v>
      </c>
      <c r="AB38" s="1"/>
    </row>
    <row r="39" spans="2:28" ht="18" x14ac:dyDescent="0.25">
      <c r="B39" s="3">
        <v>3</v>
      </c>
      <c r="C39" s="5">
        <f>C40+171</f>
        <v>241578</v>
      </c>
      <c r="D39" s="5">
        <f>D40+225</f>
        <v>548751</v>
      </c>
      <c r="E39" s="5">
        <f>E40+81</f>
        <v>129411</v>
      </c>
      <c r="F39" s="8">
        <f t="shared" si="52"/>
        <v>919740</v>
      </c>
      <c r="G39" s="22">
        <f t="shared" si="38"/>
        <v>919412.0625</v>
      </c>
      <c r="H39" s="7">
        <f t="shared" si="39"/>
        <v>919458.9375</v>
      </c>
      <c r="I39" s="5">
        <f>I40+354</f>
        <v>647534</v>
      </c>
      <c r="J39" s="6">
        <f t="shared" si="53"/>
        <v>171</v>
      </c>
      <c r="K39" s="6">
        <f t="shared" si="53"/>
        <v>225</v>
      </c>
      <c r="L39" s="6">
        <f t="shared" si="53"/>
        <v>81</v>
      </c>
      <c r="M39" s="6">
        <f t="shared" si="41"/>
        <v>354</v>
      </c>
      <c r="N39" s="5">
        <f t="shared" si="24"/>
        <v>137.5</v>
      </c>
      <c r="O39" s="3">
        <f t="shared" si="42"/>
        <v>81</v>
      </c>
      <c r="P39" s="5">
        <f t="shared" si="43"/>
        <v>56.5</v>
      </c>
      <c r="Q39" s="5">
        <f t="shared" si="44"/>
        <v>46.875</v>
      </c>
      <c r="R39" s="7">
        <f t="shared" si="28"/>
        <v>833.33333333333337</v>
      </c>
      <c r="S39" s="6">
        <f t="shared" si="45"/>
        <v>477</v>
      </c>
      <c r="T39" s="7">
        <f t="shared" si="46"/>
        <v>356.33333333333337</v>
      </c>
      <c r="U39" s="7">
        <f t="shared" si="47"/>
        <v>412.5</v>
      </c>
      <c r="V39" s="6">
        <f t="shared" si="47"/>
        <v>251</v>
      </c>
      <c r="W39" s="7">
        <f t="shared" si="48"/>
        <v>161.5</v>
      </c>
      <c r="X39" s="7">
        <f t="shared" si="49"/>
        <v>2500</v>
      </c>
      <c r="Y39" s="7">
        <f t="shared" si="49"/>
        <v>1437</v>
      </c>
      <c r="Z39" s="7">
        <f t="shared" si="50"/>
        <v>1063</v>
      </c>
      <c r="AA39" s="24">
        <f t="shared" si="51"/>
        <v>0.80302006153784278</v>
      </c>
      <c r="AB39" s="1"/>
    </row>
    <row r="40" spans="2:28" ht="18" x14ac:dyDescent="0.25">
      <c r="B40" s="3">
        <v>2</v>
      </c>
      <c r="C40" s="5">
        <f>C41+169</f>
        <v>241407</v>
      </c>
      <c r="D40" s="5">
        <f>D41+214</f>
        <v>548526</v>
      </c>
      <c r="E40" s="5">
        <f>E41+82</f>
        <v>129330</v>
      </c>
      <c r="F40" s="8">
        <f t="shared" si="52"/>
        <v>919263</v>
      </c>
      <c r="G40" s="22">
        <f t="shared" si="38"/>
        <v>918943.3125</v>
      </c>
      <c r="H40" s="7">
        <f t="shared" si="39"/>
        <v>918987.89583333337</v>
      </c>
      <c r="I40" s="5">
        <f>I41+352</f>
        <v>647180</v>
      </c>
      <c r="J40" s="6">
        <f t="shared" si="53"/>
        <v>169</v>
      </c>
      <c r="K40" s="6">
        <f t="shared" si="53"/>
        <v>214</v>
      </c>
      <c r="L40" s="6">
        <f t="shared" si="53"/>
        <v>82</v>
      </c>
      <c r="M40" s="6">
        <f t="shared" si="41"/>
        <v>352</v>
      </c>
      <c r="N40" s="5">
        <f t="shared" si="24"/>
        <v>137.5</v>
      </c>
      <c r="O40" s="3">
        <f t="shared" si="42"/>
        <v>82</v>
      </c>
      <c r="P40" s="5">
        <f t="shared" si="43"/>
        <v>55.5</v>
      </c>
      <c r="Q40" s="5">
        <f t="shared" si="44"/>
        <v>44.583333333372138</v>
      </c>
      <c r="R40" s="7">
        <f>R41</f>
        <v>833.33333333333337</v>
      </c>
      <c r="S40" s="6">
        <f>J40+K40+L40</f>
        <v>465</v>
      </c>
      <c r="T40" s="7">
        <f t="shared" si="46"/>
        <v>368.33333333333337</v>
      </c>
      <c r="U40" s="7">
        <f t="shared" si="47"/>
        <v>275</v>
      </c>
      <c r="V40" s="6">
        <f t="shared" si="47"/>
        <v>170</v>
      </c>
      <c r="W40" s="7">
        <f t="shared" si="48"/>
        <v>105</v>
      </c>
      <c r="X40" s="7">
        <f t="shared" si="49"/>
        <v>1666.6666666666667</v>
      </c>
      <c r="Y40" s="7">
        <f t="shared" si="49"/>
        <v>960</v>
      </c>
      <c r="Z40" s="7">
        <f t="shared" si="50"/>
        <v>706.66666666666674</v>
      </c>
      <c r="AA40" s="24">
        <f t="shared" si="51"/>
        <v>0.79731717949794689</v>
      </c>
      <c r="AB40" s="1"/>
    </row>
    <row r="41" spans="2:28" ht="18.75" thickBot="1" x14ac:dyDescent="0.3">
      <c r="B41" s="3">
        <v>1</v>
      </c>
      <c r="C41" s="5">
        <f>C42+172</f>
        <v>241238</v>
      </c>
      <c r="D41" s="5">
        <f>D42+220</f>
        <v>548312</v>
      </c>
      <c r="E41" s="5">
        <f>E42+88</f>
        <v>129248</v>
      </c>
      <c r="F41" s="8">
        <f t="shared" si="52"/>
        <v>918798</v>
      </c>
      <c r="G41" s="22">
        <f t="shared" si="38"/>
        <v>918472.6875</v>
      </c>
      <c r="H41" s="7">
        <f t="shared" si="39"/>
        <v>918518.52083333337</v>
      </c>
      <c r="I41" s="5">
        <f>I42+357</f>
        <v>646828</v>
      </c>
      <c r="J41" s="6">
        <f t="shared" si="53"/>
        <v>172</v>
      </c>
      <c r="K41" s="6">
        <f t="shared" si="53"/>
        <v>220</v>
      </c>
      <c r="L41" s="6">
        <f t="shared" si="53"/>
        <v>88</v>
      </c>
      <c r="M41" s="6">
        <f t="shared" si="41"/>
        <v>357</v>
      </c>
      <c r="N41" s="43">
        <f>O6/30</f>
        <v>137.5</v>
      </c>
      <c r="O41" s="3">
        <f t="shared" si="42"/>
        <v>88</v>
      </c>
      <c r="P41" s="5">
        <f t="shared" si="43"/>
        <v>49.5</v>
      </c>
      <c r="Q41" s="5">
        <f t="shared" si="44"/>
        <v>45.833333333372138</v>
      </c>
      <c r="R41" s="45">
        <f>S6/30</f>
        <v>833.33333333333337</v>
      </c>
      <c r="S41" s="7">
        <f>J41+K41+L41+V6</f>
        <v>495</v>
      </c>
      <c r="T41" s="7">
        <f t="shared" si="46"/>
        <v>338.33333333333337</v>
      </c>
      <c r="U41" s="7">
        <f>N41</f>
        <v>137.5</v>
      </c>
      <c r="V41" s="6">
        <f>O41</f>
        <v>88</v>
      </c>
      <c r="W41" s="7">
        <f t="shared" si="48"/>
        <v>49.5</v>
      </c>
      <c r="X41" s="7">
        <f>R41</f>
        <v>833.33333333333337</v>
      </c>
      <c r="Y41" s="7">
        <f>S41</f>
        <v>495</v>
      </c>
      <c r="Z41" s="7">
        <f t="shared" si="50"/>
        <v>338.33333333333337</v>
      </c>
      <c r="AA41" s="74">
        <f t="shared" si="51"/>
        <v>0.81106790753342473</v>
      </c>
      <c r="AB41" s="1"/>
    </row>
    <row r="42" spans="2:28" ht="54.75" thickBot="1" x14ac:dyDescent="0.3">
      <c r="B42" s="33" t="s">
        <v>13</v>
      </c>
      <c r="C42" s="3">
        <v>241066</v>
      </c>
      <c r="D42" s="3">
        <v>548092</v>
      </c>
      <c r="E42" s="3">
        <v>129160</v>
      </c>
      <c r="F42" s="8">
        <v>918318</v>
      </c>
      <c r="G42" s="53">
        <v>918076.9375</v>
      </c>
      <c r="H42" s="9">
        <v>918117.35416666663</v>
      </c>
      <c r="I42" s="3">
        <v>646471</v>
      </c>
      <c r="J42" s="10"/>
      <c r="K42" s="10"/>
      <c r="L42" s="10"/>
      <c r="M42" s="44">
        <f>SUM(M12:M41)</f>
        <v>10098</v>
      </c>
      <c r="N42" s="10" t="s">
        <v>39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75">
        <f>AVERAGE(AA11:AA41)</f>
        <v>0.81578518940981026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2:28" ht="18" x14ac:dyDescent="0.25">
      <c r="Z46" s="10"/>
    </row>
    <row r="47" spans="2:28" ht="18" x14ac:dyDescent="0.25">
      <c r="Z47" s="10" t="s">
        <v>38</v>
      </c>
    </row>
    <row r="48" spans="2:28" ht="18" x14ac:dyDescent="0.25">
      <c r="Z48" s="10" t="s">
        <v>44</v>
      </c>
      <c r="AA48" s="10"/>
    </row>
    <row r="49" spans="26:27" ht="18" x14ac:dyDescent="0.25">
      <c r="Z49" s="10" t="s">
        <v>45</v>
      </c>
      <c r="AA49" s="10"/>
    </row>
    <row r="50" spans="26:27" ht="18" x14ac:dyDescent="0.25">
      <c r="Z50" s="10" t="s">
        <v>12</v>
      </c>
      <c r="AA50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B1:AB52"/>
  <sheetViews>
    <sheetView topLeftCell="G1" zoomScale="70" zoomScaleNormal="70" zoomScaleSheetLayoutView="85" workbookViewId="0">
      <pane ySplit="8" topLeftCell="A27" activePane="bottomLeft" state="frozen"/>
      <selection pane="bottomLeft" activeCell="AA47" sqref="AA46:AA47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4.42578125" customWidth="1"/>
    <col min="5" max="5" width="11.42578125" customWidth="1"/>
    <col min="7" max="7" width="12.28515625" bestFit="1" customWidth="1"/>
    <col min="16" max="16" width="13.42578125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1" spans="2:28" x14ac:dyDescent="0.25">
      <c r="D1" s="35"/>
    </row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5">
      <c r="G4" s="27" t="s">
        <v>30</v>
      </c>
      <c r="N4" s="36">
        <f>'Cocina C'!N4</f>
        <v>45444</v>
      </c>
    </row>
    <row r="5" spans="2:28" ht="18.75" x14ac:dyDescent="0.3">
      <c r="B5" s="15"/>
      <c r="C5" s="71" t="s">
        <v>32</v>
      </c>
      <c r="D5" s="71"/>
      <c r="E5" s="71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 t="s">
        <v>42</v>
      </c>
      <c r="V5" s="15" t="s">
        <v>43</v>
      </c>
      <c r="W5" s="15"/>
    </row>
    <row r="6" spans="2:28" ht="18.75" x14ac:dyDescent="0.3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3" t="s">
        <v>27</v>
      </c>
      <c r="O6" s="37">
        <f>S6*16.5%</f>
        <v>4950</v>
      </c>
      <c r="P6" s="38" t="s">
        <v>26</v>
      </c>
      <c r="Q6" s="37">
        <f>(S6*8)/100</f>
        <v>2400</v>
      </c>
      <c r="R6" s="15" t="s">
        <v>25</v>
      </c>
      <c r="S6" s="12">
        <v>30000</v>
      </c>
      <c r="T6" s="15" t="s">
        <v>41</v>
      </c>
      <c r="U6" s="49">
        <v>1052</v>
      </c>
      <c r="V6" s="50">
        <f>U6/31</f>
        <v>33.935483870967744</v>
      </c>
      <c r="W6" s="15"/>
    </row>
    <row r="7" spans="2:28" ht="46.5" customHeight="1" x14ac:dyDescent="0.25">
      <c r="B7" s="70" t="s">
        <v>24</v>
      </c>
      <c r="C7" s="68" t="s">
        <v>9</v>
      </c>
      <c r="D7" s="68"/>
      <c r="E7" s="68"/>
      <c r="F7" s="68"/>
      <c r="G7" s="68"/>
      <c r="H7" s="68"/>
      <c r="I7" s="68"/>
      <c r="J7" s="68" t="s">
        <v>23</v>
      </c>
      <c r="K7" s="68"/>
      <c r="L7" s="68"/>
      <c r="M7" s="68"/>
      <c r="N7" s="68" t="s">
        <v>22</v>
      </c>
      <c r="O7" s="68"/>
      <c r="P7" s="68"/>
      <c r="Q7" s="69" t="s">
        <v>21</v>
      </c>
      <c r="R7" s="68" t="s">
        <v>20</v>
      </c>
      <c r="S7" s="68"/>
      <c r="T7" s="68"/>
      <c r="U7" s="68" t="s">
        <v>10</v>
      </c>
      <c r="V7" s="68"/>
      <c r="W7" s="68"/>
      <c r="X7" s="68" t="s">
        <v>11</v>
      </c>
      <c r="Y7" s="68"/>
      <c r="Z7" s="68"/>
      <c r="AA7" s="68"/>
      <c r="AB7" s="69" t="s">
        <v>8</v>
      </c>
    </row>
    <row r="8" spans="2:28" ht="30" x14ac:dyDescent="0.25">
      <c r="B8" s="70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69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6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5" customFormat="1" ht="18" x14ac:dyDescent="0.25">
      <c r="B11" s="56">
        <v>31</v>
      </c>
      <c r="C11" s="57"/>
      <c r="D11" s="57"/>
      <c r="E11" s="57"/>
      <c r="F11" s="58">
        <f t="shared" ref="F11" si="0">C11+D11+E11</f>
        <v>0</v>
      </c>
      <c r="G11" s="59">
        <f t="shared" ref="G11" si="1">(C12+D12+E12)+((S11/24)*9.5)</f>
        <v>491739.10416666669</v>
      </c>
      <c r="H11" s="57">
        <f t="shared" ref="H11" si="2">G11+((K11/12)*2.5)</f>
        <v>388706.1875</v>
      </c>
      <c r="I11" s="57"/>
      <c r="J11" s="60">
        <f t="shared" ref="J11:L11" si="3">C11-C12</f>
        <v>-212273</v>
      </c>
      <c r="K11" s="60">
        <f t="shared" si="3"/>
        <v>-494558</v>
      </c>
      <c r="L11" s="60">
        <f t="shared" si="3"/>
        <v>-107082</v>
      </c>
      <c r="M11" s="60">
        <f t="shared" ref="M11" si="4">I11-I12</f>
        <v>-89684</v>
      </c>
      <c r="N11" s="61">
        <f t="shared" ref="N11" si="5">N12</f>
        <v>165</v>
      </c>
      <c r="O11" s="62">
        <f t="shared" ref="O11" si="6">L11</f>
        <v>-107082</v>
      </c>
      <c r="P11" s="61">
        <f t="shared" ref="P11" si="7">N11-O11</f>
        <v>107247</v>
      </c>
      <c r="Q11" s="61">
        <f t="shared" ref="Q11" si="8">H11-G11</f>
        <v>-103032.91666666669</v>
      </c>
      <c r="R11" s="57">
        <f t="shared" ref="R11" si="9">R12</f>
        <v>1000</v>
      </c>
      <c r="S11" s="60">
        <f t="shared" ref="S11" si="10">J11+K11+L11</f>
        <v>-813913</v>
      </c>
      <c r="T11" s="57">
        <f t="shared" ref="T11" si="11">R11-S11</f>
        <v>814913</v>
      </c>
      <c r="U11" s="57">
        <f t="shared" ref="U11:V11" si="12">U12+N11</f>
        <v>5115</v>
      </c>
      <c r="V11" s="57">
        <f t="shared" si="12"/>
        <v>-104067</v>
      </c>
      <c r="W11" s="57">
        <f t="shared" ref="W11" si="13">U11-V11</f>
        <v>109182</v>
      </c>
      <c r="X11" s="57">
        <f t="shared" ref="X11:Y11" si="14">X12+R11</f>
        <v>31000</v>
      </c>
      <c r="Y11" s="57">
        <f t="shared" si="14"/>
        <v>-795151</v>
      </c>
      <c r="Z11" s="57">
        <f t="shared" ref="Z11" si="15">X11-Y11</f>
        <v>826151</v>
      </c>
      <c r="AA11" s="63">
        <f t="shared" ref="AA11" si="16">COS(ATAN(M11/S11))</f>
        <v>0.99398395524404703</v>
      </c>
      <c r="AB11" s="64"/>
    </row>
    <row r="12" spans="2:28" ht="18" x14ac:dyDescent="0.25">
      <c r="B12" s="3">
        <v>30</v>
      </c>
      <c r="C12" s="3">
        <v>212273</v>
      </c>
      <c r="D12" s="3">
        <v>494558</v>
      </c>
      <c r="E12" s="3">
        <v>107082</v>
      </c>
      <c r="F12" s="9">
        <f t="shared" ref="F12" si="17">C12+D12+E12</f>
        <v>813913</v>
      </c>
      <c r="G12" s="22">
        <f t="shared" ref="G12:G40" si="18">(C13+D13+E13)+((S12/24)*3)</f>
        <v>813421.25</v>
      </c>
      <c r="H12" s="7">
        <f t="shared" ref="H12:H40" si="19">G12+((K12/12)*2.5)</f>
        <v>813479.16666666663</v>
      </c>
      <c r="I12" s="3">
        <v>89684</v>
      </c>
      <c r="J12" s="6">
        <f t="shared" ref="J12" si="20">C12-C13</f>
        <v>174</v>
      </c>
      <c r="K12" s="6">
        <f t="shared" ref="K12" si="21">D12-D13</f>
        <v>278</v>
      </c>
      <c r="L12" s="6">
        <f t="shared" ref="L12" si="22">E12-E13</f>
        <v>110</v>
      </c>
      <c r="M12" s="6">
        <f t="shared" ref="M12" si="23">I12-I13</f>
        <v>73</v>
      </c>
      <c r="N12" s="5">
        <f t="shared" ref="N12:N40" si="24">N13</f>
        <v>165</v>
      </c>
      <c r="O12" s="23">
        <f t="shared" ref="O12" si="25">L12</f>
        <v>110</v>
      </c>
      <c r="P12" s="5">
        <f t="shared" ref="P12" si="26">N12-O12</f>
        <v>55</v>
      </c>
      <c r="Q12" s="5">
        <f t="shared" ref="Q12" si="27">H12-G12</f>
        <v>57.916666666627862</v>
      </c>
      <c r="R12" s="7">
        <f t="shared" ref="R12:R39" si="28">R13</f>
        <v>1000</v>
      </c>
      <c r="S12" s="6">
        <f t="shared" ref="S12" si="29">J12+K12+L12</f>
        <v>562</v>
      </c>
      <c r="T12" s="7">
        <f t="shared" ref="T12" si="30">R12-S12</f>
        <v>438</v>
      </c>
      <c r="U12" s="7">
        <f t="shared" ref="U12" si="31">U13+N12</f>
        <v>4950</v>
      </c>
      <c r="V12" s="7">
        <f t="shared" ref="V12" si="32">V13+O12</f>
        <v>3015</v>
      </c>
      <c r="W12" s="7">
        <f t="shared" ref="W12" si="33">U12-V12</f>
        <v>1935</v>
      </c>
      <c r="X12" s="7">
        <f t="shared" ref="X12" si="34">X13+R12</f>
        <v>30000</v>
      </c>
      <c r="Y12" s="7">
        <f t="shared" ref="Y12" si="35">Y13+S12</f>
        <v>18762</v>
      </c>
      <c r="Z12" s="7">
        <f t="shared" ref="Z12" si="36">X12-Y12</f>
        <v>11238</v>
      </c>
      <c r="AA12" s="24">
        <f t="shared" ref="AA12" si="37">COS(ATAN(M12/S12))</f>
        <v>0.9916691465220393</v>
      </c>
      <c r="AB12" s="25"/>
    </row>
    <row r="13" spans="2:28" ht="18" x14ac:dyDescent="0.25">
      <c r="B13" s="3">
        <v>29</v>
      </c>
      <c r="C13" s="3">
        <f>C14+211</f>
        <v>212099</v>
      </c>
      <c r="D13" s="3">
        <f t="shared" ref="D13" si="38">D14+286</f>
        <v>494280</v>
      </c>
      <c r="E13" s="3">
        <f>E14+113</f>
        <v>106972</v>
      </c>
      <c r="F13" s="9">
        <f>C13+D13+E13</f>
        <v>813351</v>
      </c>
      <c r="G13" s="22">
        <f t="shared" si="18"/>
        <v>812817.25</v>
      </c>
      <c r="H13" s="7">
        <f t="shared" si="19"/>
        <v>812876.83333333337</v>
      </c>
      <c r="I13" s="3">
        <f>I14+84</f>
        <v>89611</v>
      </c>
      <c r="J13" s="6">
        <f t="shared" ref="J13:J40" si="39">C13-C14</f>
        <v>211</v>
      </c>
      <c r="K13" s="6">
        <f t="shared" ref="K13:K40" si="40">D13-D14</f>
        <v>286</v>
      </c>
      <c r="L13" s="6">
        <f t="shared" ref="L13:L40" si="41">E13-E14</f>
        <v>113</v>
      </c>
      <c r="M13" s="6">
        <f t="shared" ref="M13:M40" si="42">I13-I14</f>
        <v>84</v>
      </c>
      <c r="N13" s="5">
        <f t="shared" si="24"/>
        <v>165</v>
      </c>
      <c r="O13" s="23">
        <f t="shared" ref="O13:O41" si="43">L13</f>
        <v>113</v>
      </c>
      <c r="P13" s="5">
        <f t="shared" ref="P13:P41" si="44">N13-O13</f>
        <v>52</v>
      </c>
      <c r="Q13" s="5">
        <f t="shared" ref="Q13:Q41" si="45">H13-G13</f>
        <v>59.583333333372138</v>
      </c>
      <c r="R13" s="7">
        <f t="shared" si="28"/>
        <v>1000</v>
      </c>
      <c r="S13" s="6">
        <f t="shared" ref="S13:S41" si="46">J13+K13+L13</f>
        <v>610</v>
      </c>
      <c r="T13" s="7">
        <f t="shared" ref="T13:T41" si="47">R13-S13</f>
        <v>390</v>
      </c>
      <c r="U13" s="7">
        <f t="shared" ref="U13:U40" si="48">U14+N13</f>
        <v>4785</v>
      </c>
      <c r="V13" s="7">
        <f t="shared" ref="V13:V40" si="49">V14+O13</f>
        <v>2905</v>
      </c>
      <c r="W13" s="7">
        <f t="shared" ref="W13:W41" si="50">U13-V13</f>
        <v>1880</v>
      </c>
      <c r="X13" s="7">
        <f t="shared" ref="X13:X40" si="51">X14+R13</f>
        <v>29000</v>
      </c>
      <c r="Y13" s="7">
        <f t="shared" ref="Y13:Y40" si="52">Y14+S13</f>
        <v>18200</v>
      </c>
      <c r="Z13" s="7">
        <f t="shared" ref="Z13:Z41" si="53">X13-Y13</f>
        <v>10800</v>
      </c>
      <c r="AA13" s="24">
        <f t="shared" ref="AA13:AA41" si="54">COS(ATAN(M13/S13))</f>
        <v>0.99065142492383029</v>
      </c>
      <c r="AB13" s="25"/>
    </row>
    <row r="14" spans="2:28" ht="18" x14ac:dyDescent="0.25">
      <c r="B14" s="3">
        <v>28</v>
      </c>
      <c r="C14" s="3">
        <f>C15+190</f>
        <v>211888</v>
      </c>
      <c r="D14" s="3">
        <f>D15+292</f>
        <v>493994</v>
      </c>
      <c r="E14" s="3">
        <f>E15+100</f>
        <v>106859</v>
      </c>
      <c r="F14" s="8">
        <f t="shared" ref="F14:F41" si="55">C14+D14+E14</f>
        <v>812741</v>
      </c>
      <c r="G14" s="22">
        <f t="shared" si="18"/>
        <v>812231.75</v>
      </c>
      <c r="H14" s="7">
        <f t="shared" si="19"/>
        <v>812292.58333333337</v>
      </c>
      <c r="I14" s="3">
        <f>I15+89</f>
        <v>89527</v>
      </c>
      <c r="J14" s="6">
        <f t="shared" si="39"/>
        <v>190</v>
      </c>
      <c r="K14" s="6">
        <f t="shared" si="40"/>
        <v>292</v>
      </c>
      <c r="L14" s="6">
        <f t="shared" si="41"/>
        <v>100</v>
      </c>
      <c r="M14" s="6">
        <f t="shared" si="42"/>
        <v>89</v>
      </c>
      <c r="N14" s="5">
        <f t="shared" si="24"/>
        <v>165</v>
      </c>
      <c r="O14" s="23">
        <f t="shared" si="43"/>
        <v>100</v>
      </c>
      <c r="P14" s="5">
        <f t="shared" si="44"/>
        <v>65</v>
      </c>
      <c r="Q14" s="5">
        <f t="shared" si="45"/>
        <v>60.833333333372138</v>
      </c>
      <c r="R14" s="7">
        <f t="shared" si="28"/>
        <v>1000</v>
      </c>
      <c r="S14" s="6">
        <f t="shared" si="46"/>
        <v>582</v>
      </c>
      <c r="T14" s="7">
        <f t="shared" si="47"/>
        <v>418</v>
      </c>
      <c r="U14" s="7">
        <f t="shared" si="48"/>
        <v>4620</v>
      </c>
      <c r="V14" s="7">
        <f t="shared" si="49"/>
        <v>2792</v>
      </c>
      <c r="W14" s="7">
        <f t="shared" si="50"/>
        <v>1828</v>
      </c>
      <c r="X14" s="7">
        <f t="shared" si="51"/>
        <v>28000</v>
      </c>
      <c r="Y14" s="7">
        <f t="shared" si="52"/>
        <v>17590</v>
      </c>
      <c r="Z14" s="7">
        <f t="shared" si="53"/>
        <v>10410</v>
      </c>
      <c r="AA14" s="24">
        <f t="shared" si="54"/>
        <v>0.98850874218911089</v>
      </c>
      <c r="AB14" s="25"/>
    </row>
    <row r="15" spans="2:28" ht="18" x14ac:dyDescent="0.25">
      <c r="B15" s="3">
        <v>27</v>
      </c>
      <c r="C15" s="3">
        <f>C16+203</f>
        <v>211698</v>
      </c>
      <c r="D15" s="3">
        <f>D16+250</f>
        <v>493702</v>
      </c>
      <c r="E15" s="3">
        <f t="shared" ref="E15" si="56">E16+107</f>
        <v>106759</v>
      </c>
      <c r="F15" s="8">
        <f t="shared" si="55"/>
        <v>812159</v>
      </c>
      <c r="G15" s="22">
        <f t="shared" si="18"/>
        <v>811669</v>
      </c>
      <c r="H15" s="7">
        <f t="shared" si="19"/>
        <v>811721.08333333337</v>
      </c>
      <c r="I15" s="3">
        <f t="shared" ref="I15" si="57">I16+85</f>
        <v>89438</v>
      </c>
      <c r="J15" s="6">
        <f t="shared" si="39"/>
        <v>203</v>
      </c>
      <c r="K15" s="6">
        <f t="shared" si="40"/>
        <v>250</v>
      </c>
      <c r="L15" s="6">
        <f t="shared" si="41"/>
        <v>107</v>
      </c>
      <c r="M15" s="7">
        <f>I15-I16</f>
        <v>85</v>
      </c>
      <c r="N15" s="5">
        <f t="shared" si="24"/>
        <v>165</v>
      </c>
      <c r="O15" s="23">
        <f t="shared" si="43"/>
        <v>107</v>
      </c>
      <c r="P15" s="5">
        <f t="shared" si="44"/>
        <v>58</v>
      </c>
      <c r="Q15" s="5">
        <f t="shared" si="45"/>
        <v>52.083333333372138</v>
      </c>
      <c r="R15" s="7">
        <f t="shared" si="28"/>
        <v>1000</v>
      </c>
      <c r="S15" s="6">
        <f t="shared" si="46"/>
        <v>560</v>
      </c>
      <c r="T15" s="7">
        <f t="shared" si="47"/>
        <v>440</v>
      </c>
      <c r="U15" s="7">
        <f t="shared" si="48"/>
        <v>4455</v>
      </c>
      <c r="V15" s="7">
        <f t="shared" si="49"/>
        <v>2692</v>
      </c>
      <c r="W15" s="7">
        <f t="shared" si="50"/>
        <v>1763</v>
      </c>
      <c r="X15" s="7">
        <f t="shared" si="51"/>
        <v>27000</v>
      </c>
      <c r="Y15" s="7">
        <f t="shared" si="52"/>
        <v>17008</v>
      </c>
      <c r="Z15" s="7">
        <f t="shared" si="53"/>
        <v>9992</v>
      </c>
      <c r="AA15" s="24">
        <f t="shared" si="54"/>
        <v>0.98867584907478867</v>
      </c>
      <c r="AB15" s="25"/>
    </row>
    <row r="16" spans="2:28" ht="18" x14ac:dyDescent="0.25">
      <c r="B16" s="3">
        <v>26</v>
      </c>
      <c r="C16" s="3">
        <f>C17+217</f>
        <v>211495</v>
      </c>
      <c r="D16" s="3">
        <f>D17+323</f>
        <v>493452</v>
      </c>
      <c r="E16" s="3">
        <f>E17+109</f>
        <v>106652</v>
      </c>
      <c r="F16" s="8">
        <f t="shared" si="55"/>
        <v>811599</v>
      </c>
      <c r="G16" s="22">
        <f t="shared" si="18"/>
        <v>811031.125</v>
      </c>
      <c r="H16" s="7">
        <f t="shared" si="19"/>
        <v>811098.41666666663</v>
      </c>
      <c r="I16" s="3">
        <f>I17+92</f>
        <v>89353</v>
      </c>
      <c r="J16" s="6">
        <f t="shared" si="39"/>
        <v>217</v>
      </c>
      <c r="K16" s="6">
        <f t="shared" si="40"/>
        <v>323</v>
      </c>
      <c r="L16" s="6">
        <f t="shared" si="41"/>
        <v>109</v>
      </c>
      <c r="M16" s="6">
        <f t="shared" si="42"/>
        <v>92</v>
      </c>
      <c r="N16" s="5">
        <f t="shared" si="24"/>
        <v>165</v>
      </c>
      <c r="O16" s="23">
        <f t="shared" si="43"/>
        <v>109</v>
      </c>
      <c r="P16" s="5">
        <f t="shared" si="44"/>
        <v>56</v>
      </c>
      <c r="Q16" s="5">
        <f t="shared" si="45"/>
        <v>67.291666666627862</v>
      </c>
      <c r="R16" s="7">
        <f t="shared" si="28"/>
        <v>1000</v>
      </c>
      <c r="S16" s="6">
        <f t="shared" si="46"/>
        <v>649</v>
      </c>
      <c r="T16" s="7">
        <f t="shared" si="47"/>
        <v>351</v>
      </c>
      <c r="U16" s="7">
        <f t="shared" si="48"/>
        <v>4290</v>
      </c>
      <c r="V16" s="7">
        <f t="shared" si="49"/>
        <v>2585</v>
      </c>
      <c r="W16" s="7">
        <f t="shared" si="50"/>
        <v>1705</v>
      </c>
      <c r="X16" s="7">
        <f t="shared" si="51"/>
        <v>26000</v>
      </c>
      <c r="Y16" s="7">
        <f t="shared" si="52"/>
        <v>16448</v>
      </c>
      <c r="Z16" s="7">
        <f t="shared" si="53"/>
        <v>9552</v>
      </c>
      <c r="AA16" s="24">
        <f t="shared" si="54"/>
        <v>0.99010147566880058</v>
      </c>
      <c r="AB16" s="25"/>
    </row>
    <row r="17" spans="2:28" ht="18" x14ac:dyDescent="0.25">
      <c r="B17" s="3">
        <v>25</v>
      </c>
      <c r="C17" s="3">
        <v>211278</v>
      </c>
      <c r="D17" s="3">
        <v>493129</v>
      </c>
      <c r="E17" s="3">
        <v>106543</v>
      </c>
      <c r="F17" s="8">
        <f t="shared" si="55"/>
        <v>810950</v>
      </c>
      <c r="G17" s="22">
        <f t="shared" si="18"/>
        <v>810189.625</v>
      </c>
      <c r="H17" s="7">
        <f t="shared" si="19"/>
        <v>810302.75</v>
      </c>
      <c r="I17" s="3">
        <v>89261</v>
      </c>
      <c r="J17" s="6">
        <f t="shared" si="39"/>
        <v>214</v>
      </c>
      <c r="K17" s="6">
        <f t="shared" si="40"/>
        <v>543</v>
      </c>
      <c r="L17" s="6">
        <f t="shared" si="41"/>
        <v>112</v>
      </c>
      <c r="M17" s="6">
        <f t="shared" si="42"/>
        <v>119</v>
      </c>
      <c r="N17" s="5">
        <f t="shared" si="24"/>
        <v>165</v>
      </c>
      <c r="O17" s="23">
        <f t="shared" si="43"/>
        <v>112</v>
      </c>
      <c r="P17" s="5">
        <f t="shared" si="44"/>
        <v>53</v>
      </c>
      <c r="Q17" s="5">
        <f t="shared" si="45"/>
        <v>113.125</v>
      </c>
      <c r="R17" s="7">
        <f t="shared" si="28"/>
        <v>1000</v>
      </c>
      <c r="S17" s="6">
        <f t="shared" si="46"/>
        <v>869</v>
      </c>
      <c r="T17" s="7">
        <f t="shared" si="47"/>
        <v>131</v>
      </c>
      <c r="U17" s="7">
        <f t="shared" si="48"/>
        <v>4125</v>
      </c>
      <c r="V17" s="7">
        <f t="shared" si="49"/>
        <v>2476</v>
      </c>
      <c r="W17" s="7">
        <f t="shared" si="50"/>
        <v>1649</v>
      </c>
      <c r="X17" s="7">
        <f t="shared" si="51"/>
        <v>25000</v>
      </c>
      <c r="Y17" s="7">
        <f t="shared" si="52"/>
        <v>15799</v>
      </c>
      <c r="Z17" s="7">
        <f t="shared" si="53"/>
        <v>9201</v>
      </c>
      <c r="AA17" s="24">
        <f t="shared" si="54"/>
        <v>0.99075369445895389</v>
      </c>
      <c r="AB17" s="25"/>
    </row>
    <row r="18" spans="2:28" ht="18" x14ac:dyDescent="0.25">
      <c r="B18" s="3">
        <v>24</v>
      </c>
      <c r="C18" s="3">
        <f>C19+223</f>
        <v>211064</v>
      </c>
      <c r="D18" s="3">
        <f>D19+550</f>
        <v>492586</v>
      </c>
      <c r="E18" s="3">
        <f>E19+118</f>
        <v>106431</v>
      </c>
      <c r="F18" s="8">
        <f t="shared" si="55"/>
        <v>810081</v>
      </c>
      <c r="G18" s="22">
        <f t="shared" si="18"/>
        <v>809301.375</v>
      </c>
      <c r="H18" s="7">
        <f t="shared" si="19"/>
        <v>809415.95833333337</v>
      </c>
      <c r="I18" s="3">
        <f>I19+125</f>
        <v>89142</v>
      </c>
      <c r="J18" s="6">
        <f t="shared" si="39"/>
        <v>223</v>
      </c>
      <c r="K18" s="6">
        <f t="shared" si="40"/>
        <v>550</v>
      </c>
      <c r="L18" s="6">
        <f t="shared" si="41"/>
        <v>118</v>
      </c>
      <c r="M18" s="6">
        <f t="shared" si="42"/>
        <v>125</v>
      </c>
      <c r="N18" s="5">
        <f t="shared" si="24"/>
        <v>165</v>
      </c>
      <c r="O18" s="23">
        <f t="shared" si="43"/>
        <v>118</v>
      </c>
      <c r="P18" s="5">
        <f t="shared" si="44"/>
        <v>47</v>
      </c>
      <c r="Q18" s="5">
        <f t="shared" si="45"/>
        <v>114.58333333337214</v>
      </c>
      <c r="R18" s="7">
        <f t="shared" si="28"/>
        <v>1000</v>
      </c>
      <c r="S18" s="6">
        <f t="shared" si="46"/>
        <v>891</v>
      </c>
      <c r="T18" s="7">
        <f t="shared" si="47"/>
        <v>109</v>
      </c>
      <c r="U18" s="7">
        <f t="shared" si="48"/>
        <v>3960</v>
      </c>
      <c r="V18" s="7">
        <f t="shared" si="49"/>
        <v>2364</v>
      </c>
      <c r="W18" s="7">
        <f t="shared" si="50"/>
        <v>1596</v>
      </c>
      <c r="X18" s="7">
        <f t="shared" si="51"/>
        <v>24000</v>
      </c>
      <c r="Y18" s="7">
        <f t="shared" si="52"/>
        <v>14930</v>
      </c>
      <c r="Z18" s="7">
        <f t="shared" si="53"/>
        <v>9070</v>
      </c>
      <c r="AA18" s="24">
        <f t="shared" si="54"/>
        <v>0.99030202704532</v>
      </c>
      <c r="AB18" s="25"/>
    </row>
    <row r="19" spans="2:28" ht="18" x14ac:dyDescent="0.25">
      <c r="B19" s="3">
        <v>23</v>
      </c>
      <c r="C19" s="3">
        <v>210841</v>
      </c>
      <c r="D19" s="3">
        <v>492036</v>
      </c>
      <c r="E19" s="3">
        <v>106313</v>
      </c>
      <c r="F19" s="8">
        <f t="shared" si="55"/>
        <v>809190</v>
      </c>
      <c r="G19" s="22">
        <f t="shared" si="18"/>
        <v>808630.875</v>
      </c>
      <c r="H19" s="7">
        <f t="shared" si="19"/>
        <v>808701.70833333337</v>
      </c>
      <c r="I19" s="3">
        <v>89017</v>
      </c>
      <c r="J19" s="6">
        <f t="shared" si="39"/>
        <v>199</v>
      </c>
      <c r="K19" s="6">
        <f t="shared" si="40"/>
        <v>340</v>
      </c>
      <c r="L19" s="6">
        <f t="shared" si="41"/>
        <v>100</v>
      </c>
      <c r="M19" s="6">
        <f t="shared" si="42"/>
        <v>110</v>
      </c>
      <c r="N19" s="5">
        <f t="shared" si="24"/>
        <v>165</v>
      </c>
      <c r="O19" s="3">
        <f t="shared" si="43"/>
        <v>100</v>
      </c>
      <c r="P19" s="5">
        <f t="shared" si="44"/>
        <v>65</v>
      </c>
      <c r="Q19" s="5">
        <f t="shared" si="45"/>
        <v>70.833333333372138</v>
      </c>
      <c r="R19" s="7">
        <f t="shared" si="28"/>
        <v>1000</v>
      </c>
      <c r="S19" s="6">
        <f t="shared" si="46"/>
        <v>639</v>
      </c>
      <c r="T19" s="7">
        <f t="shared" si="47"/>
        <v>361</v>
      </c>
      <c r="U19" s="7">
        <f t="shared" si="48"/>
        <v>3795</v>
      </c>
      <c r="V19" s="7">
        <f t="shared" si="49"/>
        <v>2246</v>
      </c>
      <c r="W19" s="7">
        <f t="shared" si="50"/>
        <v>1549</v>
      </c>
      <c r="X19" s="7">
        <f t="shared" si="51"/>
        <v>23000</v>
      </c>
      <c r="Y19" s="7">
        <f t="shared" si="52"/>
        <v>14039</v>
      </c>
      <c r="Z19" s="7">
        <f t="shared" si="53"/>
        <v>8961</v>
      </c>
      <c r="AA19" s="24">
        <f t="shared" si="54"/>
        <v>0.9855046044491631</v>
      </c>
      <c r="AB19" s="1"/>
    </row>
    <row r="20" spans="2:28" ht="18" x14ac:dyDescent="0.25">
      <c r="B20" s="3">
        <v>22</v>
      </c>
      <c r="C20" s="3">
        <f>C21+194</f>
        <v>210642</v>
      </c>
      <c r="D20" s="3">
        <f>D21+353</f>
        <v>491696</v>
      </c>
      <c r="E20" s="3">
        <f>E21+98</f>
        <v>106213</v>
      </c>
      <c r="F20" s="8">
        <f t="shared" si="55"/>
        <v>808551</v>
      </c>
      <c r="G20" s="22">
        <f t="shared" si="18"/>
        <v>807986.625</v>
      </c>
      <c r="H20" s="7">
        <f t="shared" si="19"/>
        <v>808060.16666666663</v>
      </c>
      <c r="I20" s="3">
        <f>I21+109</f>
        <v>88907</v>
      </c>
      <c r="J20" s="6">
        <f t="shared" si="39"/>
        <v>194</v>
      </c>
      <c r="K20" s="6">
        <f t="shared" si="40"/>
        <v>353</v>
      </c>
      <c r="L20" s="6">
        <f t="shared" si="41"/>
        <v>98</v>
      </c>
      <c r="M20" s="6">
        <f t="shared" si="42"/>
        <v>109</v>
      </c>
      <c r="N20" s="5">
        <f t="shared" si="24"/>
        <v>165</v>
      </c>
      <c r="O20" s="3">
        <f t="shared" si="43"/>
        <v>98</v>
      </c>
      <c r="P20" s="5">
        <f t="shared" si="44"/>
        <v>67</v>
      </c>
      <c r="Q20" s="5">
        <f t="shared" si="45"/>
        <v>73.541666666627862</v>
      </c>
      <c r="R20" s="7">
        <f t="shared" si="28"/>
        <v>1000</v>
      </c>
      <c r="S20" s="6">
        <f t="shared" si="46"/>
        <v>645</v>
      </c>
      <c r="T20" s="7">
        <f t="shared" si="47"/>
        <v>355</v>
      </c>
      <c r="U20" s="7">
        <f t="shared" si="48"/>
        <v>3630</v>
      </c>
      <c r="V20" s="7">
        <f t="shared" si="49"/>
        <v>2146</v>
      </c>
      <c r="W20" s="7">
        <f t="shared" si="50"/>
        <v>1484</v>
      </c>
      <c r="X20" s="7">
        <f t="shared" si="51"/>
        <v>22000</v>
      </c>
      <c r="Y20" s="7">
        <f t="shared" si="52"/>
        <v>13400</v>
      </c>
      <c r="Z20" s="7">
        <f t="shared" si="53"/>
        <v>8600</v>
      </c>
      <c r="AA20" s="24">
        <f t="shared" si="54"/>
        <v>0.98601955162540966</v>
      </c>
      <c r="AB20" s="1"/>
    </row>
    <row r="21" spans="2:28" ht="18" x14ac:dyDescent="0.25">
      <c r="B21" s="3">
        <v>21</v>
      </c>
      <c r="C21" s="3">
        <f>C22+190</f>
        <v>210448</v>
      </c>
      <c r="D21" s="3">
        <f>D22+365</f>
        <v>491343</v>
      </c>
      <c r="E21" s="3">
        <f>E22+96</f>
        <v>106115</v>
      </c>
      <c r="F21" s="8">
        <f t="shared" si="55"/>
        <v>807906</v>
      </c>
      <c r="G21" s="22">
        <f t="shared" si="18"/>
        <v>807336.375</v>
      </c>
      <c r="H21" s="7">
        <f t="shared" si="19"/>
        <v>807412.41666666663</v>
      </c>
      <c r="I21" s="3">
        <f>I22+107</f>
        <v>88798</v>
      </c>
      <c r="J21" s="6">
        <f t="shared" si="39"/>
        <v>190</v>
      </c>
      <c r="K21" s="6">
        <f t="shared" si="40"/>
        <v>365</v>
      </c>
      <c r="L21" s="6">
        <f t="shared" si="41"/>
        <v>96</v>
      </c>
      <c r="M21" s="6">
        <f t="shared" si="42"/>
        <v>107</v>
      </c>
      <c r="N21" s="5">
        <f t="shared" si="24"/>
        <v>165</v>
      </c>
      <c r="O21" s="3">
        <f t="shared" si="43"/>
        <v>96</v>
      </c>
      <c r="P21" s="5">
        <f t="shared" si="44"/>
        <v>69</v>
      </c>
      <c r="Q21" s="5">
        <f t="shared" si="45"/>
        <v>76.041666666627862</v>
      </c>
      <c r="R21" s="7">
        <f t="shared" si="28"/>
        <v>1000</v>
      </c>
      <c r="S21" s="6">
        <f t="shared" si="46"/>
        <v>651</v>
      </c>
      <c r="T21" s="7">
        <f t="shared" si="47"/>
        <v>349</v>
      </c>
      <c r="U21" s="7">
        <f t="shared" si="48"/>
        <v>3465</v>
      </c>
      <c r="V21" s="7">
        <f t="shared" si="49"/>
        <v>2048</v>
      </c>
      <c r="W21" s="7">
        <f t="shared" si="50"/>
        <v>1417</v>
      </c>
      <c r="X21" s="7">
        <f t="shared" si="51"/>
        <v>21000</v>
      </c>
      <c r="Y21" s="7">
        <f t="shared" si="52"/>
        <v>12755</v>
      </c>
      <c r="Z21" s="7">
        <f t="shared" si="53"/>
        <v>8245</v>
      </c>
      <c r="AA21" s="24">
        <f t="shared" si="54"/>
        <v>0.98676014170336823</v>
      </c>
      <c r="AB21" s="1"/>
    </row>
    <row r="22" spans="2:28" ht="18" x14ac:dyDescent="0.25">
      <c r="B22" s="3">
        <v>20</v>
      </c>
      <c r="C22" s="3">
        <v>210258</v>
      </c>
      <c r="D22" s="3">
        <v>490978</v>
      </c>
      <c r="E22" s="3">
        <v>106019</v>
      </c>
      <c r="F22" s="8">
        <f t="shared" si="55"/>
        <v>807255</v>
      </c>
      <c r="G22" s="22">
        <f t="shared" si="18"/>
        <v>806685.375</v>
      </c>
      <c r="H22" s="7">
        <f t="shared" si="19"/>
        <v>806772.04166666663</v>
      </c>
      <c r="I22" s="3">
        <v>88691</v>
      </c>
      <c r="J22" s="6">
        <f t="shared" si="39"/>
        <v>142</v>
      </c>
      <c r="K22" s="6">
        <f t="shared" si="40"/>
        <v>416</v>
      </c>
      <c r="L22" s="6">
        <f t="shared" si="41"/>
        <v>93</v>
      </c>
      <c r="M22" s="6">
        <f t="shared" si="42"/>
        <v>95</v>
      </c>
      <c r="N22" s="5">
        <f t="shared" si="24"/>
        <v>165</v>
      </c>
      <c r="O22" s="3">
        <f t="shared" si="43"/>
        <v>93</v>
      </c>
      <c r="P22" s="5">
        <f t="shared" si="44"/>
        <v>72</v>
      </c>
      <c r="Q22" s="5">
        <f t="shared" si="45"/>
        <v>86.666666666627862</v>
      </c>
      <c r="R22" s="7">
        <f t="shared" si="28"/>
        <v>1000</v>
      </c>
      <c r="S22" s="6">
        <f t="shared" si="46"/>
        <v>651</v>
      </c>
      <c r="T22" s="7">
        <f t="shared" si="47"/>
        <v>349</v>
      </c>
      <c r="U22" s="7">
        <f t="shared" si="48"/>
        <v>3300</v>
      </c>
      <c r="V22" s="7">
        <f t="shared" si="49"/>
        <v>1952</v>
      </c>
      <c r="W22" s="7">
        <f t="shared" si="50"/>
        <v>1348</v>
      </c>
      <c r="X22" s="7">
        <f t="shared" si="51"/>
        <v>20000</v>
      </c>
      <c r="Y22" s="7">
        <f t="shared" si="52"/>
        <v>12104</v>
      </c>
      <c r="Z22" s="7">
        <f t="shared" si="53"/>
        <v>7896</v>
      </c>
      <c r="AA22" s="24">
        <f t="shared" si="54"/>
        <v>0.98951941103822183</v>
      </c>
      <c r="AB22" s="1"/>
    </row>
    <row r="23" spans="2:28" ht="18" x14ac:dyDescent="0.25">
      <c r="B23" s="3">
        <v>19</v>
      </c>
      <c r="C23" s="3">
        <f>C24+159</f>
        <v>210116</v>
      </c>
      <c r="D23" s="3">
        <f>D24+424</f>
        <v>490562</v>
      </c>
      <c r="E23" s="3">
        <f>E24+99</f>
        <v>105926</v>
      </c>
      <c r="F23" s="8">
        <f t="shared" si="55"/>
        <v>806604</v>
      </c>
      <c r="G23" s="22">
        <f t="shared" si="18"/>
        <v>806007.25</v>
      </c>
      <c r="H23" s="7">
        <f t="shared" si="19"/>
        <v>806095.58333333337</v>
      </c>
      <c r="I23" s="3">
        <f>I24+99</f>
        <v>88596</v>
      </c>
      <c r="J23" s="6">
        <f t="shared" si="39"/>
        <v>159</v>
      </c>
      <c r="K23" s="6">
        <f t="shared" si="40"/>
        <v>424</v>
      </c>
      <c r="L23" s="6">
        <f t="shared" si="41"/>
        <v>99</v>
      </c>
      <c r="M23" s="6">
        <f t="shared" si="42"/>
        <v>99</v>
      </c>
      <c r="N23" s="5">
        <f t="shared" si="24"/>
        <v>165</v>
      </c>
      <c r="O23" s="3">
        <f t="shared" si="43"/>
        <v>99</v>
      </c>
      <c r="P23" s="5">
        <f t="shared" si="44"/>
        <v>66</v>
      </c>
      <c r="Q23" s="5">
        <f t="shared" si="45"/>
        <v>88.333333333372138</v>
      </c>
      <c r="R23" s="7">
        <f t="shared" si="28"/>
        <v>1000</v>
      </c>
      <c r="S23" s="6">
        <f t="shared" si="46"/>
        <v>682</v>
      </c>
      <c r="T23" s="7">
        <f t="shared" si="47"/>
        <v>318</v>
      </c>
      <c r="U23" s="7">
        <f t="shared" si="48"/>
        <v>3135</v>
      </c>
      <c r="V23" s="7">
        <f t="shared" si="49"/>
        <v>1859</v>
      </c>
      <c r="W23" s="7">
        <f t="shared" si="50"/>
        <v>1276</v>
      </c>
      <c r="X23" s="7">
        <f t="shared" si="51"/>
        <v>19000</v>
      </c>
      <c r="Y23" s="7">
        <f t="shared" si="52"/>
        <v>11453</v>
      </c>
      <c r="Z23" s="7">
        <f t="shared" si="53"/>
        <v>7547</v>
      </c>
      <c r="AA23" s="24">
        <f t="shared" si="54"/>
        <v>0.98962773673985149</v>
      </c>
      <c r="AB23" s="1"/>
    </row>
    <row r="24" spans="2:28" ht="18" x14ac:dyDescent="0.25">
      <c r="B24" s="3">
        <v>18</v>
      </c>
      <c r="C24" s="3">
        <f>C25+155</f>
        <v>209957</v>
      </c>
      <c r="D24" s="3">
        <f>D25+420</f>
        <v>490138</v>
      </c>
      <c r="E24" s="3">
        <f>E25+96</f>
        <v>105827</v>
      </c>
      <c r="F24" s="8">
        <f t="shared" si="55"/>
        <v>805922</v>
      </c>
      <c r="G24" s="22">
        <f t="shared" si="18"/>
        <v>805334.875</v>
      </c>
      <c r="H24" s="7">
        <f t="shared" si="19"/>
        <v>805422.375</v>
      </c>
      <c r="I24" s="3">
        <f>I25+95</f>
        <v>88497</v>
      </c>
      <c r="J24" s="6">
        <f t="shared" si="39"/>
        <v>155</v>
      </c>
      <c r="K24" s="6">
        <f t="shared" si="40"/>
        <v>420</v>
      </c>
      <c r="L24" s="6">
        <f t="shared" si="41"/>
        <v>96</v>
      </c>
      <c r="M24" s="6">
        <f t="shared" si="42"/>
        <v>95</v>
      </c>
      <c r="N24" s="5">
        <f t="shared" si="24"/>
        <v>165</v>
      </c>
      <c r="O24" s="3">
        <f t="shared" si="43"/>
        <v>96</v>
      </c>
      <c r="P24" s="5">
        <f t="shared" si="44"/>
        <v>69</v>
      </c>
      <c r="Q24" s="5">
        <f t="shared" si="45"/>
        <v>87.5</v>
      </c>
      <c r="R24" s="7">
        <f t="shared" si="28"/>
        <v>1000</v>
      </c>
      <c r="S24" s="6">
        <f t="shared" si="46"/>
        <v>671</v>
      </c>
      <c r="T24" s="7">
        <f t="shared" si="47"/>
        <v>329</v>
      </c>
      <c r="U24" s="7">
        <f t="shared" si="48"/>
        <v>2970</v>
      </c>
      <c r="V24" s="7">
        <f t="shared" si="49"/>
        <v>1760</v>
      </c>
      <c r="W24" s="7">
        <f t="shared" si="50"/>
        <v>1210</v>
      </c>
      <c r="X24" s="7">
        <f t="shared" si="51"/>
        <v>18000</v>
      </c>
      <c r="Y24" s="7">
        <f t="shared" si="52"/>
        <v>10771</v>
      </c>
      <c r="Z24" s="7">
        <f t="shared" si="53"/>
        <v>7229</v>
      </c>
      <c r="AA24" s="24">
        <f t="shared" si="54"/>
        <v>0.990125789355773</v>
      </c>
      <c r="AB24" s="1"/>
    </row>
    <row r="25" spans="2:28" ht="18" x14ac:dyDescent="0.25">
      <c r="B25" s="3">
        <v>17</v>
      </c>
      <c r="C25" s="3">
        <v>209802</v>
      </c>
      <c r="D25" s="3">
        <v>489718</v>
      </c>
      <c r="E25" s="3">
        <v>105731</v>
      </c>
      <c r="F25" s="8">
        <f t="shared" si="55"/>
        <v>805251</v>
      </c>
      <c r="G25" s="22">
        <f>(C26+D26+E26)+((S25/24)*3)</f>
        <v>805012.125</v>
      </c>
      <c r="H25" s="7">
        <f t="shared" si="19"/>
        <v>805023.375</v>
      </c>
      <c r="I25" s="3">
        <v>88402</v>
      </c>
      <c r="J25" s="6">
        <f t="shared" ref="J25:L27" si="58">C25-C26</f>
        <v>179</v>
      </c>
      <c r="K25" s="6">
        <f t="shared" si="58"/>
        <v>54</v>
      </c>
      <c r="L25" s="6">
        <f t="shared" si="58"/>
        <v>40</v>
      </c>
      <c r="M25" s="7">
        <f t="shared" si="42"/>
        <v>28</v>
      </c>
      <c r="N25" s="5">
        <f t="shared" si="24"/>
        <v>165</v>
      </c>
      <c r="O25" s="3">
        <f t="shared" si="43"/>
        <v>40</v>
      </c>
      <c r="P25" s="5">
        <f t="shared" si="44"/>
        <v>125</v>
      </c>
      <c r="Q25" s="5">
        <f t="shared" si="45"/>
        <v>11.25</v>
      </c>
      <c r="R25" s="7">
        <f t="shared" si="28"/>
        <v>1000</v>
      </c>
      <c r="S25" s="6">
        <f t="shared" si="46"/>
        <v>273</v>
      </c>
      <c r="T25" s="7">
        <f t="shared" si="47"/>
        <v>727</v>
      </c>
      <c r="U25" s="7">
        <f t="shared" si="48"/>
        <v>2805</v>
      </c>
      <c r="V25" s="6">
        <f t="shared" si="49"/>
        <v>1664</v>
      </c>
      <c r="W25" s="7">
        <f t="shared" si="50"/>
        <v>1141</v>
      </c>
      <c r="X25" s="7">
        <f t="shared" si="51"/>
        <v>17000</v>
      </c>
      <c r="Y25" s="7">
        <f t="shared" si="52"/>
        <v>10100</v>
      </c>
      <c r="Z25" s="7">
        <f t="shared" si="53"/>
        <v>6900</v>
      </c>
      <c r="AA25" s="24">
        <f t="shared" si="54"/>
        <v>0.99478143861105228</v>
      </c>
      <c r="AB25" s="1"/>
    </row>
    <row r="26" spans="2:28" ht="18" x14ac:dyDescent="0.25">
      <c r="B26" s="3">
        <v>16</v>
      </c>
      <c r="C26" s="3">
        <f>C27+224</f>
        <v>209623</v>
      </c>
      <c r="D26" s="3">
        <f>D27+389</f>
        <v>489664</v>
      </c>
      <c r="E26" s="3">
        <f>E27+122</f>
        <v>105691</v>
      </c>
      <c r="F26" s="8">
        <f>C26+D26+E26</f>
        <v>804978</v>
      </c>
      <c r="G26" s="22">
        <f>(C27+D27+E27)+((S26/24)*3)</f>
        <v>804334.875</v>
      </c>
      <c r="H26" s="7">
        <f t="shared" si="19"/>
        <v>804415.91666666663</v>
      </c>
      <c r="I26" s="3">
        <f t="shared" ref="I26" si="59">I27+91</f>
        <v>88374</v>
      </c>
      <c r="J26" s="6">
        <f t="shared" si="58"/>
        <v>224</v>
      </c>
      <c r="K26" s="6">
        <f t="shared" si="58"/>
        <v>389</v>
      </c>
      <c r="L26" s="6">
        <f t="shared" si="58"/>
        <v>122</v>
      </c>
      <c r="M26" s="7">
        <f t="shared" si="42"/>
        <v>91</v>
      </c>
      <c r="N26" s="5">
        <f t="shared" si="24"/>
        <v>165</v>
      </c>
      <c r="O26" s="3">
        <f t="shared" si="43"/>
        <v>122</v>
      </c>
      <c r="P26" s="5">
        <f t="shared" si="44"/>
        <v>43</v>
      </c>
      <c r="Q26" s="5">
        <f t="shared" si="45"/>
        <v>81.041666666627862</v>
      </c>
      <c r="R26" s="7">
        <f t="shared" si="28"/>
        <v>1000</v>
      </c>
      <c r="S26" s="6">
        <f t="shared" si="46"/>
        <v>735</v>
      </c>
      <c r="T26" s="7">
        <f t="shared" si="47"/>
        <v>265</v>
      </c>
      <c r="U26" s="7">
        <f t="shared" si="48"/>
        <v>2640</v>
      </c>
      <c r="V26" s="6">
        <f t="shared" si="49"/>
        <v>1624</v>
      </c>
      <c r="W26" s="7">
        <f t="shared" si="50"/>
        <v>1016</v>
      </c>
      <c r="X26" s="7">
        <f t="shared" si="51"/>
        <v>16000</v>
      </c>
      <c r="Y26" s="7">
        <f t="shared" si="52"/>
        <v>9827</v>
      </c>
      <c r="Z26" s="7">
        <f t="shared" si="53"/>
        <v>6173</v>
      </c>
      <c r="AA26" s="24">
        <f t="shared" si="54"/>
        <v>0.99242260474406963</v>
      </c>
      <c r="AB26" s="1"/>
    </row>
    <row r="27" spans="2:28" ht="18" x14ac:dyDescent="0.25">
      <c r="B27" s="3">
        <v>15</v>
      </c>
      <c r="C27" s="3">
        <f>C28+213</f>
        <v>209399</v>
      </c>
      <c r="D27" s="3">
        <f>D28+358</f>
        <v>489275</v>
      </c>
      <c r="E27" s="3">
        <f>E28+119</f>
        <v>105569</v>
      </c>
      <c r="F27" s="8">
        <f t="shared" si="55"/>
        <v>804243</v>
      </c>
      <c r="G27" s="22">
        <f t="shared" si="18"/>
        <v>803639.25</v>
      </c>
      <c r="H27" s="7">
        <f t="shared" si="19"/>
        <v>803713.83333333337</v>
      </c>
      <c r="I27" s="3">
        <f>I28+90</f>
        <v>88283</v>
      </c>
      <c r="J27" s="6">
        <f t="shared" si="58"/>
        <v>213</v>
      </c>
      <c r="K27" s="6">
        <f t="shared" si="58"/>
        <v>358</v>
      </c>
      <c r="L27" s="6">
        <f t="shared" si="58"/>
        <v>119</v>
      </c>
      <c r="M27" s="7">
        <f t="shared" si="42"/>
        <v>90</v>
      </c>
      <c r="N27" s="5">
        <f t="shared" si="24"/>
        <v>165</v>
      </c>
      <c r="O27" s="3">
        <f t="shared" si="43"/>
        <v>119</v>
      </c>
      <c r="P27" s="5">
        <f t="shared" si="44"/>
        <v>46</v>
      </c>
      <c r="Q27" s="5">
        <f t="shared" si="45"/>
        <v>74.583333333372138</v>
      </c>
      <c r="R27" s="7">
        <f t="shared" si="28"/>
        <v>1000</v>
      </c>
      <c r="S27" s="6">
        <f>J27+K27+L27</f>
        <v>690</v>
      </c>
      <c r="T27" s="7">
        <f t="shared" si="47"/>
        <v>310</v>
      </c>
      <c r="U27" s="7">
        <f t="shared" si="48"/>
        <v>2475</v>
      </c>
      <c r="V27" s="6">
        <f t="shared" si="49"/>
        <v>1502</v>
      </c>
      <c r="W27" s="7">
        <f t="shared" si="50"/>
        <v>973</v>
      </c>
      <c r="X27" s="7">
        <f t="shared" si="51"/>
        <v>15000</v>
      </c>
      <c r="Y27" s="7">
        <f t="shared" si="52"/>
        <v>9092</v>
      </c>
      <c r="Z27" s="7">
        <f t="shared" si="53"/>
        <v>5908</v>
      </c>
      <c r="AA27" s="24">
        <f t="shared" si="54"/>
        <v>0.99160041118622178</v>
      </c>
      <c r="AB27" s="1"/>
    </row>
    <row r="28" spans="2:28" ht="18" x14ac:dyDescent="0.25">
      <c r="B28" s="3">
        <v>14</v>
      </c>
      <c r="C28" s="3">
        <f>C29+202</f>
        <v>209186</v>
      </c>
      <c r="D28" s="3">
        <f>D29+310</f>
        <v>488917</v>
      </c>
      <c r="E28" s="3">
        <f>E29+103</f>
        <v>105450</v>
      </c>
      <c r="F28" s="8">
        <f t="shared" si="55"/>
        <v>803553</v>
      </c>
      <c r="G28" s="22">
        <f t="shared" si="18"/>
        <v>803014.875</v>
      </c>
      <c r="H28" s="7">
        <f t="shared" si="19"/>
        <v>803079.45833333337</v>
      </c>
      <c r="I28" s="3">
        <f>I29+89</f>
        <v>88193</v>
      </c>
      <c r="J28" s="6">
        <f t="shared" si="39"/>
        <v>202</v>
      </c>
      <c r="K28" s="6">
        <f t="shared" si="40"/>
        <v>310</v>
      </c>
      <c r="L28" s="6">
        <f t="shared" si="41"/>
        <v>103</v>
      </c>
      <c r="M28" s="7">
        <f t="shared" si="42"/>
        <v>89</v>
      </c>
      <c r="N28" s="5">
        <f t="shared" si="24"/>
        <v>165</v>
      </c>
      <c r="O28" s="3">
        <f t="shared" si="43"/>
        <v>103</v>
      </c>
      <c r="P28" s="5">
        <f t="shared" si="44"/>
        <v>62</v>
      </c>
      <c r="Q28" s="5">
        <f t="shared" si="45"/>
        <v>64.583333333372138</v>
      </c>
      <c r="R28" s="7">
        <f t="shared" si="28"/>
        <v>1000</v>
      </c>
      <c r="S28" s="6">
        <f t="shared" si="46"/>
        <v>615</v>
      </c>
      <c r="T28" s="7">
        <f t="shared" si="47"/>
        <v>385</v>
      </c>
      <c r="U28" s="7">
        <f t="shared" si="48"/>
        <v>2310</v>
      </c>
      <c r="V28" s="6">
        <f t="shared" si="49"/>
        <v>1383</v>
      </c>
      <c r="W28" s="7">
        <f t="shared" si="50"/>
        <v>927</v>
      </c>
      <c r="X28" s="7">
        <f t="shared" si="51"/>
        <v>14000</v>
      </c>
      <c r="Y28" s="7">
        <f t="shared" si="52"/>
        <v>8402</v>
      </c>
      <c r="Z28" s="7">
        <f t="shared" si="53"/>
        <v>5598</v>
      </c>
      <c r="AA28" s="24">
        <f t="shared" si="54"/>
        <v>0.98969037249125236</v>
      </c>
      <c r="AB28" s="1"/>
    </row>
    <row r="29" spans="2:28" ht="18" x14ac:dyDescent="0.25">
      <c r="B29" s="3">
        <v>13</v>
      </c>
      <c r="C29" s="3">
        <v>208984</v>
      </c>
      <c r="D29" s="3">
        <v>488607</v>
      </c>
      <c r="E29" s="3">
        <v>105347</v>
      </c>
      <c r="F29" s="8">
        <f t="shared" si="55"/>
        <v>802938</v>
      </c>
      <c r="G29" s="22">
        <f t="shared" si="18"/>
        <v>802392</v>
      </c>
      <c r="H29" s="7">
        <f t="shared" si="19"/>
        <v>802455.33333333337</v>
      </c>
      <c r="I29" s="3">
        <v>88104</v>
      </c>
      <c r="J29" s="6">
        <f t="shared" si="39"/>
        <v>221</v>
      </c>
      <c r="K29" s="6">
        <f t="shared" si="40"/>
        <v>304</v>
      </c>
      <c r="L29" s="6">
        <f t="shared" si="41"/>
        <v>99</v>
      </c>
      <c r="M29" s="6">
        <f t="shared" si="42"/>
        <v>88</v>
      </c>
      <c r="N29" s="5">
        <f t="shared" si="24"/>
        <v>165</v>
      </c>
      <c r="O29" s="3">
        <f t="shared" si="43"/>
        <v>99</v>
      </c>
      <c r="P29" s="5">
        <f t="shared" si="44"/>
        <v>66</v>
      </c>
      <c r="Q29" s="5">
        <f t="shared" si="45"/>
        <v>63.333333333372138</v>
      </c>
      <c r="R29" s="7">
        <f t="shared" si="28"/>
        <v>1000</v>
      </c>
      <c r="S29" s="6">
        <f t="shared" si="46"/>
        <v>624</v>
      </c>
      <c r="T29" s="7">
        <f t="shared" si="47"/>
        <v>376</v>
      </c>
      <c r="U29" s="7">
        <f t="shared" si="48"/>
        <v>2145</v>
      </c>
      <c r="V29" s="6">
        <f t="shared" si="49"/>
        <v>1280</v>
      </c>
      <c r="W29" s="7">
        <f t="shared" si="50"/>
        <v>865</v>
      </c>
      <c r="X29" s="7">
        <f t="shared" si="51"/>
        <v>13000</v>
      </c>
      <c r="Y29" s="7">
        <f t="shared" si="52"/>
        <v>7787</v>
      </c>
      <c r="Z29" s="7">
        <f t="shared" si="53"/>
        <v>5213</v>
      </c>
      <c r="AA29" s="24">
        <f t="shared" si="54"/>
        <v>0.99020179615021586</v>
      </c>
      <c r="AB29" s="1"/>
    </row>
    <row r="30" spans="2:28" ht="18" x14ac:dyDescent="0.25">
      <c r="B30" s="3">
        <v>12</v>
      </c>
      <c r="C30" s="3">
        <f>C31+219</f>
        <v>208763</v>
      </c>
      <c r="D30" s="3">
        <f>D31+351</f>
        <v>488303</v>
      </c>
      <c r="E30" s="3">
        <f t="shared" ref="E30" si="60">E31+95</f>
        <v>105248</v>
      </c>
      <c r="F30" s="8">
        <f t="shared" si="55"/>
        <v>802314</v>
      </c>
      <c r="G30" s="22">
        <f t="shared" si="18"/>
        <v>801732.125</v>
      </c>
      <c r="H30" s="7">
        <f t="shared" si="19"/>
        <v>801805.25</v>
      </c>
      <c r="I30" s="3">
        <f t="shared" ref="I30:I33" si="61">I31+92</f>
        <v>88016</v>
      </c>
      <c r="J30" s="6">
        <f t="shared" si="39"/>
        <v>219</v>
      </c>
      <c r="K30" s="6">
        <f t="shared" si="40"/>
        <v>351</v>
      </c>
      <c r="L30" s="6">
        <f t="shared" si="41"/>
        <v>95</v>
      </c>
      <c r="M30" s="6">
        <f t="shared" si="42"/>
        <v>92</v>
      </c>
      <c r="N30" s="5">
        <f t="shared" si="24"/>
        <v>165</v>
      </c>
      <c r="O30" s="3">
        <f t="shared" si="43"/>
        <v>95</v>
      </c>
      <c r="P30" s="5">
        <f t="shared" si="44"/>
        <v>70</v>
      </c>
      <c r="Q30" s="5">
        <f t="shared" si="45"/>
        <v>73.125</v>
      </c>
      <c r="R30" s="7">
        <f t="shared" si="28"/>
        <v>1000</v>
      </c>
      <c r="S30" s="6">
        <f t="shared" si="46"/>
        <v>665</v>
      </c>
      <c r="T30" s="7">
        <f t="shared" si="47"/>
        <v>335</v>
      </c>
      <c r="U30" s="7">
        <f t="shared" si="48"/>
        <v>1980</v>
      </c>
      <c r="V30" s="6">
        <f t="shared" si="49"/>
        <v>1181</v>
      </c>
      <c r="W30" s="7">
        <f t="shared" si="50"/>
        <v>799</v>
      </c>
      <c r="X30" s="7">
        <f t="shared" si="51"/>
        <v>12000</v>
      </c>
      <c r="Y30" s="7">
        <f t="shared" si="52"/>
        <v>7163</v>
      </c>
      <c r="Z30" s="7">
        <f t="shared" si="53"/>
        <v>4837</v>
      </c>
      <c r="AA30" s="24">
        <f t="shared" si="54"/>
        <v>0.99056542720992657</v>
      </c>
      <c r="AB30" s="1"/>
    </row>
    <row r="31" spans="2:28" ht="18" x14ac:dyDescent="0.25">
      <c r="B31" s="3">
        <v>11</v>
      </c>
      <c r="C31" s="3">
        <f>C32+223</f>
        <v>208544</v>
      </c>
      <c r="D31" s="3">
        <f>D32+291</f>
        <v>487952</v>
      </c>
      <c r="E31" s="3">
        <f>E32+91</f>
        <v>105153</v>
      </c>
      <c r="F31" s="8">
        <f t="shared" si="55"/>
        <v>801649</v>
      </c>
      <c r="G31" s="22">
        <f t="shared" si="18"/>
        <v>801119.625</v>
      </c>
      <c r="H31" s="7">
        <f t="shared" si="19"/>
        <v>801180.25</v>
      </c>
      <c r="I31" s="3">
        <f>I32+87</f>
        <v>87924</v>
      </c>
      <c r="J31" s="6">
        <f t="shared" si="39"/>
        <v>223</v>
      </c>
      <c r="K31" s="6">
        <f t="shared" si="40"/>
        <v>291</v>
      </c>
      <c r="L31" s="6">
        <f t="shared" si="41"/>
        <v>91</v>
      </c>
      <c r="M31" s="6">
        <f t="shared" si="42"/>
        <v>87</v>
      </c>
      <c r="N31" s="5">
        <f t="shared" si="24"/>
        <v>165</v>
      </c>
      <c r="O31" s="3">
        <f t="shared" si="43"/>
        <v>91</v>
      </c>
      <c r="P31" s="5">
        <f t="shared" si="44"/>
        <v>74</v>
      </c>
      <c r="Q31" s="5">
        <f t="shared" si="45"/>
        <v>60.625</v>
      </c>
      <c r="R31" s="7">
        <f t="shared" si="28"/>
        <v>1000</v>
      </c>
      <c r="S31" s="6">
        <f t="shared" si="46"/>
        <v>605</v>
      </c>
      <c r="T31" s="7">
        <f t="shared" si="47"/>
        <v>395</v>
      </c>
      <c r="U31" s="7">
        <f t="shared" si="48"/>
        <v>1815</v>
      </c>
      <c r="V31" s="6">
        <f t="shared" si="49"/>
        <v>1086</v>
      </c>
      <c r="W31" s="7">
        <f t="shared" si="50"/>
        <v>729</v>
      </c>
      <c r="X31" s="7">
        <f t="shared" si="51"/>
        <v>11000</v>
      </c>
      <c r="Y31" s="7">
        <f t="shared" si="52"/>
        <v>6498</v>
      </c>
      <c r="Z31" s="7">
        <f t="shared" si="53"/>
        <v>4502</v>
      </c>
      <c r="AA31" s="24">
        <f t="shared" si="54"/>
        <v>0.98981818464381843</v>
      </c>
      <c r="AB31" s="1"/>
    </row>
    <row r="32" spans="2:28" ht="18" x14ac:dyDescent="0.25">
      <c r="B32" s="3">
        <v>10</v>
      </c>
      <c r="C32" s="3">
        <f t="shared" ref="C32" si="62">C33+210</f>
        <v>208321</v>
      </c>
      <c r="D32" s="3">
        <f>D33+297</f>
        <v>487661</v>
      </c>
      <c r="E32" s="3">
        <f>E33+99</f>
        <v>105062</v>
      </c>
      <c r="F32" s="8">
        <f t="shared" si="55"/>
        <v>801044</v>
      </c>
      <c r="G32" s="22">
        <f t="shared" si="18"/>
        <v>800513.75</v>
      </c>
      <c r="H32" s="7">
        <f t="shared" si="19"/>
        <v>800575.625</v>
      </c>
      <c r="I32" s="3">
        <f>I33+90</f>
        <v>87837</v>
      </c>
      <c r="J32" s="6">
        <f t="shared" si="39"/>
        <v>210</v>
      </c>
      <c r="K32" s="6">
        <f t="shared" si="40"/>
        <v>297</v>
      </c>
      <c r="L32" s="6">
        <f t="shared" si="41"/>
        <v>99</v>
      </c>
      <c r="M32" s="6">
        <f t="shared" si="42"/>
        <v>90</v>
      </c>
      <c r="N32" s="5">
        <f t="shared" si="24"/>
        <v>165</v>
      </c>
      <c r="O32" s="3">
        <f t="shared" si="43"/>
        <v>99</v>
      </c>
      <c r="P32" s="5">
        <f t="shared" si="44"/>
        <v>66</v>
      </c>
      <c r="Q32" s="5">
        <f t="shared" si="45"/>
        <v>61.875</v>
      </c>
      <c r="R32" s="7">
        <f t="shared" si="28"/>
        <v>1000</v>
      </c>
      <c r="S32" s="6">
        <f t="shared" si="46"/>
        <v>606</v>
      </c>
      <c r="T32" s="7">
        <f t="shared" si="47"/>
        <v>394</v>
      </c>
      <c r="U32" s="7">
        <f t="shared" si="48"/>
        <v>1650</v>
      </c>
      <c r="V32" s="6">
        <f t="shared" si="49"/>
        <v>995</v>
      </c>
      <c r="W32" s="7">
        <f t="shared" si="50"/>
        <v>655</v>
      </c>
      <c r="X32" s="7">
        <f t="shared" si="51"/>
        <v>10000</v>
      </c>
      <c r="Y32" s="7">
        <f t="shared" si="52"/>
        <v>5893</v>
      </c>
      <c r="Z32" s="7">
        <f t="shared" si="53"/>
        <v>4107</v>
      </c>
      <c r="AA32" s="24">
        <f t="shared" si="54"/>
        <v>0.98915081573777108</v>
      </c>
      <c r="AB32" s="1"/>
    </row>
    <row r="33" spans="2:28" ht="18" x14ac:dyDescent="0.25">
      <c r="B33" s="3">
        <v>9</v>
      </c>
      <c r="C33" s="3">
        <f>C34+215</f>
        <v>208111</v>
      </c>
      <c r="D33" s="3">
        <f>D34+259</f>
        <v>487364</v>
      </c>
      <c r="E33" s="3">
        <f>E34+93</f>
        <v>104963</v>
      </c>
      <c r="F33" s="8">
        <f t="shared" si="55"/>
        <v>800438</v>
      </c>
      <c r="G33" s="22">
        <f t="shared" si="18"/>
        <v>799941.875</v>
      </c>
      <c r="H33" s="7">
        <f t="shared" si="19"/>
        <v>799995.83333333337</v>
      </c>
      <c r="I33" s="3">
        <f t="shared" si="61"/>
        <v>87747</v>
      </c>
      <c r="J33" s="6">
        <f t="shared" si="39"/>
        <v>215</v>
      </c>
      <c r="K33" s="6">
        <f t="shared" si="40"/>
        <v>259</v>
      </c>
      <c r="L33" s="6">
        <f t="shared" si="41"/>
        <v>93</v>
      </c>
      <c r="M33" s="6">
        <f t="shared" si="42"/>
        <v>92</v>
      </c>
      <c r="N33" s="5">
        <f t="shared" si="24"/>
        <v>165</v>
      </c>
      <c r="O33" s="3">
        <f t="shared" si="43"/>
        <v>93</v>
      </c>
      <c r="P33" s="5">
        <f t="shared" si="44"/>
        <v>72</v>
      </c>
      <c r="Q33" s="5">
        <f t="shared" si="45"/>
        <v>53.958333333372138</v>
      </c>
      <c r="R33" s="7">
        <f t="shared" si="28"/>
        <v>1000</v>
      </c>
      <c r="S33" s="6">
        <f t="shared" si="46"/>
        <v>567</v>
      </c>
      <c r="T33" s="7">
        <f t="shared" si="47"/>
        <v>433</v>
      </c>
      <c r="U33" s="7">
        <f t="shared" si="48"/>
        <v>1485</v>
      </c>
      <c r="V33" s="6">
        <f t="shared" si="49"/>
        <v>896</v>
      </c>
      <c r="W33" s="7">
        <f t="shared" si="50"/>
        <v>589</v>
      </c>
      <c r="X33" s="7">
        <f t="shared" si="51"/>
        <v>9000</v>
      </c>
      <c r="Y33" s="7">
        <f t="shared" si="52"/>
        <v>5287</v>
      </c>
      <c r="Z33" s="7">
        <f t="shared" si="53"/>
        <v>3713</v>
      </c>
      <c r="AA33" s="24">
        <f t="shared" si="54"/>
        <v>0.98709060458761644</v>
      </c>
      <c r="AB33" s="1"/>
    </row>
    <row r="34" spans="2:28" ht="18" x14ac:dyDescent="0.25">
      <c r="B34" s="3">
        <v>8</v>
      </c>
      <c r="C34" s="3">
        <f>C35+207</f>
        <v>207896</v>
      </c>
      <c r="D34" s="3">
        <f>D35+280</f>
        <v>487105</v>
      </c>
      <c r="E34" s="3">
        <f>E35+97</f>
        <v>104870</v>
      </c>
      <c r="F34" s="8">
        <f t="shared" si="55"/>
        <v>799871</v>
      </c>
      <c r="G34" s="22">
        <f t="shared" si="18"/>
        <v>799360</v>
      </c>
      <c r="H34" s="7">
        <f t="shared" si="19"/>
        <v>799418.33333333337</v>
      </c>
      <c r="I34" s="3">
        <f>I35+86</f>
        <v>87655</v>
      </c>
      <c r="J34" s="6">
        <f t="shared" si="39"/>
        <v>207</v>
      </c>
      <c r="K34" s="6">
        <f t="shared" si="40"/>
        <v>280</v>
      </c>
      <c r="L34" s="6">
        <f t="shared" si="41"/>
        <v>97</v>
      </c>
      <c r="M34" s="6">
        <f t="shared" si="42"/>
        <v>86</v>
      </c>
      <c r="N34" s="5">
        <f t="shared" si="24"/>
        <v>165</v>
      </c>
      <c r="O34" s="3">
        <f t="shared" si="43"/>
        <v>97</v>
      </c>
      <c r="P34" s="5">
        <f t="shared" si="44"/>
        <v>68</v>
      </c>
      <c r="Q34" s="5">
        <f t="shared" si="45"/>
        <v>58.333333333372138</v>
      </c>
      <c r="R34" s="7">
        <f t="shared" si="28"/>
        <v>1000</v>
      </c>
      <c r="S34" s="6">
        <f t="shared" si="46"/>
        <v>584</v>
      </c>
      <c r="T34" s="7">
        <f t="shared" si="47"/>
        <v>416</v>
      </c>
      <c r="U34" s="7">
        <f t="shared" si="48"/>
        <v>1320</v>
      </c>
      <c r="V34" s="6">
        <f t="shared" si="49"/>
        <v>803</v>
      </c>
      <c r="W34" s="7">
        <f t="shared" si="50"/>
        <v>517</v>
      </c>
      <c r="X34" s="7">
        <f t="shared" si="51"/>
        <v>8000</v>
      </c>
      <c r="Y34" s="7">
        <f t="shared" si="52"/>
        <v>4720</v>
      </c>
      <c r="Z34" s="7">
        <f t="shared" si="53"/>
        <v>3280</v>
      </c>
      <c r="AA34" s="24">
        <f t="shared" si="54"/>
        <v>0.98933042758042267</v>
      </c>
      <c r="AB34" s="1"/>
    </row>
    <row r="35" spans="2:28" ht="18" x14ac:dyDescent="0.25">
      <c r="B35" s="3">
        <v>7</v>
      </c>
      <c r="C35" s="3">
        <f>C36+195</f>
        <v>207689</v>
      </c>
      <c r="D35" s="3">
        <f>D36+350</f>
        <v>486825</v>
      </c>
      <c r="E35" s="3">
        <f>E36+95</f>
        <v>104773</v>
      </c>
      <c r="F35" s="8">
        <f t="shared" si="55"/>
        <v>799287</v>
      </c>
      <c r="G35" s="22">
        <f t="shared" si="18"/>
        <v>798727</v>
      </c>
      <c r="H35" s="7">
        <f t="shared" si="19"/>
        <v>798799.91666666663</v>
      </c>
      <c r="I35" s="3">
        <f>I36+92</f>
        <v>87569</v>
      </c>
      <c r="J35" s="6">
        <f t="shared" si="39"/>
        <v>195</v>
      </c>
      <c r="K35" s="6">
        <f t="shared" si="40"/>
        <v>350</v>
      </c>
      <c r="L35" s="6">
        <f t="shared" si="41"/>
        <v>95</v>
      </c>
      <c r="M35" s="6">
        <f t="shared" si="42"/>
        <v>92</v>
      </c>
      <c r="N35" s="5">
        <f t="shared" si="24"/>
        <v>165</v>
      </c>
      <c r="O35" s="3">
        <f t="shared" si="43"/>
        <v>95</v>
      </c>
      <c r="P35" s="5">
        <f t="shared" si="44"/>
        <v>70</v>
      </c>
      <c r="Q35" s="5">
        <f t="shared" si="45"/>
        <v>72.916666666627862</v>
      </c>
      <c r="R35" s="7">
        <f t="shared" si="28"/>
        <v>1000</v>
      </c>
      <c r="S35" s="6">
        <f t="shared" si="46"/>
        <v>640</v>
      </c>
      <c r="T35" s="7">
        <f t="shared" si="47"/>
        <v>360</v>
      </c>
      <c r="U35" s="7">
        <f t="shared" si="48"/>
        <v>1155</v>
      </c>
      <c r="V35" s="6">
        <f t="shared" si="49"/>
        <v>706</v>
      </c>
      <c r="W35" s="7">
        <f t="shared" si="50"/>
        <v>449</v>
      </c>
      <c r="X35" s="7">
        <f t="shared" si="51"/>
        <v>7000</v>
      </c>
      <c r="Y35" s="7">
        <f t="shared" si="52"/>
        <v>4136</v>
      </c>
      <c r="Z35" s="7">
        <f t="shared" si="53"/>
        <v>2864</v>
      </c>
      <c r="AA35" s="24">
        <f t="shared" si="54"/>
        <v>0.98982538661773978</v>
      </c>
      <c r="AB35" s="1"/>
    </row>
    <row r="36" spans="2:28" ht="18" x14ac:dyDescent="0.25">
      <c r="B36" s="3">
        <v>6</v>
      </c>
      <c r="C36" s="3">
        <v>207494</v>
      </c>
      <c r="D36" s="3">
        <v>486475</v>
      </c>
      <c r="E36" s="3">
        <v>104678</v>
      </c>
      <c r="F36" s="8">
        <f t="shared" si="55"/>
        <v>798647</v>
      </c>
      <c r="G36" s="22">
        <f t="shared" si="18"/>
        <v>798136</v>
      </c>
      <c r="H36" s="7">
        <f t="shared" si="19"/>
        <v>798201.41666666663</v>
      </c>
      <c r="I36" s="3">
        <v>87477</v>
      </c>
      <c r="J36" s="6">
        <f t="shared" si="39"/>
        <v>198</v>
      </c>
      <c r="K36" s="6">
        <f t="shared" si="40"/>
        <v>314</v>
      </c>
      <c r="L36" s="6">
        <f t="shared" si="41"/>
        <v>72</v>
      </c>
      <c r="M36" s="6">
        <f t="shared" si="42"/>
        <v>97</v>
      </c>
      <c r="N36" s="5">
        <f t="shared" si="24"/>
        <v>165</v>
      </c>
      <c r="O36" s="3">
        <f t="shared" si="43"/>
        <v>72</v>
      </c>
      <c r="P36" s="5">
        <f t="shared" si="44"/>
        <v>93</v>
      </c>
      <c r="Q36" s="5">
        <f t="shared" si="45"/>
        <v>65.416666666627862</v>
      </c>
      <c r="R36" s="7">
        <f t="shared" si="28"/>
        <v>1000</v>
      </c>
      <c r="S36" s="6">
        <f t="shared" si="46"/>
        <v>584</v>
      </c>
      <c r="T36" s="7">
        <f t="shared" si="47"/>
        <v>416</v>
      </c>
      <c r="U36" s="7">
        <f t="shared" si="48"/>
        <v>990</v>
      </c>
      <c r="V36" s="6">
        <f t="shared" si="49"/>
        <v>611</v>
      </c>
      <c r="W36" s="7">
        <f t="shared" si="50"/>
        <v>379</v>
      </c>
      <c r="X36" s="7">
        <f t="shared" si="51"/>
        <v>6000</v>
      </c>
      <c r="Y36" s="7">
        <f t="shared" si="52"/>
        <v>3496</v>
      </c>
      <c r="Z36" s="7">
        <f t="shared" si="53"/>
        <v>2504</v>
      </c>
      <c r="AA36" s="24">
        <f t="shared" si="54"/>
        <v>0.98648507908890015</v>
      </c>
      <c r="AB36" s="1"/>
    </row>
    <row r="37" spans="2:28" ht="18" x14ac:dyDescent="0.25">
      <c r="B37" s="3">
        <v>5</v>
      </c>
      <c r="C37" s="3">
        <f>C38+201</f>
        <v>207296</v>
      </c>
      <c r="D37" s="3">
        <f>D38+266</f>
        <v>486161</v>
      </c>
      <c r="E37" s="3">
        <f>E38+113</f>
        <v>104606</v>
      </c>
      <c r="F37" s="8">
        <f t="shared" si="55"/>
        <v>798063</v>
      </c>
      <c r="G37" s="22">
        <f t="shared" si="18"/>
        <v>797555.5</v>
      </c>
      <c r="H37" s="7">
        <f t="shared" si="19"/>
        <v>797610.91666666663</v>
      </c>
      <c r="I37" s="3">
        <f>I38+104</f>
        <v>87380</v>
      </c>
      <c r="J37" s="6">
        <f t="shared" si="39"/>
        <v>201</v>
      </c>
      <c r="K37" s="6">
        <f t="shared" si="40"/>
        <v>266</v>
      </c>
      <c r="L37" s="6">
        <f t="shared" si="41"/>
        <v>113</v>
      </c>
      <c r="M37" s="6">
        <f t="shared" si="42"/>
        <v>104</v>
      </c>
      <c r="N37" s="5">
        <f t="shared" si="24"/>
        <v>165</v>
      </c>
      <c r="O37" s="3">
        <f t="shared" si="43"/>
        <v>113</v>
      </c>
      <c r="P37" s="5">
        <f t="shared" si="44"/>
        <v>52</v>
      </c>
      <c r="Q37" s="5">
        <f t="shared" si="45"/>
        <v>55.416666666627862</v>
      </c>
      <c r="R37" s="7">
        <f t="shared" si="28"/>
        <v>1000</v>
      </c>
      <c r="S37" s="6">
        <f t="shared" si="46"/>
        <v>580</v>
      </c>
      <c r="T37" s="7">
        <f t="shared" si="47"/>
        <v>420</v>
      </c>
      <c r="U37" s="7">
        <f t="shared" si="48"/>
        <v>825</v>
      </c>
      <c r="V37" s="6">
        <f t="shared" si="49"/>
        <v>539</v>
      </c>
      <c r="W37" s="7">
        <f t="shared" si="50"/>
        <v>286</v>
      </c>
      <c r="X37" s="7">
        <f t="shared" si="51"/>
        <v>5000</v>
      </c>
      <c r="Y37" s="7">
        <f t="shared" si="52"/>
        <v>2912</v>
      </c>
      <c r="Z37" s="7">
        <f t="shared" si="53"/>
        <v>2088</v>
      </c>
      <c r="AA37" s="24">
        <f t="shared" si="54"/>
        <v>0.98430145879225595</v>
      </c>
      <c r="AB37" s="1"/>
    </row>
    <row r="38" spans="2:28" ht="18" x14ac:dyDescent="0.25">
      <c r="B38" s="3">
        <v>4</v>
      </c>
      <c r="C38" s="3">
        <v>207095</v>
      </c>
      <c r="D38" s="3">
        <v>485895</v>
      </c>
      <c r="E38" s="3">
        <v>104493</v>
      </c>
      <c r="F38" s="8">
        <f t="shared" si="55"/>
        <v>797483</v>
      </c>
      <c r="G38" s="22">
        <f t="shared" si="18"/>
        <v>796988.625</v>
      </c>
      <c r="H38" s="7">
        <f t="shared" si="19"/>
        <v>797042.58333333337</v>
      </c>
      <c r="I38" s="3">
        <v>87276</v>
      </c>
      <c r="J38" s="6">
        <f t="shared" si="39"/>
        <v>197</v>
      </c>
      <c r="K38" s="6">
        <f t="shared" si="40"/>
        <v>259</v>
      </c>
      <c r="L38" s="6">
        <f t="shared" si="41"/>
        <v>109</v>
      </c>
      <c r="M38" s="6">
        <f t="shared" si="42"/>
        <v>99</v>
      </c>
      <c r="N38" s="5">
        <f t="shared" si="24"/>
        <v>165</v>
      </c>
      <c r="O38" s="3">
        <f t="shared" si="43"/>
        <v>109</v>
      </c>
      <c r="P38" s="5">
        <f t="shared" si="44"/>
        <v>56</v>
      </c>
      <c r="Q38" s="5">
        <f t="shared" si="45"/>
        <v>53.958333333372138</v>
      </c>
      <c r="R38" s="7">
        <f t="shared" si="28"/>
        <v>1000</v>
      </c>
      <c r="S38" s="6">
        <f t="shared" si="46"/>
        <v>565</v>
      </c>
      <c r="T38" s="7">
        <f t="shared" si="47"/>
        <v>435</v>
      </c>
      <c r="U38" s="7">
        <f t="shared" si="48"/>
        <v>660</v>
      </c>
      <c r="V38" s="6">
        <f t="shared" si="49"/>
        <v>426</v>
      </c>
      <c r="W38" s="7">
        <f t="shared" si="50"/>
        <v>234</v>
      </c>
      <c r="X38" s="7">
        <f t="shared" si="51"/>
        <v>4000</v>
      </c>
      <c r="Y38" s="7">
        <f t="shared" si="52"/>
        <v>2332</v>
      </c>
      <c r="Z38" s="7">
        <f t="shared" si="53"/>
        <v>1668</v>
      </c>
      <c r="AA38" s="24">
        <f t="shared" si="54"/>
        <v>0.98499344185851123</v>
      </c>
      <c r="AB38" s="1"/>
    </row>
    <row r="39" spans="2:28" ht="18" x14ac:dyDescent="0.25">
      <c r="B39" s="3">
        <v>3</v>
      </c>
      <c r="C39" s="5">
        <f>C40+194</f>
        <v>206898</v>
      </c>
      <c r="D39" s="5">
        <f>D40+274</f>
        <v>485636</v>
      </c>
      <c r="E39" s="5">
        <f>E40+107</f>
        <v>104384</v>
      </c>
      <c r="F39" s="8">
        <f t="shared" si="55"/>
        <v>796918</v>
      </c>
      <c r="G39" s="22">
        <f t="shared" si="18"/>
        <v>796414.875</v>
      </c>
      <c r="H39" s="7">
        <f t="shared" si="19"/>
        <v>796471.95833333337</v>
      </c>
      <c r="I39" s="5">
        <f>I40+96</f>
        <v>87177</v>
      </c>
      <c r="J39" s="6">
        <f t="shared" si="39"/>
        <v>194</v>
      </c>
      <c r="K39" s="6">
        <f t="shared" si="40"/>
        <v>274</v>
      </c>
      <c r="L39" s="6">
        <f t="shared" si="41"/>
        <v>107</v>
      </c>
      <c r="M39" s="6">
        <f t="shared" si="42"/>
        <v>96</v>
      </c>
      <c r="N39" s="5">
        <f t="shared" si="24"/>
        <v>165</v>
      </c>
      <c r="O39" s="3">
        <f t="shared" si="43"/>
        <v>107</v>
      </c>
      <c r="P39" s="5">
        <f t="shared" si="44"/>
        <v>58</v>
      </c>
      <c r="Q39" s="5">
        <f t="shared" si="45"/>
        <v>57.083333333372138</v>
      </c>
      <c r="R39" s="7">
        <f t="shared" si="28"/>
        <v>1000</v>
      </c>
      <c r="S39" s="6">
        <f t="shared" si="46"/>
        <v>575</v>
      </c>
      <c r="T39" s="7">
        <f t="shared" si="47"/>
        <v>425</v>
      </c>
      <c r="U39" s="7">
        <f t="shared" si="48"/>
        <v>495</v>
      </c>
      <c r="V39" s="6">
        <f t="shared" si="49"/>
        <v>317</v>
      </c>
      <c r="W39" s="7">
        <f t="shared" si="50"/>
        <v>178</v>
      </c>
      <c r="X39" s="7">
        <f t="shared" si="51"/>
        <v>3000</v>
      </c>
      <c r="Y39" s="7">
        <f t="shared" si="52"/>
        <v>1767</v>
      </c>
      <c r="Z39" s="7">
        <f t="shared" si="53"/>
        <v>1233</v>
      </c>
      <c r="AA39" s="24">
        <f t="shared" si="54"/>
        <v>0.98634752279824711</v>
      </c>
      <c r="AB39" s="1"/>
    </row>
    <row r="40" spans="2:28" ht="18" x14ac:dyDescent="0.25">
      <c r="B40" s="3">
        <v>2</v>
      </c>
      <c r="C40" s="5">
        <f>C41+202</f>
        <v>206704</v>
      </c>
      <c r="D40" s="5">
        <f>D41+284</f>
        <v>485362</v>
      </c>
      <c r="E40" s="5">
        <f>E41+104</f>
        <v>104277</v>
      </c>
      <c r="F40" s="8">
        <f t="shared" si="55"/>
        <v>796343</v>
      </c>
      <c r="G40" s="22">
        <f t="shared" si="18"/>
        <v>795826.75</v>
      </c>
      <c r="H40" s="7">
        <f t="shared" si="19"/>
        <v>795885.91666666663</v>
      </c>
      <c r="I40" s="5">
        <f>I41+99</f>
        <v>87081</v>
      </c>
      <c r="J40" s="6">
        <f t="shared" si="39"/>
        <v>202</v>
      </c>
      <c r="K40" s="6">
        <f t="shared" si="40"/>
        <v>284</v>
      </c>
      <c r="L40" s="6">
        <f t="shared" si="41"/>
        <v>104</v>
      </c>
      <c r="M40" s="6">
        <f t="shared" si="42"/>
        <v>99</v>
      </c>
      <c r="N40" s="5">
        <f t="shared" si="24"/>
        <v>165</v>
      </c>
      <c r="O40" s="3">
        <f t="shared" si="43"/>
        <v>104</v>
      </c>
      <c r="P40" s="5">
        <f t="shared" si="44"/>
        <v>61</v>
      </c>
      <c r="Q40" s="5">
        <f t="shared" si="45"/>
        <v>59.166666666627862</v>
      </c>
      <c r="R40" s="7">
        <f>R41</f>
        <v>1000</v>
      </c>
      <c r="S40" s="6">
        <f t="shared" si="46"/>
        <v>590</v>
      </c>
      <c r="T40" s="7">
        <f t="shared" si="47"/>
        <v>410</v>
      </c>
      <c r="U40" s="7">
        <f t="shared" si="48"/>
        <v>330</v>
      </c>
      <c r="V40" s="6">
        <f t="shared" si="49"/>
        <v>210</v>
      </c>
      <c r="W40" s="7">
        <f t="shared" si="50"/>
        <v>120</v>
      </c>
      <c r="X40" s="7">
        <f t="shared" si="51"/>
        <v>2000</v>
      </c>
      <c r="Y40" s="7">
        <f t="shared" si="52"/>
        <v>1192</v>
      </c>
      <c r="Z40" s="7">
        <f t="shared" si="53"/>
        <v>808</v>
      </c>
      <c r="AA40" s="24">
        <f t="shared" si="54"/>
        <v>0.98621262016507549</v>
      </c>
      <c r="AB40" s="1"/>
    </row>
    <row r="41" spans="2:28" ht="18.75" thickBot="1" x14ac:dyDescent="0.3">
      <c r="B41" s="3">
        <v>1</v>
      </c>
      <c r="C41" s="5">
        <f>C42+207</f>
        <v>206502</v>
      </c>
      <c r="D41" s="5">
        <f>D42+289</f>
        <v>485078</v>
      </c>
      <c r="E41" s="5">
        <f>E42+106</f>
        <v>104173</v>
      </c>
      <c r="F41" s="8">
        <f t="shared" si="55"/>
        <v>795753</v>
      </c>
      <c r="G41" s="22">
        <f>(C42+D42+E42)+((S41/24)*3)</f>
        <v>795226.25</v>
      </c>
      <c r="H41" s="7">
        <f>G41+((K41/12)*2.5)</f>
        <v>795286.45833333337</v>
      </c>
      <c r="I41" s="5">
        <f>I42+99</f>
        <v>86982</v>
      </c>
      <c r="J41" s="6">
        <f>C41-C42</f>
        <v>207</v>
      </c>
      <c r="K41" s="6">
        <f>D41-D42</f>
        <v>289</v>
      </c>
      <c r="L41" s="6">
        <f>E41-E42</f>
        <v>106</v>
      </c>
      <c r="M41" s="6">
        <f>I41-I42</f>
        <v>99</v>
      </c>
      <c r="N41" s="43">
        <f>O6/30</f>
        <v>165</v>
      </c>
      <c r="O41" s="3">
        <f t="shared" si="43"/>
        <v>106</v>
      </c>
      <c r="P41" s="5">
        <f t="shared" si="44"/>
        <v>59</v>
      </c>
      <c r="Q41" s="5">
        <f t="shared" si="45"/>
        <v>60.208333333372138</v>
      </c>
      <c r="R41" s="45">
        <f>S6/30</f>
        <v>1000</v>
      </c>
      <c r="S41" s="6">
        <f t="shared" si="46"/>
        <v>602</v>
      </c>
      <c r="T41" s="7">
        <f t="shared" si="47"/>
        <v>398</v>
      </c>
      <c r="U41" s="7">
        <f>N41</f>
        <v>165</v>
      </c>
      <c r="V41" s="6">
        <f>O41</f>
        <v>106</v>
      </c>
      <c r="W41" s="7">
        <f t="shared" si="50"/>
        <v>59</v>
      </c>
      <c r="X41" s="7">
        <f>R41</f>
        <v>1000</v>
      </c>
      <c r="Y41" s="7">
        <f>S41</f>
        <v>602</v>
      </c>
      <c r="Z41" s="7">
        <f t="shared" si="53"/>
        <v>398</v>
      </c>
      <c r="AA41" s="74">
        <f t="shared" si="54"/>
        <v>0.98674603463375365</v>
      </c>
      <c r="AB41" s="1"/>
    </row>
    <row r="42" spans="2:28" ht="54.75" thickBot="1" x14ac:dyDescent="0.3">
      <c r="B42" s="33" t="s">
        <v>13</v>
      </c>
      <c r="C42" s="3">
        <v>206295</v>
      </c>
      <c r="D42" s="3">
        <v>484789</v>
      </c>
      <c r="E42" s="3">
        <v>104067</v>
      </c>
      <c r="F42" s="9">
        <v>795151</v>
      </c>
      <c r="G42" s="9">
        <v>794801.1875</v>
      </c>
      <c r="H42" s="9">
        <v>794853.27083333337</v>
      </c>
      <c r="I42" s="3">
        <v>86883</v>
      </c>
      <c r="J42" s="10"/>
      <c r="K42" s="10"/>
      <c r="L42" s="10"/>
      <c r="M42" s="46">
        <f>SUM(M12:M41)</f>
        <v>2801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75">
        <f>AVERAGE(AA11:AA41)</f>
        <v>0.98908926377211404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9" spans="26:27" ht="18" x14ac:dyDescent="0.25">
      <c r="Z49" s="10" t="s">
        <v>38</v>
      </c>
    </row>
    <row r="50" spans="26:27" ht="18" x14ac:dyDescent="0.25">
      <c r="Z50" s="10" t="s">
        <v>44</v>
      </c>
      <c r="AA50" s="10"/>
    </row>
    <row r="51" spans="26:27" ht="18" x14ac:dyDescent="0.25">
      <c r="Z51" s="10" t="s">
        <v>45</v>
      </c>
      <c r="AA51" s="10"/>
    </row>
    <row r="52" spans="26:27" ht="18" x14ac:dyDescent="0.25">
      <c r="Z52" s="10" t="s">
        <v>12</v>
      </c>
      <c r="AA52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B2:AB54"/>
  <sheetViews>
    <sheetView topLeftCell="G1" zoomScale="70" zoomScaleNormal="70" zoomScaleSheetLayoutView="70" workbookViewId="0">
      <pane ySplit="8" topLeftCell="A36" activePane="bottomLeft" state="frozen"/>
      <selection pane="bottomLeft" activeCell="AA42" sqref="AA42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0.5703125" customWidth="1"/>
    <col min="5" max="5" width="11.4257812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5">
      <c r="G4" s="27" t="s">
        <v>30</v>
      </c>
      <c r="N4" s="36">
        <f>'Ciencia A'!N4</f>
        <v>45444</v>
      </c>
    </row>
    <row r="5" spans="2:28" x14ac:dyDescent="0.25">
      <c r="C5" s="72" t="s">
        <v>31</v>
      </c>
      <c r="D5" s="72"/>
      <c r="T5" s="52"/>
      <c r="U5" s="52" t="s">
        <v>42</v>
      </c>
      <c r="V5" s="52" t="s">
        <v>43</v>
      </c>
    </row>
    <row r="6" spans="2:28" ht="18.75" x14ac:dyDescent="0.3">
      <c r="N6" s="13" t="s">
        <v>27</v>
      </c>
      <c r="O6" s="29">
        <f>S6*16.5%</f>
        <v>1980</v>
      </c>
      <c r="P6" s="30" t="s">
        <v>26</v>
      </c>
      <c r="Q6" s="11">
        <f>(S6*8)/100</f>
        <v>960</v>
      </c>
      <c r="R6" s="13" t="s">
        <v>25</v>
      </c>
      <c r="S6" s="12">
        <v>12000</v>
      </c>
      <c r="T6" s="52" t="s">
        <v>41</v>
      </c>
      <c r="U6" s="52">
        <v>359</v>
      </c>
      <c r="V6" s="51">
        <f>U6/31</f>
        <v>11.580645161290322</v>
      </c>
    </row>
    <row r="7" spans="2:28" ht="46.5" customHeight="1" x14ac:dyDescent="0.25">
      <c r="B7" s="70" t="s">
        <v>24</v>
      </c>
      <c r="C7" s="68" t="s">
        <v>9</v>
      </c>
      <c r="D7" s="68"/>
      <c r="E7" s="68"/>
      <c r="F7" s="68"/>
      <c r="G7" s="68"/>
      <c r="H7" s="68"/>
      <c r="I7" s="68"/>
      <c r="J7" s="68" t="s">
        <v>23</v>
      </c>
      <c r="K7" s="68"/>
      <c r="L7" s="68"/>
      <c r="M7" s="68"/>
      <c r="N7" s="68" t="s">
        <v>22</v>
      </c>
      <c r="O7" s="68"/>
      <c r="P7" s="68"/>
      <c r="Q7" s="69" t="s">
        <v>21</v>
      </c>
      <c r="R7" s="68" t="s">
        <v>20</v>
      </c>
      <c r="S7" s="68"/>
      <c r="T7" s="68"/>
      <c r="U7" s="68" t="s">
        <v>10</v>
      </c>
      <c r="V7" s="68"/>
      <c r="W7" s="68"/>
      <c r="X7" s="68" t="s">
        <v>11</v>
      </c>
      <c r="Y7" s="68"/>
      <c r="Z7" s="68"/>
      <c r="AA7" s="68"/>
      <c r="AB7" s="69" t="s">
        <v>8</v>
      </c>
    </row>
    <row r="8" spans="2:28" ht="30" x14ac:dyDescent="0.25">
      <c r="B8" s="70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69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6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5" customFormat="1" ht="18" x14ac:dyDescent="0.25">
      <c r="B11" s="56">
        <v>31</v>
      </c>
      <c r="C11" s="57"/>
      <c r="D11" s="57"/>
      <c r="E11" s="57"/>
      <c r="F11" s="58">
        <f t="shared" ref="F11" si="0">C11+D11+E11</f>
        <v>0</v>
      </c>
      <c r="G11" s="59">
        <f t="shared" ref="G11" si="1">(C12+D12+E12)+((S11/24)*9.5)</f>
        <v>551927.39583333326</v>
      </c>
      <c r="H11" s="57">
        <f t="shared" ref="H11" si="2">G11+((K11/12)*2.5)</f>
        <v>447959.06249999988</v>
      </c>
      <c r="I11" s="57"/>
      <c r="J11" s="60">
        <f t="shared" ref="J11:L11" si="3">C11-C12</f>
        <v>-249250</v>
      </c>
      <c r="K11" s="60">
        <f t="shared" si="3"/>
        <v>-499048</v>
      </c>
      <c r="L11" s="60">
        <f t="shared" si="3"/>
        <v>-165237</v>
      </c>
      <c r="M11" s="60">
        <f t="shared" ref="M11" si="4">I11-I12</f>
        <v>-292748</v>
      </c>
      <c r="N11" s="61">
        <f t="shared" ref="N11" si="5">N12</f>
        <v>66</v>
      </c>
      <c r="O11" s="62">
        <f t="shared" ref="O11" si="6">L11</f>
        <v>-165237</v>
      </c>
      <c r="P11" s="61">
        <f t="shared" ref="P11" si="7">N11-O11</f>
        <v>165303</v>
      </c>
      <c r="Q11" s="61">
        <f t="shared" ref="Q11" si="8">H11-G11</f>
        <v>-103968.33333333337</v>
      </c>
      <c r="R11" s="57">
        <f t="shared" ref="R11" si="9">R12</f>
        <v>400</v>
      </c>
      <c r="S11" s="60">
        <f t="shared" ref="S11" si="10">J11+K11+L11</f>
        <v>-913535</v>
      </c>
      <c r="T11" s="57">
        <f t="shared" ref="T11" si="11">R11-S11</f>
        <v>913935</v>
      </c>
      <c r="U11" s="57">
        <f t="shared" ref="U11:V11" si="12">U12+N11</f>
        <v>2046</v>
      </c>
      <c r="V11" s="57">
        <f t="shared" si="12"/>
        <v>-163634</v>
      </c>
      <c r="W11" s="57">
        <f t="shared" ref="W11" si="13">U11-V11</f>
        <v>165680</v>
      </c>
      <c r="X11" s="57">
        <f t="shared" ref="X11:Y11" si="14">X12+R11</f>
        <v>12400</v>
      </c>
      <c r="Y11" s="57">
        <f t="shared" si="14"/>
        <v>-905570</v>
      </c>
      <c r="Z11" s="57">
        <f t="shared" ref="Z11" si="15">X11-Y11</f>
        <v>917970</v>
      </c>
      <c r="AA11" s="63">
        <f t="shared" ref="AA11" si="16">COS(ATAN(M11/S11))</f>
        <v>0.95229794501904674</v>
      </c>
      <c r="AB11" s="64"/>
    </row>
    <row r="12" spans="2:28" ht="18" x14ac:dyDescent="0.25">
      <c r="B12" s="3">
        <v>30</v>
      </c>
      <c r="C12" s="3">
        <v>249250</v>
      </c>
      <c r="D12" s="3">
        <v>499048</v>
      </c>
      <c r="E12" s="3">
        <v>165237</v>
      </c>
      <c r="F12" s="8">
        <f t="shared" ref="F12" si="17">C12+D12+E12</f>
        <v>913535</v>
      </c>
      <c r="G12" s="22">
        <f t="shared" ref="G12" si="18">(C13+D13+E13)+((S12/24)*7.5)</f>
        <v>913390.625</v>
      </c>
      <c r="H12" s="7">
        <f t="shared" ref="H12" si="19">G12+((K12/12)*2.5)</f>
        <v>913417.29166666663</v>
      </c>
      <c r="I12" s="3">
        <v>292748</v>
      </c>
      <c r="J12" s="6">
        <f t="shared" ref="J12" si="20">C12-C13</f>
        <v>45</v>
      </c>
      <c r="K12" s="6">
        <f t="shared" ref="K12" si="21">D12-D13</f>
        <v>128</v>
      </c>
      <c r="L12" s="6">
        <f t="shared" ref="L12" si="22">E12-E13</f>
        <v>37</v>
      </c>
      <c r="M12" s="6">
        <f t="shared" ref="M12" si="23">I12-I13</f>
        <v>63</v>
      </c>
      <c r="N12" s="5">
        <f t="shared" ref="N12:N40" si="24">N13</f>
        <v>66</v>
      </c>
      <c r="O12" s="23">
        <f t="shared" ref="O12" si="25">L12</f>
        <v>37</v>
      </c>
      <c r="P12" s="5">
        <f t="shared" ref="P12" si="26">N12-O12</f>
        <v>29</v>
      </c>
      <c r="Q12" s="5">
        <f t="shared" ref="Q12" si="27">H12-G12</f>
        <v>26.666666666627862</v>
      </c>
      <c r="R12" s="7">
        <f t="shared" ref="R12:R39" si="28">R13</f>
        <v>400</v>
      </c>
      <c r="S12" s="6">
        <f t="shared" ref="S12" si="29">J12+K12+L12</f>
        <v>210</v>
      </c>
      <c r="T12" s="7">
        <f t="shared" ref="T12" si="30">R12-S12</f>
        <v>190</v>
      </c>
      <c r="U12" s="7">
        <f t="shared" ref="U12" si="31">U13+N12</f>
        <v>1980</v>
      </c>
      <c r="V12" s="7">
        <f t="shared" ref="V12" si="32">V13+O12</f>
        <v>1603</v>
      </c>
      <c r="W12" s="7">
        <f t="shared" ref="W12" si="33">U12-V12</f>
        <v>377</v>
      </c>
      <c r="X12" s="7">
        <f t="shared" ref="X12" si="34">X13+R12</f>
        <v>12000</v>
      </c>
      <c r="Y12" s="7">
        <f t="shared" ref="Y12" si="35">Y13+S12</f>
        <v>7965</v>
      </c>
      <c r="Z12" s="7">
        <f t="shared" ref="Z12" si="36">X12-Y12</f>
        <v>4035</v>
      </c>
      <c r="AA12" s="24">
        <f t="shared" ref="AA12" si="37">COS(ATAN(M12/S12))</f>
        <v>0.95782628522115143</v>
      </c>
      <c r="AB12" s="25"/>
    </row>
    <row r="13" spans="2:28" ht="18" x14ac:dyDescent="0.25">
      <c r="B13" s="3">
        <v>29</v>
      </c>
      <c r="C13" s="3">
        <f>C14+53</f>
        <v>249205</v>
      </c>
      <c r="D13" s="3">
        <f>D14+135</f>
        <v>498920</v>
      </c>
      <c r="E13" s="3">
        <f t="shared" ref="E13" si="38">E14+38</f>
        <v>165200</v>
      </c>
      <c r="F13" s="8">
        <f t="shared" ref="F13:F40" si="39">C13+D13+E13</f>
        <v>913325</v>
      </c>
      <c r="G13" s="22">
        <f t="shared" ref="G13:G40" si="40">(C14+D14+E14)+((S13/24)*7.5)</f>
        <v>913169.625</v>
      </c>
      <c r="H13" s="7">
        <f t="shared" ref="H13:H40" si="41">G13+((K13/12)*2.5)</f>
        <v>913197.75</v>
      </c>
      <c r="I13" s="3">
        <f t="shared" ref="I13" si="42">I14+64</f>
        <v>292685</v>
      </c>
      <c r="J13" s="6">
        <f t="shared" ref="J13:L41" si="43">C13-C14</f>
        <v>53</v>
      </c>
      <c r="K13" s="6">
        <f t="shared" si="43"/>
        <v>135</v>
      </c>
      <c r="L13" s="6">
        <f t="shared" si="43"/>
        <v>38</v>
      </c>
      <c r="M13" s="6">
        <f>I13-I14</f>
        <v>64</v>
      </c>
      <c r="N13" s="5">
        <f t="shared" si="24"/>
        <v>66</v>
      </c>
      <c r="O13" s="23">
        <f t="shared" ref="O13:O41" si="44">L13</f>
        <v>38</v>
      </c>
      <c r="P13" s="5">
        <f t="shared" ref="P13:P41" si="45">N13-O13</f>
        <v>28</v>
      </c>
      <c r="Q13" s="5">
        <f t="shared" ref="Q13:Q41" si="46">H13-G13</f>
        <v>28.125</v>
      </c>
      <c r="R13" s="7">
        <f t="shared" si="28"/>
        <v>400</v>
      </c>
      <c r="S13" s="6">
        <f t="shared" ref="S13:S41" si="47">J13+K13+L13</f>
        <v>226</v>
      </c>
      <c r="T13" s="7">
        <f t="shared" ref="T13:T41" si="48">R13-S13</f>
        <v>174</v>
      </c>
      <c r="U13" s="7">
        <f t="shared" ref="U13:V40" si="49">U14+N13</f>
        <v>1914</v>
      </c>
      <c r="V13" s="7">
        <f t="shared" si="49"/>
        <v>1566</v>
      </c>
      <c r="W13" s="7">
        <f t="shared" ref="W13:W41" si="50">U13-V13</f>
        <v>348</v>
      </c>
      <c r="X13" s="7">
        <f t="shared" ref="X13:Y40" si="51">X14+R13</f>
        <v>11600</v>
      </c>
      <c r="Y13" s="7">
        <f t="shared" si="51"/>
        <v>7755</v>
      </c>
      <c r="Z13" s="7">
        <f t="shared" ref="Z13:Z41" si="52">X13-Y13</f>
        <v>3845</v>
      </c>
      <c r="AA13" s="24">
        <f t="shared" ref="AA13:AA41" si="53">COS(ATAN(M13/S13))</f>
        <v>0.96216393779637366</v>
      </c>
      <c r="AB13" s="25"/>
    </row>
    <row r="14" spans="2:28" ht="18" x14ac:dyDescent="0.25">
      <c r="B14" s="3">
        <v>28</v>
      </c>
      <c r="C14" s="3">
        <f>C15+47</f>
        <v>249152</v>
      </c>
      <c r="D14" s="3">
        <f>D15+144</f>
        <v>498785</v>
      </c>
      <c r="E14" s="3">
        <f>E15+36</f>
        <v>165162</v>
      </c>
      <c r="F14" s="8">
        <f t="shared" si="39"/>
        <v>913099</v>
      </c>
      <c r="G14" s="22">
        <f t="shared" si="40"/>
        <v>912942.9375</v>
      </c>
      <c r="H14" s="7">
        <f t="shared" si="41"/>
        <v>912972.9375</v>
      </c>
      <c r="I14" s="3">
        <f>I15+68</f>
        <v>292621</v>
      </c>
      <c r="J14" s="6">
        <f t="shared" si="43"/>
        <v>47</v>
      </c>
      <c r="K14" s="6">
        <f t="shared" si="43"/>
        <v>144</v>
      </c>
      <c r="L14" s="6">
        <f t="shared" si="43"/>
        <v>36</v>
      </c>
      <c r="M14" s="6">
        <f>I14-I15</f>
        <v>68</v>
      </c>
      <c r="N14" s="5">
        <f t="shared" si="24"/>
        <v>66</v>
      </c>
      <c r="O14" s="23">
        <f t="shared" si="44"/>
        <v>36</v>
      </c>
      <c r="P14" s="5">
        <f t="shared" si="45"/>
        <v>30</v>
      </c>
      <c r="Q14" s="5">
        <f t="shared" si="46"/>
        <v>30</v>
      </c>
      <c r="R14" s="7">
        <f t="shared" si="28"/>
        <v>400</v>
      </c>
      <c r="S14" s="6">
        <f t="shared" si="47"/>
        <v>227</v>
      </c>
      <c r="T14" s="7">
        <f t="shared" si="48"/>
        <v>173</v>
      </c>
      <c r="U14" s="7">
        <f t="shared" si="49"/>
        <v>1848</v>
      </c>
      <c r="V14" s="7">
        <f t="shared" si="49"/>
        <v>1528</v>
      </c>
      <c r="W14" s="7">
        <f t="shared" si="50"/>
        <v>320</v>
      </c>
      <c r="X14" s="7">
        <f t="shared" si="51"/>
        <v>11200</v>
      </c>
      <c r="Y14" s="7">
        <f t="shared" si="51"/>
        <v>7529</v>
      </c>
      <c r="Z14" s="7">
        <f t="shared" si="52"/>
        <v>3671</v>
      </c>
      <c r="AA14" s="24">
        <f t="shared" si="53"/>
        <v>0.95794235405043326</v>
      </c>
      <c r="AB14" s="25"/>
    </row>
    <row r="15" spans="2:28" ht="18" x14ac:dyDescent="0.25">
      <c r="B15" s="3">
        <v>27</v>
      </c>
      <c r="C15" s="3">
        <f>C16+52</f>
        <v>249105</v>
      </c>
      <c r="D15" s="3">
        <f>D16+157</f>
        <v>498641</v>
      </c>
      <c r="E15" s="3">
        <f>E16+40</f>
        <v>165126</v>
      </c>
      <c r="F15" s="8">
        <f t="shared" si="39"/>
        <v>912872</v>
      </c>
      <c r="G15" s="22">
        <f t="shared" si="40"/>
        <v>912700.8125</v>
      </c>
      <c r="H15" s="7">
        <f t="shared" si="41"/>
        <v>912733.52083333337</v>
      </c>
      <c r="I15" s="3">
        <f>I16+70</f>
        <v>292553</v>
      </c>
      <c r="J15" s="6">
        <f t="shared" si="43"/>
        <v>52</v>
      </c>
      <c r="K15" s="6">
        <f t="shared" si="43"/>
        <v>157</v>
      </c>
      <c r="L15" s="6">
        <f t="shared" si="43"/>
        <v>40</v>
      </c>
      <c r="M15" s="6">
        <f t="shared" ref="M15:M41" si="54">I15-I16</f>
        <v>70</v>
      </c>
      <c r="N15" s="5">
        <f t="shared" si="24"/>
        <v>66</v>
      </c>
      <c r="O15" s="23">
        <f t="shared" si="44"/>
        <v>40</v>
      </c>
      <c r="P15" s="5">
        <f t="shared" si="45"/>
        <v>26</v>
      </c>
      <c r="Q15" s="5">
        <f t="shared" si="46"/>
        <v>32.708333333372138</v>
      </c>
      <c r="R15" s="7">
        <f t="shared" si="28"/>
        <v>400</v>
      </c>
      <c r="S15" s="6">
        <f t="shared" si="47"/>
        <v>249</v>
      </c>
      <c r="T15" s="7">
        <f t="shared" si="48"/>
        <v>151</v>
      </c>
      <c r="U15" s="7">
        <f t="shared" si="49"/>
        <v>1782</v>
      </c>
      <c r="V15" s="7">
        <f t="shared" si="49"/>
        <v>1492</v>
      </c>
      <c r="W15" s="7">
        <f t="shared" si="50"/>
        <v>290</v>
      </c>
      <c r="X15" s="7">
        <f t="shared" si="51"/>
        <v>10800</v>
      </c>
      <c r="Y15" s="7">
        <f t="shared" si="51"/>
        <v>7302</v>
      </c>
      <c r="Z15" s="7">
        <f t="shared" si="52"/>
        <v>3498</v>
      </c>
      <c r="AA15" s="24">
        <f t="shared" si="53"/>
        <v>0.96268242300967832</v>
      </c>
      <c r="AB15" s="25"/>
    </row>
    <row r="16" spans="2:28" ht="18" x14ac:dyDescent="0.25">
      <c r="B16" s="3">
        <v>26</v>
      </c>
      <c r="C16" s="3">
        <f>C17+50</f>
        <v>249053</v>
      </c>
      <c r="D16" s="3">
        <f>D17+148</f>
        <v>498484</v>
      </c>
      <c r="E16" s="3">
        <f>E17+35</f>
        <v>165086</v>
      </c>
      <c r="F16" s="8">
        <f t="shared" si="39"/>
        <v>912623</v>
      </c>
      <c r="G16" s="22">
        <f t="shared" si="40"/>
        <v>912462.8125</v>
      </c>
      <c r="H16" s="7">
        <f t="shared" si="41"/>
        <v>912493.64583333337</v>
      </c>
      <c r="I16" s="3">
        <f>I17+66</f>
        <v>292483</v>
      </c>
      <c r="J16" s="6">
        <f t="shared" si="43"/>
        <v>50</v>
      </c>
      <c r="K16" s="6">
        <f t="shared" si="43"/>
        <v>148</v>
      </c>
      <c r="L16" s="6">
        <f t="shared" si="43"/>
        <v>35</v>
      </c>
      <c r="M16" s="6">
        <f t="shared" si="54"/>
        <v>66</v>
      </c>
      <c r="N16" s="5">
        <f t="shared" si="24"/>
        <v>66</v>
      </c>
      <c r="O16" s="23">
        <f t="shared" si="44"/>
        <v>35</v>
      </c>
      <c r="P16" s="5">
        <f t="shared" si="45"/>
        <v>31</v>
      </c>
      <c r="Q16" s="5">
        <f t="shared" si="46"/>
        <v>30.833333333372138</v>
      </c>
      <c r="R16" s="7">
        <f t="shared" si="28"/>
        <v>400</v>
      </c>
      <c r="S16" s="6">
        <f t="shared" si="47"/>
        <v>233</v>
      </c>
      <c r="T16" s="7">
        <f t="shared" si="48"/>
        <v>167</v>
      </c>
      <c r="U16" s="7">
        <f t="shared" si="49"/>
        <v>1716</v>
      </c>
      <c r="V16" s="7">
        <f t="shared" si="49"/>
        <v>1452</v>
      </c>
      <c r="W16" s="7">
        <f t="shared" si="50"/>
        <v>264</v>
      </c>
      <c r="X16" s="7">
        <f t="shared" si="51"/>
        <v>10400</v>
      </c>
      <c r="Y16" s="7">
        <f t="shared" si="51"/>
        <v>7053</v>
      </c>
      <c r="Z16" s="7">
        <f t="shared" si="52"/>
        <v>3347</v>
      </c>
      <c r="AA16" s="24">
        <f t="shared" si="53"/>
        <v>0.96214477496573314</v>
      </c>
      <c r="AB16" s="25"/>
    </row>
    <row r="17" spans="2:28" ht="18" x14ac:dyDescent="0.25">
      <c r="B17" s="3">
        <v>25</v>
      </c>
      <c r="C17" s="3">
        <v>249003</v>
      </c>
      <c r="D17" s="3">
        <v>498336</v>
      </c>
      <c r="E17" s="3">
        <v>165051</v>
      </c>
      <c r="F17" s="8">
        <f t="shared" si="39"/>
        <v>912390</v>
      </c>
      <c r="G17" s="22">
        <f t="shared" si="40"/>
        <v>912185.125</v>
      </c>
      <c r="H17" s="7">
        <f t="shared" si="41"/>
        <v>912224.70833333337</v>
      </c>
      <c r="I17" s="3">
        <v>292417</v>
      </c>
      <c r="J17" s="6">
        <f t="shared" si="43"/>
        <v>58</v>
      </c>
      <c r="K17" s="6">
        <f t="shared" si="43"/>
        <v>190</v>
      </c>
      <c r="L17" s="6">
        <f t="shared" si="43"/>
        <v>50</v>
      </c>
      <c r="M17" s="6">
        <f t="shared" si="54"/>
        <v>62</v>
      </c>
      <c r="N17" s="5">
        <f t="shared" si="24"/>
        <v>66</v>
      </c>
      <c r="O17" s="23">
        <f t="shared" si="44"/>
        <v>50</v>
      </c>
      <c r="P17" s="5">
        <f t="shared" si="45"/>
        <v>16</v>
      </c>
      <c r="Q17" s="5">
        <f t="shared" si="46"/>
        <v>39.583333333372138</v>
      </c>
      <c r="R17" s="7">
        <f t="shared" si="28"/>
        <v>400</v>
      </c>
      <c r="S17" s="6">
        <f t="shared" si="47"/>
        <v>298</v>
      </c>
      <c r="T17" s="7">
        <f t="shared" si="48"/>
        <v>102</v>
      </c>
      <c r="U17" s="7">
        <f t="shared" si="49"/>
        <v>1650</v>
      </c>
      <c r="V17" s="7">
        <f t="shared" si="49"/>
        <v>1417</v>
      </c>
      <c r="W17" s="7">
        <f t="shared" si="50"/>
        <v>233</v>
      </c>
      <c r="X17" s="7">
        <f t="shared" si="51"/>
        <v>10000</v>
      </c>
      <c r="Y17" s="7">
        <f t="shared" si="51"/>
        <v>6820</v>
      </c>
      <c r="Z17" s="7">
        <f t="shared" si="52"/>
        <v>3180</v>
      </c>
      <c r="AA17" s="24">
        <f t="shared" si="53"/>
        <v>0.9790350493412896</v>
      </c>
      <c r="AB17" s="25"/>
    </row>
    <row r="18" spans="2:28" ht="18" x14ac:dyDescent="0.25">
      <c r="B18" s="3">
        <v>24</v>
      </c>
      <c r="C18" s="3">
        <f>C19+65</f>
        <v>248945</v>
      </c>
      <c r="D18" s="3">
        <f>D19+200</f>
        <v>498146</v>
      </c>
      <c r="E18" s="3">
        <f>E19+53</f>
        <v>165001</v>
      </c>
      <c r="F18" s="8">
        <f t="shared" si="39"/>
        <v>912092</v>
      </c>
      <c r="G18" s="22">
        <f t="shared" si="40"/>
        <v>911873.375</v>
      </c>
      <c r="H18" s="7">
        <f t="shared" si="41"/>
        <v>911915.04166666663</v>
      </c>
      <c r="I18" s="3">
        <f>I19+66</f>
        <v>292355</v>
      </c>
      <c r="J18" s="6">
        <f t="shared" si="43"/>
        <v>65</v>
      </c>
      <c r="K18" s="6">
        <f t="shared" si="43"/>
        <v>200</v>
      </c>
      <c r="L18" s="6">
        <f t="shared" si="43"/>
        <v>53</v>
      </c>
      <c r="M18" s="6">
        <f t="shared" si="54"/>
        <v>66</v>
      </c>
      <c r="N18" s="5">
        <f t="shared" si="24"/>
        <v>66</v>
      </c>
      <c r="O18" s="23">
        <f t="shared" si="44"/>
        <v>53</v>
      </c>
      <c r="P18" s="5">
        <f t="shared" si="45"/>
        <v>13</v>
      </c>
      <c r="Q18" s="5">
        <f t="shared" si="46"/>
        <v>41.666666666627862</v>
      </c>
      <c r="R18" s="7">
        <f t="shared" si="28"/>
        <v>400</v>
      </c>
      <c r="S18" s="6">
        <f t="shared" si="47"/>
        <v>318</v>
      </c>
      <c r="T18" s="7">
        <f t="shared" si="48"/>
        <v>82</v>
      </c>
      <c r="U18" s="7">
        <f t="shared" si="49"/>
        <v>1584</v>
      </c>
      <c r="V18" s="7">
        <f t="shared" si="49"/>
        <v>1367</v>
      </c>
      <c r="W18" s="7">
        <f t="shared" si="50"/>
        <v>217</v>
      </c>
      <c r="X18" s="7">
        <f t="shared" si="51"/>
        <v>9600</v>
      </c>
      <c r="Y18" s="7">
        <f t="shared" si="51"/>
        <v>6522</v>
      </c>
      <c r="Z18" s="7">
        <f t="shared" si="52"/>
        <v>3078</v>
      </c>
      <c r="AA18" s="24">
        <f t="shared" si="53"/>
        <v>0.97913383746674543</v>
      </c>
      <c r="AB18" s="25"/>
    </row>
    <row r="19" spans="2:28" ht="18" x14ac:dyDescent="0.25">
      <c r="B19" s="3">
        <v>23</v>
      </c>
      <c r="C19" s="3">
        <v>248880</v>
      </c>
      <c r="D19" s="3">
        <v>497946</v>
      </c>
      <c r="E19" s="3">
        <v>164948</v>
      </c>
      <c r="F19" s="8">
        <f t="shared" si="39"/>
        <v>911774</v>
      </c>
      <c r="G19" s="22">
        <f t="shared" si="40"/>
        <v>911566.375</v>
      </c>
      <c r="H19" s="7">
        <f t="shared" si="41"/>
        <v>911602.625</v>
      </c>
      <c r="I19" s="3">
        <v>292289</v>
      </c>
      <c r="J19" s="7">
        <f>C19-C20</f>
        <v>72</v>
      </c>
      <c r="K19" s="6">
        <f t="shared" si="43"/>
        <v>174</v>
      </c>
      <c r="L19" s="6">
        <f t="shared" si="43"/>
        <v>56</v>
      </c>
      <c r="M19" s="6">
        <f t="shared" si="54"/>
        <v>118</v>
      </c>
      <c r="N19" s="5">
        <f t="shared" si="24"/>
        <v>66</v>
      </c>
      <c r="O19" s="3">
        <f t="shared" si="44"/>
        <v>56</v>
      </c>
      <c r="P19" s="5">
        <f t="shared" si="45"/>
        <v>10</v>
      </c>
      <c r="Q19" s="5">
        <f t="shared" si="46"/>
        <v>36.25</v>
      </c>
      <c r="R19" s="7">
        <f t="shared" si="28"/>
        <v>400</v>
      </c>
      <c r="S19" s="6">
        <f t="shared" si="47"/>
        <v>302</v>
      </c>
      <c r="T19" s="7">
        <f t="shared" si="48"/>
        <v>98</v>
      </c>
      <c r="U19" s="7">
        <f t="shared" si="49"/>
        <v>1518</v>
      </c>
      <c r="V19" s="7">
        <f t="shared" si="49"/>
        <v>1314</v>
      </c>
      <c r="W19" s="7">
        <f t="shared" si="50"/>
        <v>204</v>
      </c>
      <c r="X19" s="7">
        <f t="shared" si="51"/>
        <v>9200</v>
      </c>
      <c r="Y19" s="7">
        <f t="shared" si="51"/>
        <v>6204</v>
      </c>
      <c r="Z19" s="7">
        <f t="shared" si="52"/>
        <v>2996</v>
      </c>
      <c r="AA19" s="24">
        <f t="shared" si="53"/>
        <v>0.93142468116681643</v>
      </c>
      <c r="AB19" s="1"/>
    </row>
    <row r="20" spans="2:28" ht="18" x14ac:dyDescent="0.25">
      <c r="B20" s="3">
        <v>22</v>
      </c>
      <c r="C20" s="3">
        <f>C21+68</f>
        <v>248808</v>
      </c>
      <c r="D20" s="3">
        <f>D21+177</f>
        <v>497772</v>
      </c>
      <c r="E20" s="3">
        <f>E21+66</f>
        <v>164892</v>
      </c>
      <c r="F20" s="8">
        <f t="shared" si="39"/>
        <v>911472</v>
      </c>
      <c r="G20" s="22">
        <f t="shared" si="40"/>
        <v>911258.1875</v>
      </c>
      <c r="H20" s="7">
        <f t="shared" si="41"/>
        <v>911295.0625</v>
      </c>
      <c r="I20" s="3">
        <f>I21+114</f>
        <v>292171</v>
      </c>
      <c r="J20" s="6">
        <f t="shared" si="43"/>
        <v>68</v>
      </c>
      <c r="K20" s="6">
        <f t="shared" si="43"/>
        <v>177</v>
      </c>
      <c r="L20" s="6">
        <f t="shared" si="43"/>
        <v>66</v>
      </c>
      <c r="M20" s="6">
        <f t="shared" si="54"/>
        <v>114</v>
      </c>
      <c r="N20" s="5">
        <f t="shared" si="24"/>
        <v>66</v>
      </c>
      <c r="O20" s="3">
        <f t="shared" si="44"/>
        <v>66</v>
      </c>
      <c r="P20" s="5">
        <f t="shared" si="45"/>
        <v>0</v>
      </c>
      <c r="Q20" s="5">
        <f t="shared" si="46"/>
        <v>36.875</v>
      </c>
      <c r="R20" s="7">
        <f t="shared" si="28"/>
        <v>400</v>
      </c>
      <c r="S20" s="6">
        <f t="shared" si="47"/>
        <v>311</v>
      </c>
      <c r="T20" s="7">
        <f t="shared" si="48"/>
        <v>89</v>
      </c>
      <c r="U20" s="7">
        <f t="shared" si="49"/>
        <v>1452</v>
      </c>
      <c r="V20" s="7">
        <f t="shared" si="49"/>
        <v>1258</v>
      </c>
      <c r="W20" s="7">
        <f t="shared" si="50"/>
        <v>194</v>
      </c>
      <c r="X20" s="7">
        <f t="shared" si="51"/>
        <v>8800</v>
      </c>
      <c r="Y20" s="7">
        <f t="shared" si="51"/>
        <v>5902</v>
      </c>
      <c r="Z20" s="7">
        <f t="shared" si="52"/>
        <v>2898</v>
      </c>
      <c r="AA20" s="24">
        <f t="shared" si="53"/>
        <v>0.93890883764530619</v>
      </c>
      <c r="AB20" s="1"/>
    </row>
    <row r="21" spans="2:28" ht="18" x14ac:dyDescent="0.25">
      <c r="B21" s="3">
        <v>21</v>
      </c>
      <c r="C21" s="3">
        <f>C22+73</f>
        <v>248740</v>
      </c>
      <c r="D21" s="3">
        <f>D22+180</f>
        <v>497595</v>
      </c>
      <c r="E21" s="3">
        <f>E22+69</f>
        <v>164826</v>
      </c>
      <c r="F21" s="8">
        <f t="shared" si="39"/>
        <v>911161</v>
      </c>
      <c r="G21" s="22">
        <f t="shared" si="40"/>
        <v>910939.625</v>
      </c>
      <c r="H21" s="7">
        <f t="shared" si="41"/>
        <v>910977.125</v>
      </c>
      <c r="I21" s="3">
        <f>I22+110</f>
        <v>292057</v>
      </c>
      <c r="J21" s="6">
        <f t="shared" si="43"/>
        <v>73</v>
      </c>
      <c r="K21" s="6">
        <f t="shared" si="43"/>
        <v>180</v>
      </c>
      <c r="L21" s="6">
        <f t="shared" si="43"/>
        <v>69</v>
      </c>
      <c r="M21" s="6">
        <f t="shared" si="54"/>
        <v>110</v>
      </c>
      <c r="N21" s="5">
        <f t="shared" si="24"/>
        <v>66</v>
      </c>
      <c r="O21" s="3">
        <f t="shared" si="44"/>
        <v>69</v>
      </c>
      <c r="P21" s="5">
        <f t="shared" si="45"/>
        <v>-3</v>
      </c>
      <c r="Q21" s="5">
        <f t="shared" si="46"/>
        <v>37.5</v>
      </c>
      <c r="R21" s="7">
        <f t="shared" si="28"/>
        <v>400</v>
      </c>
      <c r="S21" s="6">
        <f t="shared" si="47"/>
        <v>322</v>
      </c>
      <c r="T21" s="7">
        <f t="shared" si="48"/>
        <v>78</v>
      </c>
      <c r="U21" s="7">
        <f t="shared" si="49"/>
        <v>1386</v>
      </c>
      <c r="V21" s="7">
        <f t="shared" si="49"/>
        <v>1192</v>
      </c>
      <c r="W21" s="7">
        <f t="shared" si="50"/>
        <v>194</v>
      </c>
      <c r="X21" s="7">
        <f t="shared" si="51"/>
        <v>8400</v>
      </c>
      <c r="Y21" s="7">
        <f t="shared" si="51"/>
        <v>5591</v>
      </c>
      <c r="Z21" s="7">
        <f t="shared" si="52"/>
        <v>2809</v>
      </c>
      <c r="AA21" s="24">
        <f t="shared" si="53"/>
        <v>0.94630600746611648</v>
      </c>
      <c r="AB21" s="1"/>
    </row>
    <row r="22" spans="2:28" ht="18" x14ac:dyDescent="0.25">
      <c r="B22" s="3">
        <v>20</v>
      </c>
      <c r="C22" s="3">
        <v>248667</v>
      </c>
      <c r="D22" s="3">
        <v>497415</v>
      </c>
      <c r="E22" s="3">
        <v>164757</v>
      </c>
      <c r="F22" s="8">
        <f t="shared" si="39"/>
        <v>910839</v>
      </c>
      <c r="G22" s="22">
        <f t="shared" si="40"/>
        <v>910657.5</v>
      </c>
      <c r="H22" s="7">
        <f t="shared" si="41"/>
        <v>910691.04166666663</v>
      </c>
      <c r="I22" s="3">
        <v>291947</v>
      </c>
      <c r="J22" s="6">
        <f t="shared" si="43"/>
        <v>61</v>
      </c>
      <c r="K22" s="6">
        <f t="shared" si="43"/>
        <v>161</v>
      </c>
      <c r="L22" s="6">
        <f t="shared" si="43"/>
        <v>42</v>
      </c>
      <c r="M22" s="6">
        <f t="shared" si="54"/>
        <v>52</v>
      </c>
      <c r="N22" s="5">
        <f t="shared" si="24"/>
        <v>66</v>
      </c>
      <c r="O22" s="3">
        <f t="shared" si="44"/>
        <v>42</v>
      </c>
      <c r="P22" s="5">
        <f t="shared" si="45"/>
        <v>24</v>
      </c>
      <c r="Q22" s="5">
        <f t="shared" si="46"/>
        <v>33.541666666627862</v>
      </c>
      <c r="R22" s="7">
        <f t="shared" si="28"/>
        <v>400</v>
      </c>
      <c r="S22" s="6">
        <f t="shared" si="47"/>
        <v>264</v>
      </c>
      <c r="T22" s="7">
        <f t="shared" si="48"/>
        <v>136</v>
      </c>
      <c r="U22" s="7">
        <f t="shared" si="49"/>
        <v>1320</v>
      </c>
      <c r="V22" s="7">
        <f t="shared" si="49"/>
        <v>1123</v>
      </c>
      <c r="W22" s="7">
        <f t="shared" si="50"/>
        <v>197</v>
      </c>
      <c r="X22" s="7">
        <f t="shared" si="51"/>
        <v>8000</v>
      </c>
      <c r="Y22" s="7">
        <f t="shared" si="51"/>
        <v>5269</v>
      </c>
      <c r="Z22" s="7">
        <f t="shared" si="52"/>
        <v>2731</v>
      </c>
      <c r="AA22" s="24">
        <f t="shared" si="53"/>
        <v>0.98114827304625951</v>
      </c>
      <c r="AB22" s="1"/>
    </row>
    <row r="23" spans="2:28" ht="18" x14ac:dyDescent="0.25">
      <c r="B23" s="3">
        <v>19</v>
      </c>
      <c r="C23" s="3">
        <f>C24+57</f>
        <v>248606</v>
      </c>
      <c r="D23" s="3">
        <f>D24+171</f>
        <v>497254</v>
      </c>
      <c r="E23" s="3">
        <f>E24+41</f>
        <v>164715</v>
      </c>
      <c r="F23" s="8">
        <f t="shared" si="39"/>
        <v>910575</v>
      </c>
      <c r="G23" s="22">
        <f t="shared" si="40"/>
        <v>910390.0625</v>
      </c>
      <c r="H23" s="7">
        <f t="shared" si="41"/>
        <v>910425.6875</v>
      </c>
      <c r="I23" s="3">
        <f>I24+55</f>
        <v>291895</v>
      </c>
      <c r="J23" s="6">
        <f t="shared" si="43"/>
        <v>57</v>
      </c>
      <c r="K23" s="6">
        <f t="shared" si="43"/>
        <v>171</v>
      </c>
      <c r="L23" s="6">
        <f t="shared" si="43"/>
        <v>41</v>
      </c>
      <c r="M23" s="6">
        <f t="shared" si="54"/>
        <v>55</v>
      </c>
      <c r="N23" s="5">
        <f t="shared" si="24"/>
        <v>66</v>
      </c>
      <c r="O23" s="3">
        <f t="shared" si="44"/>
        <v>41</v>
      </c>
      <c r="P23" s="5">
        <f t="shared" si="45"/>
        <v>25</v>
      </c>
      <c r="Q23" s="5">
        <v>9</v>
      </c>
      <c r="R23" s="7">
        <f t="shared" si="28"/>
        <v>400</v>
      </c>
      <c r="S23" s="6">
        <f t="shared" si="47"/>
        <v>269</v>
      </c>
      <c r="T23" s="7">
        <f t="shared" si="48"/>
        <v>131</v>
      </c>
      <c r="U23" s="7">
        <f t="shared" si="49"/>
        <v>1254</v>
      </c>
      <c r="V23" s="7">
        <f t="shared" si="49"/>
        <v>1081</v>
      </c>
      <c r="W23" s="7">
        <f t="shared" si="50"/>
        <v>173</v>
      </c>
      <c r="X23" s="7">
        <f t="shared" si="51"/>
        <v>7600</v>
      </c>
      <c r="Y23" s="7">
        <f t="shared" si="51"/>
        <v>5005</v>
      </c>
      <c r="Z23" s="7">
        <f t="shared" si="52"/>
        <v>2595</v>
      </c>
      <c r="AA23" s="24">
        <f t="shared" si="53"/>
        <v>0.9797311804789649</v>
      </c>
      <c r="AB23" s="1"/>
    </row>
    <row r="24" spans="2:28" ht="18" x14ac:dyDescent="0.25">
      <c r="B24" s="3">
        <v>18</v>
      </c>
      <c r="C24" s="3">
        <f>C25+50</f>
        <v>248549</v>
      </c>
      <c r="D24" s="3">
        <f>D25+169</f>
        <v>497083</v>
      </c>
      <c r="E24" s="3">
        <f>E25+44</f>
        <v>164674</v>
      </c>
      <c r="F24" s="8">
        <f t="shared" si="39"/>
        <v>910306</v>
      </c>
      <c r="G24" s="22">
        <f t="shared" si="40"/>
        <v>910125.1875</v>
      </c>
      <c r="H24" s="7">
        <f>G24+((K24/12)*2.5)</f>
        <v>910160.39583333337</v>
      </c>
      <c r="I24" s="3">
        <f>I25+59</f>
        <v>291840</v>
      </c>
      <c r="J24" s="6">
        <f t="shared" si="43"/>
        <v>50</v>
      </c>
      <c r="K24" s="6">
        <f t="shared" si="43"/>
        <v>169</v>
      </c>
      <c r="L24" s="6">
        <f t="shared" si="43"/>
        <v>44</v>
      </c>
      <c r="M24" s="6">
        <f t="shared" si="54"/>
        <v>59</v>
      </c>
      <c r="N24" s="5">
        <f t="shared" si="24"/>
        <v>66</v>
      </c>
      <c r="O24" s="3">
        <f t="shared" si="44"/>
        <v>44</v>
      </c>
      <c r="P24" s="5">
        <f t="shared" si="45"/>
        <v>22</v>
      </c>
      <c r="Q24" s="5">
        <v>7</v>
      </c>
      <c r="R24" s="7">
        <f t="shared" si="28"/>
        <v>400</v>
      </c>
      <c r="S24" s="6">
        <f t="shared" si="47"/>
        <v>263</v>
      </c>
      <c r="T24" s="7">
        <f t="shared" si="48"/>
        <v>137</v>
      </c>
      <c r="U24" s="7">
        <f t="shared" si="49"/>
        <v>1188</v>
      </c>
      <c r="V24" s="7">
        <f t="shared" si="49"/>
        <v>1040</v>
      </c>
      <c r="W24" s="7">
        <f t="shared" si="50"/>
        <v>148</v>
      </c>
      <c r="X24" s="7">
        <f t="shared" si="51"/>
        <v>7200</v>
      </c>
      <c r="Y24" s="7">
        <f t="shared" si="51"/>
        <v>4736</v>
      </c>
      <c r="Z24" s="7">
        <f t="shared" si="52"/>
        <v>2464</v>
      </c>
      <c r="AA24" s="24">
        <f t="shared" si="53"/>
        <v>0.9757486052639105</v>
      </c>
      <c r="AB24" s="1"/>
    </row>
    <row r="25" spans="2:28" ht="18" x14ac:dyDescent="0.25">
      <c r="B25" s="3">
        <v>17</v>
      </c>
      <c r="C25" s="3">
        <v>248499</v>
      </c>
      <c r="D25" s="3">
        <v>496914</v>
      </c>
      <c r="E25" s="3">
        <v>164630</v>
      </c>
      <c r="F25" s="8">
        <f t="shared" si="39"/>
        <v>910043</v>
      </c>
      <c r="G25" s="22">
        <f t="shared" si="40"/>
        <v>909893.125</v>
      </c>
      <c r="H25" s="7">
        <f t="shared" si="41"/>
        <v>909922.5</v>
      </c>
      <c r="I25" s="3">
        <v>291781</v>
      </c>
      <c r="J25" s="6">
        <f t="shared" si="43"/>
        <v>46</v>
      </c>
      <c r="K25" s="6">
        <f t="shared" si="43"/>
        <v>141</v>
      </c>
      <c r="L25" s="6">
        <f t="shared" si="43"/>
        <v>31</v>
      </c>
      <c r="M25" s="7">
        <f t="shared" si="54"/>
        <v>48</v>
      </c>
      <c r="N25" s="5">
        <f t="shared" si="24"/>
        <v>66</v>
      </c>
      <c r="O25" s="3">
        <f t="shared" si="44"/>
        <v>31</v>
      </c>
      <c r="P25" s="5">
        <f t="shared" si="45"/>
        <v>35</v>
      </c>
      <c r="Q25" s="5">
        <f t="shared" si="46"/>
        <v>29.375</v>
      </c>
      <c r="R25" s="7">
        <f t="shared" si="28"/>
        <v>400</v>
      </c>
      <c r="S25" s="6">
        <f t="shared" si="47"/>
        <v>218</v>
      </c>
      <c r="T25" s="7">
        <f t="shared" si="48"/>
        <v>182</v>
      </c>
      <c r="U25" s="7">
        <f t="shared" si="49"/>
        <v>1122</v>
      </c>
      <c r="V25" s="6">
        <f t="shared" si="49"/>
        <v>996</v>
      </c>
      <c r="W25" s="7">
        <f t="shared" si="50"/>
        <v>126</v>
      </c>
      <c r="X25" s="7">
        <f t="shared" si="51"/>
        <v>6800</v>
      </c>
      <c r="Y25" s="7">
        <f t="shared" si="51"/>
        <v>4473</v>
      </c>
      <c r="Z25" s="7">
        <f t="shared" si="52"/>
        <v>2327</v>
      </c>
      <c r="AA25" s="24">
        <f t="shared" si="53"/>
        <v>0.97660684905719941</v>
      </c>
      <c r="AB25" s="1"/>
    </row>
    <row r="26" spans="2:28" ht="18" x14ac:dyDescent="0.25">
      <c r="B26" s="3">
        <v>16</v>
      </c>
      <c r="C26" s="3">
        <f>C27+66</f>
        <v>248453</v>
      </c>
      <c r="D26" s="3">
        <f>D27+139</f>
        <v>496773</v>
      </c>
      <c r="E26" s="3">
        <f>E27+33</f>
        <v>164599</v>
      </c>
      <c r="F26" s="8">
        <f t="shared" si="39"/>
        <v>909825</v>
      </c>
      <c r="G26" s="22">
        <f t="shared" si="40"/>
        <v>909661.375</v>
      </c>
      <c r="H26" s="7">
        <f t="shared" si="41"/>
        <v>909690.33333333337</v>
      </c>
      <c r="I26" s="3">
        <f>I27+88</f>
        <v>291733</v>
      </c>
      <c r="J26" s="6">
        <f t="shared" si="43"/>
        <v>66</v>
      </c>
      <c r="K26" s="6">
        <f t="shared" si="43"/>
        <v>139</v>
      </c>
      <c r="L26" s="6">
        <f t="shared" si="43"/>
        <v>33</v>
      </c>
      <c r="M26" s="7">
        <f t="shared" si="54"/>
        <v>88</v>
      </c>
      <c r="N26" s="5">
        <f t="shared" si="24"/>
        <v>66</v>
      </c>
      <c r="O26" s="3">
        <f t="shared" si="44"/>
        <v>33</v>
      </c>
      <c r="P26" s="5">
        <f t="shared" si="45"/>
        <v>33</v>
      </c>
      <c r="Q26" s="5">
        <f t="shared" si="46"/>
        <v>28.958333333372138</v>
      </c>
      <c r="R26" s="7">
        <f t="shared" si="28"/>
        <v>400</v>
      </c>
      <c r="S26" s="6">
        <f t="shared" si="47"/>
        <v>238</v>
      </c>
      <c r="T26" s="7">
        <f t="shared" si="48"/>
        <v>162</v>
      </c>
      <c r="U26" s="7">
        <f t="shared" si="49"/>
        <v>1056</v>
      </c>
      <c r="V26" s="6">
        <f t="shared" si="49"/>
        <v>965</v>
      </c>
      <c r="W26" s="7">
        <f t="shared" si="50"/>
        <v>91</v>
      </c>
      <c r="X26" s="7">
        <f t="shared" si="51"/>
        <v>6400</v>
      </c>
      <c r="Y26" s="7">
        <f t="shared" si="51"/>
        <v>4255</v>
      </c>
      <c r="Z26" s="7">
        <f t="shared" si="52"/>
        <v>2145</v>
      </c>
      <c r="AA26" s="24">
        <f t="shared" si="53"/>
        <v>0.93793877309564466</v>
      </c>
      <c r="AB26" s="1"/>
    </row>
    <row r="27" spans="2:28" ht="18" x14ac:dyDescent="0.25">
      <c r="B27" s="3">
        <v>15</v>
      </c>
      <c r="C27" s="3">
        <f>C28+92</f>
        <v>248387</v>
      </c>
      <c r="D27" s="3">
        <f>D28+133</f>
        <v>496634</v>
      </c>
      <c r="E27" s="3">
        <f>E28+36</f>
        <v>164566</v>
      </c>
      <c r="F27" s="8">
        <f t="shared" si="39"/>
        <v>909587</v>
      </c>
      <c r="G27" s="22">
        <f t="shared" si="40"/>
        <v>909407.5625</v>
      </c>
      <c r="H27" s="7">
        <f t="shared" si="41"/>
        <v>909435.27083333337</v>
      </c>
      <c r="I27" s="3">
        <f>I28+73</f>
        <v>291645</v>
      </c>
      <c r="J27" s="6">
        <f t="shared" si="43"/>
        <v>92</v>
      </c>
      <c r="K27" s="6">
        <f t="shared" si="43"/>
        <v>133</v>
      </c>
      <c r="L27" s="6">
        <f t="shared" si="43"/>
        <v>36</v>
      </c>
      <c r="M27" s="7">
        <f t="shared" si="54"/>
        <v>73</v>
      </c>
      <c r="N27" s="5">
        <f t="shared" si="24"/>
        <v>66</v>
      </c>
      <c r="O27" s="3">
        <f t="shared" si="44"/>
        <v>36</v>
      </c>
      <c r="P27" s="5">
        <f t="shared" si="45"/>
        <v>30</v>
      </c>
      <c r="Q27" s="5">
        <f t="shared" si="46"/>
        <v>27.708333333372138</v>
      </c>
      <c r="R27" s="7">
        <f t="shared" si="28"/>
        <v>400</v>
      </c>
      <c r="S27" s="6">
        <f t="shared" si="47"/>
        <v>261</v>
      </c>
      <c r="T27" s="7">
        <f t="shared" si="48"/>
        <v>139</v>
      </c>
      <c r="U27" s="7">
        <f t="shared" si="49"/>
        <v>990</v>
      </c>
      <c r="V27" s="6">
        <f t="shared" si="49"/>
        <v>932</v>
      </c>
      <c r="W27" s="7">
        <f t="shared" si="50"/>
        <v>58</v>
      </c>
      <c r="X27" s="7">
        <f t="shared" si="51"/>
        <v>6000</v>
      </c>
      <c r="Y27" s="7">
        <f t="shared" si="51"/>
        <v>4017</v>
      </c>
      <c r="Z27" s="7">
        <f t="shared" si="52"/>
        <v>1983</v>
      </c>
      <c r="AA27" s="24">
        <f t="shared" si="53"/>
        <v>0.963040623765407</v>
      </c>
      <c r="AB27" s="1"/>
    </row>
    <row r="28" spans="2:28" ht="18" x14ac:dyDescent="0.25">
      <c r="B28" s="3">
        <v>14</v>
      </c>
      <c r="C28" s="3">
        <f>C29+89</f>
        <v>248295</v>
      </c>
      <c r="D28" s="3">
        <f>D29+128</f>
        <v>496501</v>
      </c>
      <c r="E28" s="3">
        <f>E29+89</f>
        <v>164530</v>
      </c>
      <c r="F28" s="8">
        <f t="shared" si="39"/>
        <v>909326</v>
      </c>
      <c r="G28" s="22">
        <f t="shared" si="40"/>
        <v>909115.625</v>
      </c>
      <c r="H28" s="7">
        <f t="shared" si="41"/>
        <v>909142.29166666663</v>
      </c>
      <c r="I28" s="3">
        <f>I29+69</f>
        <v>291572</v>
      </c>
      <c r="J28" s="6">
        <f t="shared" si="43"/>
        <v>89</v>
      </c>
      <c r="K28" s="6">
        <f t="shared" si="43"/>
        <v>128</v>
      </c>
      <c r="L28" s="6">
        <f t="shared" si="43"/>
        <v>89</v>
      </c>
      <c r="M28" s="7">
        <f t="shared" si="54"/>
        <v>69</v>
      </c>
      <c r="N28" s="5">
        <f t="shared" si="24"/>
        <v>66</v>
      </c>
      <c r="O28" s="3">
        <f t="shared" si="44"/>
        <v>89</v>
      </c>
      <c r="P28" s="5">
        <f t="shared" si="45"/>
        <v>-23</v>
      </c>
      <c r="Q28" s="5">
        <f t="shared" si="46"/>
        <v>26.666666666627862</v>
      </c>
      <c r="R28" s="7">
        <f t="shared" si="28"/>
        <v>400</v>
      </c>
      <c r="S28" s="6">
        <f t="shared" si="47"/>
        <v>306</v>
      </c>
      <c r="T28" s="7">
        <f t="shared" si="48"/>
        <v>94</v>
      </c>
      <c r="U28" s="7">
        <f t="shared" si="49"/>
        <v>924</v>
      </c>
      <c r="V28" s="6">
        <f t="shared" si="49"/>
        <v>896</v>
      </c>
      <c r="W28" s="7">
        <f t="shared" si="50"/>
        <v>28</v>
      </c>
      <c r="X28" s="7">
        <f t="shared" si="51"/>
        <v>5600</v>
      </c>
      <c r="Y28" s="7">
        <f t="shared" si="51"/>
        <v>3756</v>
      </c>
      <c r="Z28" s="7">
        <f t="shared" si="52"/>
        <v>1844</v>
      </c>
      <c r="AA28" s="24">
        <f t="shared" si="53"/>
        <v>0.97550724163747193</v>
      </c>
      <c r="AB28" s="1"/>
    </row>
    <row r="29" spans="2:28" ht="18" x14ac:dyDescent="0.25">
      <c r="B29" s="3">
        <v>13</v>
      </c>
      <c r="C29" s="3">
        <v>248206</v>
      </c>
      <c r="D29" s="3">
        <v>496373</v>
      </c>
      <c r="E29" s="3">
        <v>164441</v>
      </c>
      <c r="F29" s="8">
        <f t="shared" si="39"/>
        <v>909020</v>
      </c>
      <c r="G29" s="22">
        <f t="shared" si="40"/>
        <v>908828.875</v>
      </c>
      <c r="H29" s="7">
        <f t="shared" si="41"/>
        <v>908853.04166666663</v>
      </c>
      <c r="I29" s="3">
        <v>291503</v>
      </c>
      <c r="J29" s="6">
        <f t="shared" si="43"/>
        <v>80</v>
      </c>
      <c r="K29" s="6">
        <f t="shared" si="43"/>
        <v>116</v>
      </c>
      <c r="L29" s="6">
        <f t="shared" si="43"/>
        <v>82</v>
      </c>
      <c r="M29" s="6">
        <f t="shared" si="54"/>
        <v>110</v>
      </c>
      <c r="N29" s="5">
        <f t="shared" si="24"/>
        <v>66</v>
      </c>
      <c r="O29" s="3">
        <f t="shared" si="44"/>
        <v>82</v>
      </c>
      <c r="P29" s="5">
        <f t="shared" si="45"/>
        <v>-16</v>
      </c>
      <c r="Q29" s="5">
        <f t="shared" si="46"/>
        <v>24.166666666627862</v>
      </c>
      <c r="R29" s="7">
        <f t="shared" si="28"/>
        <v>400</v>
      </c>
      <c r="S29" s="6">
        <f t="shared" si="47"/>
        <v>278</v>
      </c>
      <c r="T29" s="7">
        <f t="shared" si="48"/>
        <v>122</v>
      </c>
      <c r="U29" s="7">
        <f t="shared" si="49"/>
        <v>858</v>
      </c>
      <c r="V29" s="6">
        <f t="shared" si="49"/>
        <v>807</v>
      </c>
      <c r="W29" s="7">
        <f t="shared" si="50"/>
        <v>51</v>
      </c>
      <c r="X29" s="7">
        <f t="shared" si="51"/>
        <v>5200</v>
      </c>
      <c r="Y29" s="7">
        <f t="shared" si="51"/>
        <v>3450</v>
      </c>
      <c r="Z29" s="7">
        <f t="shared" si="52"/>
        <v>1750</v>
      </c>
      <c r="AA29" s="24">
        <f t="shared" si="53"/>
        <v>0.92985429846765255</v>
      </c>
      <c r="AB29" s="1"/>
    </row>
    <row r="30" spans="2:28" ht="18" x14ac:dyDescent="0.25">
      <c r="B30" s="3">
        <v>12</v>
      </c>
      <c r="C30" s="3">
        <f>C31+79</f>
        <v>248126</v>
      </c>
      <c r="D30" s="3">
        <f>D31+122</f>
        <v>496257</v>
      </c>
      <c r="E30" s="3">
        <f>E31+80</f>
        <v>164359</v>
      </c>
      <c r="F30" s="8">
        <f t="shared" si="39"/>
        <v>908742</v>
      </c>
      <c r="G30" s="22">
        <f t="shared" si="40"/>
        <v>908548.8125</v>
      </c>
      <c r="H30" s="7">
        <f t="shared" si="41"/>
        <v>908574.22916666663</v>
      </c>
      <c r="I30" s="3">
        <f>I31+102</f>
        <v>291393</v>
      </c>
      <c r="J30" s="6">
        <f t="shared" si="43"/>
        <v>79</v>
      </c>
      <c r="K30" s="6">
        <f t="shared" si="43"/>
        <v>122</v>
      </c>
      <c r="L30" s="6">
        <f t="shared" si="43"/>
        <v>80</v>
      </c>
      <c r="M30" s="6">
        <f t="shared" si="54"/>
        <v>102</v>
      </c>
      <c r="N30" s="5">
        <f t="shared" si="24"/>
        <v>66</v>
      </c>
      <c r="O30" s="3">
        <f t="shared" si="44"/>
        <v>80</v>
      </c>
      <c r="P30" s="5">
        <f t="shared" si="45"/>
        <v>-14</v>
      </c>
      <c r="Q30" s="5">
        <f t="shared" si="46"/>
        <v>25.416666666627862</v>
      </c>
      <c r="R30" s="7">
        <f t="shared" si="28"/>
        <v>400</v>
      </c>
      <c r="S30" s="6">
        <f t="shared" si="47"/>
        <v>281</v>
      </c>
      <c r="T30" s="7">
        <f t="shared" si="48"/>
        <v>119</v>
      </c>
      <c r="U30" s="7">
        <f t="shared" si="49"/>
        <v>792</v>
      </c>
      <c r="V30" s="6">
        <f t="shared" si="49"/>
        <v>725</v>
      </c>
      <c r="W30" s="7">
        <f t="shared" si="50"/>
        <v>67</v>
      </c>
      <c r="X30" s="7">
        <f t="shared" si="51"/>
        <v>4800</v>
      </c>
      <c r="Y30" s="7">
        <f t="shared" si="51"/>
        <v>3172</v>
      </c>
      <c r="Z30" s="7">
        <f t="shared" si="52"/>
        <v>1628</v>
      </c>
      <c r="AA30" s="24">
        <f t="shared" si="53"/>
        <v>0.9399886074942555</v>
      </c>
      <c r="AB30" s="1"/>
    </row>
    <row r="31" spans="2:28" ht="18" x14ac:dyDescent="0.25">
      <c r="B31" s="3">
        <v>11</v>
      </c>
      <c r="C31" s="3">
        <f>C32+75</f>
        <v>248047</v>
      </c>
      <c r="D31" s="3">
        <f>D32+120</f>
        <v>496135</v>
      </c>
      <c r="E31" s="3">
        <f>E32+71</f>
        <v>164279</v>
      </c>
      <c r="F31" s="8">
        <f t="shared" si="39"/>
        <v>908461</v>
      </c>
      <c r="G31" s="22">
        <f t="shared" si="40"/>
        <v>908278.125</v>
      </c>
      <c r="H31" s="7">
        <f t="shared" si="41"/>
        <v>908303.125</v>
      </c>
      <c r="I31" s="3">
        <f>I32+103</f>
        <v>291291</v>
      </c>
      <c r="J31" s="6">
        <f t="shared" si="43"/>
        <v>75</v>
      </c>
      <c r="K31" s="6">
        <f t="shared" si="43"/>
        <v>120</v>
      </c>
      <c r="L31" s="6">
        <f t="shared" si="43"/>
        <v>71</v>
      </c>
      <c r="M31" s="6">
        <f t="shared" si="54"/>
        <v>103</v>
      </c>
      <c r="N31" s="5">
        <f t="shared" si="24"/>
        <v>66</v>
      </c>
      <c r="O31" s="3">
        <f t="shared" si="44"/>
        <v>71</v>
      </c>
      <c r="P31" s="5">
        <f t="shared" si="45"/>
        <v>-5</v>
      </c>
      <c r="Q31" s="5">
        <f t="shared" si="46"/>
        <v>25</v>
      </c>
      <c r="R31" s="7">
        <f t="shared" si="28"/>
        <v>400</v>
      </c>
      <c r="S31" s="6">
        <f t="shared" si="47"/>
        <v>266</v>
      </c>
      <c r="T31" s="7">
        <f t="shared" si="48"/>
        <v>134</v>
      </c>
      <c r="U31" s="7">
        <f t="shared" si="49"/>
        <v>726</v>
      </c>
      <c r="V31" s="6">
        <f t="shared" si="49"/>
        <v>645</v>
      </c>
      <c r="W31" s="7">
        <f t="shared" si="50"/>
        <v>81</v>
      </c>
      <c r="X31" s="7">
        <f t="shared" si="51"/>
        <v>4400</v>
      </c>
      <c r="Y31" s="7">
        <f t="shared" si="51"/>
        <v>2891</v>
      </c>
      <c r="Z31" s="7">
        <f t="shared" si="52"/>
        <v>1509</v>
      </c>
      <c r="AA31" s="24">
        <f t="shared" si="53"/>
        <v>0.93253002157336651</v>
      </c>
      <c r="AB31" s="1"/>
    </row>
    <row r="32" spans="2:28" ht="18" x14ac:dyDescent="0.25">
      <c r="B32" s="3">
        <v>10</v>
      </c>
      <c r="C32" s="3">
        <f>C33+70</f>
        <v>247972</v>
      </c>
      <c r="D32" s="3">
        <f>D33+117</f>
        <v>496015</v>
      </c>
      <c r="E32" s="3">
        <f>E33+77</f>
        <v>164208</v>
      </c>
      <c r="F32" s="8">
        <f t="shared" si="39"/>
        <v>908195</v>
      </c>
      <c r="G32" s="22">
        <f t="shared" si="40"/>
        <v>908013.5</v>
      </c>
      <c r="H32" s="7">
        <f t="shared" si="41"/>
        <v>908037.875</v>
      </c>
      <c r="I32" s="3">
        <f>I33+92</f>
        <v>291188</v>
      </c>
      <c r="J32" s="6">
        <f t="shared" si="43"/>
        <v>70</v>
      </c>
      <c r="K32" s="6">
        <f t="shared" si="43"/>
        <v>117</v>
      </c>
      <c r="L32" s="6">
        <f t="shared" si="43"/>
        <v>77</v>
      </c>
      <c r="M32" s="6">
        <f t="shared" si="54"/>
        <v>92</v>
      </c>
      <c r="N32" s="5">
        <f t="shared" si="24"/>
        <v>66</v>
      </c>
      <c r="O32" s="3">
        <f t="shared" si="44"/>
        <v>77</v>
      </c>
      <c r="P32" s="5">
        <f t="shared" si="45"/>
        <v>-11</v>
      </c>
      <c r="Q32" s="5">
        <f t="shared" si="46"/>
        <v>24.375</v>
      </c>
      <c r="R32" s="7">
        <f t="shared" si="28"/>
        <v>400</v>
      </c>
      <c r="S32" s="6">
        <f t="shared" si="47"/>
        <v>264</v>
      </c>
      <c r="T32" s="7">
        <f t="shared" si="48"/>
        <v>136</v>
      </c>
      <c r="U32" s="7">
        <f t="shared" si="49"/>
        <v>660</v>
      </c>
      <c r="V32" s="6">
        <f t="shared" si="49"/>
        <v>574</v>
      </c>
      <c r="W32" s="7">
        <f t="shared" si="50"/>
        <v>86</v>
      </c>
      <c r="X32" s="7">
        <f t="shared" si="51"/>
        <v>4000</v>
      </c>
      <c r="Y32" s="7">
        <f t="shared" si="51"/>
        <v>2625</v>
      </c>
      <c r="Z32" s="7">
        <f t="shared" si="52"/>
        <v>1375</v>
      </c>
      <c r="AA32" s="24">
        <f t="shared" si="53"/>
        <v>0.94430361337189972</v>
      </c>
      <c r="AB32" s="1"/>
    </row>
    <row r="33" spans="2:28" ht="18" x14ac:dyDescent="0.25">
      <c r="B33" s="3">
        <v>9</v>
      </c>
      <c r="C33" s="3">
        <f>C34+68</f>
        <v>247902</v>
      </c>
      <c r="D33" s="3">
        <f>D34+129</f>
        <v>495898</v>
      </c>
      <c r="E33" s="3">
        <f>E34+73</f>
        <v>164131</v>
      </c>
      <c r="F33" s="8">
        <f t="shared" si="39"/>
        <v>907931</v>
      </c>
      <c r="G33" s="22">
        <f t="shared" si="40"/>
        <v>907745.375</v>
      </c>
      <c r="H33" s="7">
        <f t="shared" si="41"/>
        <v>907772.25</v>
      </c>
      <c r="I33" s="3">
        <f>I34+73</f>
        <v>291096</v>
      </c>
      <c r="J33" s="6">
        <f t="shared" si="43"/>
        <v>68</v>
      </c>
      <c r="K33" s="6">
        <f t="shared" si="43"/>
        <v>129</v>
      </c>
      <c r="L33" s="6">
        <f t="shared" si="43"/>
        <v>73</v>
      </c>
      <c r="M33" s="6">
        <f t="shared" si="54"/>
        <v>73</v>
      </c>
      <c r="N33" s="5">
        <f t="shared" si="24"/>
        <v>66</v>
      </c>
      <c r="O33" s="3">
        <f t="shared" si="44"/>
        <v>73</v>
      </c>
      <c r="P33" s="5">
        <f t="shared" si="45"/>
        <v>-7</v>
      </c>
      <c r="Q33" s="5">
        <f t="shared" si="46"/>
        <v>26.875</v>
      </c>
      <c r="R33" s="7">
        <f t="shared" si="28"/>
        <v>400</v>
      </c>
      <c r="S33" s="6">
        <f t="shared" si="47"/>
        <v>270</v>
      </c>
      <c r="T33" s="7">
        <f t="shared" si="48"/>
        <v>130</v>
      </c>
      <c r="U33" s="7">
        <f t="shared" si="49"/>
        <v>594</v>
      </c>
      <c r="V33" s="6">
        <f t="shared" si="49"/>
        <v>497</v>
      </c>
      <c r="W33" s="7">
        <f t="shared" si="50"/>
        <v>97</v>
      </c>
      <c r="X33" s="7">
        <f t="shared" si="51"/>
        <v>3600</v>
      </c>
      <c r="Y33" s="7">
        <f t="shared" si="51"/>
        <v>2361</v>
      </c>
      <c r="Z33" s="7">
        <f t="shared" si="52"/>
        <v>1239</v>
      </c>
      <c r="AA33" s="24">
        <f t="shared" si="53"/>
        <v>0.96533905029969491</v>
      </c>
      <c r="AB33" s="1"/>
    </row>
    <row r="34" spans="2:28" ht="18" x14ac:dyDescent="0.25">
      <c r="B34" s="3">
        <v>8</v>
      </c>
      <c r="C34" s="3">
        <f>C35+73</f>
        <v>247834</v>
      </c>
      <c r="D34" s="3">
        <f t="shared" ref="D34" si="55">D35+126</f>
        <v>495769</v>
      </c>
      <c r="E34" s="3">
        <f t="shared" ref="E34" si="56">E35+54</f>
        <v>164058</v>
      </c>
      <c r="F34" s="8">
        <f t="shared" si="39"/>
        <v>907661</v>
      </c>
      <c r="G34" s="22">
        <f t="shared" si="40"/>
        <v>907487.0625</v>
      </c>
      <c r="H34" s="7">
        <f t="shared" si="41"/>
        <v>907513.3125</v>
      </c>
      <c r="I34" s="3">
        <f>I35+75</f>
        <v>291023</v>
      </c>
      <c r="J34" s="6">
        <f t="shared" si="43"/>
        <v>73</v>
      </c>
      <c r="K34" s="6">
        <f t="shared" si="43"/>
        <v>126</v>
      </c>
      <c r="L34" s="6">
        <f t="shared" si="43"/>
        <v>54</v>
      </c>
      <c r="M34" s="6">
        <f t="shared" si="54"/>
        <v>75</v>
      </c>
      <c r="N34" s="5">
        <f t="shared" si="24"/>
        <v>66</v>
      </c>
      <c r="O34" s="3">
        <f t="shared" si="44"/>
        <v>54</v>
      </c>
      <c r="P34" s="5">
        <f t="shared" si="45"/>
        <v>12</v>
      </c>
      <c r="Q34" s="5">
        <f t="shared" si="46"/>
        <v>26.25</v>
      </c>
      <c r="R34" s="7">
        <f t="shared" si="28"/>
        <v>400</v>
      </c>
      <c r="S34" s="6">
        <f t="shared" si="47"/>
        <v>253</v>
      </c>
      <c r="T34" s="7">
        <f t="shared" si="48"/>
        <v>147</v>
      </c>
      <c r="U34" s="7">
        <f t="shared" si="49"/>
        <v>528</v>
      </c>
      <c r="V34" s="6">
        <f t="shared" si="49"/>
        <v>424</v>
      </c>
      <c r="W34" s="7">
        <f t="shared" si="50"/>
        <v>104</v>
      </c>
      <c r="X34" s="7">
        <f t="shared" si="51"/>
        <v>3200</v>
      </c>
      <c r="Y34" s="7">
        <f t="shared" si="51"/>
        <v>2091</v>
      </c>
      <c r="Z34" s="7">
        <f t="shared" si="52"/>
        <v>1109</v>
      </c>
      <c r="AA34" s="24">
        <f t="shared" si="53"/>
        <v>0.95875987386563177</v>
      </c>
      <c r="AB34" s="1"/>
    </row>
    <row r="35" spans="2:28" ht="18" x14ac:dyDescent="0.25">
      <c r="B35" s="3">
        <v>7</v>
      </c>
      <c r="C35" s="3">
        <f>C36+62</f>
        <v>247761</v>
      </c>
      <c r="D35" s="3">
        <f>D36+156</f>
        <v>495643</v>
      </c>
      <c r="E35" s="3">
        <f>E36+54</f>
        <v>164004</v>
      </c>
      <c r="F35" s="8">
        <f t="shared" si="39"/>
        <v>907408</v>
      </c>
      <c r="G35" s="22">
        <f t="shared" si="40"/>
        <v>907221</v>
      </c>
      <c r="H35" s="7">
        <f t="shared" si="41"/>
        <v>907253.5</v>
      </c>
      <c r="I35" s="3">
        <f>I36+77</f>
        <v>290948</v>
      </c>
      <c r="J35" s="6">
        <f t="shared" si="43"/>
        <v>62</v>
      </c>
      <c r="K35" s="6">
        <f t="shared" si="43"/>
        <v>156</v>
      </c>
      <c r="L35" s="6">
        <f t="shared" si="43"/>
        <v>54</v>
      </c>
      <c r="M35" s="6">
        <f t="shared" si="54"/>
        <v>77</v>
      </c>
      <c r="N35" s="5">
        <f t="shared" si="24"/>
        <v>66</v>
      </c>
      <c r="O35" s="3">
        <f t="shared" si="44"/>
        <v>54</v>
      </c>
      <c r="P35" s="5">
        <f t="shared" si="45"/>
        <v>12</v>
      </c>
      <c r="Q35" s="5">
        <f t="shared" si="46"/>
        <v>32.5</v>
      </c>
      <c r="R35" s="7">
        <f t="shared" si="28"/>
        <v>400</v>
      </c>
      <c r="S35" s="6">
        <f t="shared" si="47"/>
        <v>272</v>
      </c>
      <c r="T35" s="7">
        <f t="shared" si="48"/>
        <v>128</v>
      </c>
      <c r="U35" s="7">
        <f t="shared" si="49"/>
        <v>462</v>
      </c>
      <c r="V35" s="6">
        <f t="shared" si="49"/>
        <v>370</v>
      </c>
      <c r="W35" s="7">
        <f t="shared" si="50"/>
        <v>92</v>
      </c>
      <c r="X35" s="7">
        <f t="shared" si="51"/>
        <v>2800</v>
      </c>
      <c r="Y35" s="7">
        <f t="shared" si="51"/>
        <v>1838</v>
      </c>
      <c r="Z35" s="7">
        <f t="shared" si="52"/>
        <v>962</v>
      </c>
      <c r="AA35" s="24">
        <f t="shared" si="53"/>
        <v>0.96218855476004073</v>
      </c>
      <c r="AB35" s="1"/>
    </row>
    <row r="36" spans="2:28" ht="18" x14ac:dyDescent="0.25">
      <c r="B36" s="3">
        <v>6</v>
      </c>
      <c r="C36" s="3">
        <v>247699</v>
      </c>
      <c r="D36" s="3">
        <v>495487</v>
      </c>
      <c r="E36" s="3">
        <v>163950</v>
      </c>
      <c r="F36" s="8">
        <f t="shared" si="39"/>
        <v>907136</v>
      </c>
      <c r="G36" s="22">
        <f t="shared" si="40"/>
        <v>906879.5625</v>
      </c>
      <c r="H36" s="7">
        <f t="shared" si="41"/>
        <v>906935.1875</v>
      </c>
      <c r="I36" s="3">
        <v>290871</v>
      </c>
      <c r="J36" s="6">
        <f t="shared" si="43"/>
        <v>56</v>
      </c>
      <c r="K36" s="6">
        <f t="shared" si="43"/>
        <v>267</v>
      </c>
      <c r="L36" s="6">
        <f t="shared" si="43"/>
        <v>50</v>
      </c>
      <c r="M36" s="6">
        <f t="shared" si="54"/>
        <v>74</v>
      </c>
      <c r="N36" s="5">
        <f t="shared" si="24"/>
        <v>66</v>
      </c>
      <c r="O36" s="3">
        <f t="shared" si="44"/>
        <v>50</v>
      </c>
      <c r="P36" s="5">
        <f t="shared" si="45"/>
        <v>16</v>
      </c>
      <c r="Q36" s="5">
        <f t="shared" si="46"/>
        <v>55.625</v>
      </c>
      <c r="R36" s="7">
        <f t="shared" si="28"/>
        <v>400</v>
      </c>
      <c r="S36" s="6">
        <f t="shared" si="47"/>
        <v>373</v>
      </c>
      <c r="T36" s="7">
        <f t="shared" si="48"/>
        <v>27</v>
      </c>
      <c r="U36" s="7">
        <f t="shared" si="49"/>
        <v>396</v>
      </c>
      <c r="V36" s="6">
        <f t="shared" si="49"/>
        <v>316</v>
      </c>
      <c r="W36" s="7">
        <f t="shared" si="50"/>
        <v>80</v>
      </c>
      <c r="X36" s="7">
        <f t="shared" si="51"/>
        <v>2400</v>
      </c>
      <c r="Y36" s="7">
        <f t="shared" si="51"/>
        <v>1566</v>
      </c>
      <c r="Z36" s="7">
        <f t="shared" si="52"/>
        <v>834</v>
      </c>
      <c r="AA36" s="24">
        <f t="shared" si="53"/>
        <v>0.98088293045598207</v>
      </c>
      <c r="AB36" s="1"/>
    </row>
    <row r="37" spans="2:28" ht="18" x14ac:dyDescent="0.25">
      <c r="B37" s="3">
        <v>5</v>
      </c>
      <c r="C37" s="3">
        <f>C38+81</f>
        <v>247643</v>
      </c>
      <c r="D37" s="3">
        <f>D38+154</f>
        <v>495220</v>
      </c>
      <c r="E37" s="3">
        <f>E38+60</f>
        <v>163900</v>
      </c>
      <c r="F37" s="8">
        <f t="shared" si="39"/>
        <v>906763</v>
      </c>
      <c r="G37" s="22">
        <f t="shared" si="40"/>
        <v>906560.1875</v>
      </c>
      <c r="H37" s="7">
        <f t="shared" si="41"/>
        <v>906592.27083333337</v>
      </c>
      <c r="I37" s="3">
        <f>I38+63</f>
        <v>290797</v>
      </c>
      <c r="J37" s="6">
        <f t="shared" si="43"/>
        <v>81</v>
      </c>
      <c r="K37" s="6">
        <f t="shared" si="43"/>
        <v>154</v>
      </c>
      <c r="L37" s="6">
        <f t="shared" si="43"/>
        <v>60</v>
      </c>
      <c r="M37" s="6">
        <f t="shared" si="54"/>
        <v>63</v>
      </c>
      <c r="N37" s="5">
        <f t="shared" si="24"/>
        <v>66</v>
      </c>
      <c r="O37" s="3">
        <f t="shared" si="44"/>
        <v>60</v>
      </c>
      <c r="P37" s="5">
        <f t="shared" si="45"/>
        <v>6</v>
      </c>
      <c r="Q37" s="5">
        <f t="shared" si="46"/>
        <v>32.083333333372138</v>
      </c>
      <c r="R37" s="7">
        <f t="shared" si="28"/>
        <v>400</v>
      </c>
      <c r="S37" s="6">
        <f t="shared" si="47"/>
        <v>295</v>
      </c>
      <c r="T37" s="7">
        <f t="shared" si="48"/>
        <v>105</v>
      </c>
      <c r="U37" s="7">
        <f t="shared" si="49"/>
        <v>330</v>
      </c>
      <c r="V37" s="6">
        <f t="shared" si="49"/>
        <v>266</v>
      </c>
      <c r="W37" s="7">
        <f t="shared" si="50"/>
        <v>64</v>
      </c>
      <c r="X37" s="7">
        <f t="shared" si="51"/>
        <v>2000</v>
      </c>
      <c r="Y37" s="7">
        <f t="shared" si="51"/>
        <v>1193</v>
      </c>
      <c r="Z37" s="7">
        <f t="shared" si="52"/>
        <v>807</v>
      </c>
      <c r="AA37" s="24">
        <f t="shared" si="53"/>
        <v>0.97794771816051018</v>
      </c>
      <c r="AB37" s="1"/>
    </row>
    <row r="38" spans="2:28" ht="18" x14ac:dyDescent="0.25">
      <c r="B38" s="3">
        <v>4</v>
      </c>
      <c r="C38" s="3">
        <v>247562</v>
      </c>
      <c r="D38" s="3">
        <v>495066</v>
      </c>
      <c r="E38" s="3">
        <v>163840</v>
      </c>
      <c r="F38" s="8">
        <f t="shared" si="39"/>
        <v>906468</v>
      </c>
      <c r="G38" s="22">
        <f t="shared" si="40"/>
        <v>906308.5</v>
      </c>
      <c r="H38" s="7">
        <f t="shared" si="41"/>
        <v>906329.95833333337</v>
      </c>
      <c r="I38" s="3">
        <v>290734</v>
      </c>
      <c r="J38" s="6">
        <f t="shared" si="43"/>
        <v>73</v>
      </c>
      <c r="K38" s="6">
        <f t="shared" si="43"/>
        <v>103</v>
      </c>
      <c r="L38" s="6">
        <f t="shared" si="43"/>
        <v>56</v>
      </c>
      <c r="M38" s="6">
        <f t="shared" si="54"/>
        <v>50</v>
      </c>
      <c r="N38" s="5">
        <f t="shared" si="24"/>
        <v>66</v>
      </c>
      <c r="O38" s="3">
        <f t="shared" si="44"/>
        <v>56</v>
      </c>
      <c r="P38" s="5">
        <f t="shared" si="45"/>
        <v>10</v>
      </c>
      <c r="Q38" s="5">
        <f t="shared" si="46"/>
        <v>21.458333333372138</v>
      </c>
      <c r="R38" s="7">
        <f t="shared" si="28"/>
        <v>400</v>
      </c>
      <c r="S38" s="6">
        <f t="shared" si="47"/>
        <v>232</v>
      </c>
      <c r="T38" s="7">
        <f t="shared" si="48"/>
        <v>168</v>
      </c>
      <c r="U38" s="7">
        <f t="shared" si="49"/>
        <v>264</v>
      </c>
      <c r="V38" s="6">
        <f t="shared" si="49"/>
        <v>206</v>
      </c>
      <c r="W38" s="7">
        <f t="shared" si="50"/>
        <v>58</v>
      </c>
      <c r="X38" s="7">
        <f t="shared" si="51"/>
        <v>1600</v>
      </c>
      <c r="Y38" s="7">
        <f t="shared" si="51"/>
        <v>898</v>
      </c>
      <c r="Z38" s="7">
        <f t="shared" si="52"/>
        <v>702</v>
      </c>
      <c r="AA38" s="24">
        <f t="shared" si="53"/>
        <v>0.97755508687389092</v>
      </c>
      <c r="AB38" s="1"/>
    </row>
    <row r="39" spans="2:28" ht="18" x14ac:dyDescent="0.25">
      <c r="B39" s="3">
        <v>3</v>
      </c>
      <c r="C39" s="5">
        <f>C40+69</f>
        <v>247489</v>
      </c>
      <c r="D39" s="5">
        <f>D40+101</f>
        <v>494963</v>
      </c>
      <c r="E39" s="5">
        <f>E40+52</f>
        <v>163784</v>
      </c>
      <c r="F39" s="8">
        <f t="shared" si="39"/>
        <v>906236</v>
      </c>
      <c r="G39" s="22">
        <f t="shared" si="40"/>
        <v>906083.375</v>
      </c>
      <c r="H39" s="7">
        <f t="shared" si="41"/>
        <v>906104.41666666663</v>
      </c>
      <c r="I39" s="5">
        <f>I40+48</f>
        <v>290684</v>
      </c>
      <c r="J39" s="6">
        <f t="shared" si="43"/>
        <v>69</v>
      </c>
      <c r="K39" s="6">
        <f t="shared" si="43"/>
        <v>101</v>
      </c>
      <c r="L39" s="6">
        <f t="shared" si="43"/>
        <v>52</v>
      </c>
      <c r="M39" s="6">
        <f t="shared" si="54"/>
        <v>48</v>
      </c>
      <c r="N39" s="5">
        <f t="shared" si="24"/>
        <v>66</v>
      </c>
      <c r="O39" s="3">
        <f t="shared" si="44"/>
        <v>52</v>
      </c>
      <c r="P39" s="5">
        <f t="shared" si="45"/>
        <v>14</v>
      </c>
      <c r="Q39" s="5">
        <f t="shared" si="46"/>
        <v>21.041666666627862</v>
      </c>
      <c r="R39" s="7">
        <f t="shared" si="28"/>
        <v>400</v>
      </c>
      <c r="S39" s="6">
        <f t="shared" si="47"/>
        <v>222</v>
      </c>
      <c r="T39" s="7">
        <f t="shared" si="48"/>
        <v>178</v>
      </c>
      <c r="U39" s="7">
        <f t="shared" si="49"/>
        <v>198</v>
      </c>
      <c r="V39" s="6">
        <f t="shared" si="49"/>
        <v>150</v>
      </c>
      <c r="W39" s="7">
        <f t="shared" si="50"/>
        <v>48</v>
      </c>
      <c r="X39" s="7">
        <f t="shared" si="51"/>
        <v>1200</v>
      </c>
      <c r="Y39" s="7">
        <f t="shared" si="51"/>
        <v>666</v>
      </c>
      <c r="Z39" s="7">
        <f t="shared" si="52"/>
        <v>534</v>
      </c>
      <c r="AA39" s="24">
        <f t="shared" si="53"/>
        <v>0.97741416543986726</v>
      </c>
      <c r="AB39" s="1"/>
    </row>
    <row r="40" spans="2:28" ht="18" x14ac:dyDescent="0.25">
      <c r="B40" s="3">
        <v>2</v>
      </c>
      <c r="C40" s="5">
        <f>C41+70</f>
        <v>247420</v>
      </c>
      <c r="D40" s="5">
        <f>D41+100</f>
        <v>494862</v>
      </c>
      <c r="E40" s="5">
        <f>E41+48</f>
        <v>163732</v>
      </c>
      <c r="F40" s="8">
        <f t="shared" si="39"/>
        <v>906014</v>
      </c>
      <c r="G40" s="22">
        <f t="shared" si="40"/>
        <v>905864.125</v>
      </c>
      <c r="H40" s="7">
        <f t="shared" si="41"/>
        <v>905884.95833333337</v>
      </c>
      <c r="I40" s="5">
        <f>I41+53</f>
        <v>290636</v>
      </c>
      <c r="J40" s="6">
        <f t="shared" si="43"/>
        <v>70</v>
      </c>
      <c r="K40" s="6">
        <f t="shared" si="43"/>
        <v>100</v>
      </c>
      <c r="L40" s="6">
        <f t="shared" si="43"/>
        <v>48</v>
      </c>
      <c r="M40" s="6">
        <f t="shared" si="54"/>
        <v>53</v>
      </c>
      <c r="N40" s="5">
        <f t="shared" si="24"/>
        <v>66</v>
      </c>
      <c r="O40" s="3">
        <f t="shared" si="44"/>
        <v>48</v>
      </c>
      <c r="P40" s="5">
        <f t="shared" si="45"/>
        <v>18</v>
      </c>
      <c r="Q40" s="5">
        <f t="shared" si="46"/>
        <v>20.833333333372138</v>
      </c>
      <c r="R40" s="7">
        <f>R41</f>
        <v>400</v>
      </c>
      <c r="S40" s="6">
        <f t="shared" si="47"/>
        <v>218</v>
      </c>
      <c r="T40" s="7">
        <f t="shared" si="48"/>
        <v>182</v>
      </c>
      <c r="U40" s="7">
        <f t="shared" si="49"/>
        <v>132</v>
      </c>
      <c r="V40" s="6">
        <f t="shared" si="49"/>
        <v>98</v>
      </c>
      <c r="W40" s="7">
        <f t="shared" si="50"/>
        <v>34</v>
      </c>
      <c r="X40" s="7">
        <f t="shared" si="51"/>
        <v>800</v>
      </c>
      <c r="Y40" s="7">
        <f t="shared" si="51"/>
        <v>444</v>
      </c>
      <c r="Z40" s="7">
        <f t="shared" si="52"/>
        <v>356</v>
      </c>
      <c r="AA40" s="24">
        <f t="shared" si="53"/>
        <v>0.97169526261510186</v>
      </c>
      <c r="AB40" s="1"/>
    </row>
    <row r="41" spans="2:28" ht="18.75" thickBot="1" x14ac:dyDescent="0.3">
      <c r="B41" s="3">
        <v>1</v>
      </c>
      <c r="C41" s="5">
        <f>C42+72</f>
        <v>247350</v>
      </c>
      <c r="D41" s="5">
        <f>D42+104</f>
        <v>494762</v>
      </c>
      <c r="E41" s="5">
        <f>E42+50</f>
        <v>163684</v>
      </c>
      <c r="F41" s="8">
        <f>C41+D41+E41</f>
        <v>905796</v>
      </c>
      <c r="G41" s="22">
        <f>(C42+D42+E42)+((S41/24)*7.5)</f>
        <v>905640.625</v>
      </c>
      <c r="H41" s="7">
        <f>G41+((K41/12)*2.5)</f>
        <v>905662.29166666663</v>
      </c>
      <c r="I41" s="5">
        <f>I42+45</f>
        <v>290583</v>
      </c>
      <c r="J41" s="6">
        <f t="shared" si="43"/>
        <v>72</v>
      </c>
      <c r="K41" s="6">
        <f t="shared" si="43"/>
        <v>104</v>
      </c>
      <c r="L41" s="6">
        <f t="shared" si="43"/>
        <v>50</v>
      </c>
      <c r="M41" s="6">
        <f t="shared" si="54"/>
        <v>45</v>
      </c>
      <c r="N41" s="43">
        <f>O6/30</f>
        <v>66</v>
      </c>
      <c r="O41" s="3">
        <f t="shared" si="44"/>
        <v>50</v>
      </c>
      <c r="P41" s="5">
        <f t="shared" si="45"/>
        <v>16</v>
      </c>
      <c r="Q41" s="5">
        <f t="shared" si="46"/>
        <v>21.666666666627862</v>
      </c>
      <c r="R41" s="45">
        <f>S6/30</f>
        <v>400</v>
      </c>
      <c r="S41" s="6">
        <f t="shared" si="47"/>
        <v>226</v>
      </c>
      <c r="T41" s="7">
        <f t="shared" si="48"/>
        <v>174</v>
      </c>
      <c r="U41" s="7">
        <f>N41</f>
        <v>66</v>
      </c>
      <c r="V41" s="6">
        <f>O41</f>
        <v>50</v>
      </c>
      <c r="W41" s="7">
        <f t="shared" si="50"/>
        <v>16</v>
      </c>
      <c r="X41" s="7">
        <f>R41</f>
        <v>400</v>
      </c>
      <c r="Y41" s="7">
        <f>S41</f>
        <v>226</v>
      </c>
      <c r="Z41" s="7">
        <f t="shared" si="52"/>
        <v>174</v>
      </c>
      <c r="AA41" s="74">
        <f t="shared" si="53"/>
        <v>0.9807472278577013</v>
      </c>
      <c r="AB41" s="1"/>
    </row>
    <row r="42" spans="2:28" ht="54.75" thickBot="1" x14ac:dyDescent="0.3">
      <c r="B42" s="33" t="s">
        <v>13</v>
      </c>
      <c r="C42" s="3">
        <v>247278</v>
      </c>
      <c r="D42" s="3">
        <v>494658</v>
      </c>
      <c r="E42" s="3">
        <v>163634</v>
      </c>
      <c r="F42" s="8">
        <v>905570</v>
      </c>
      <c r="G42" s="9">
        <v>905369.41666666663</v>
      </c>
      <c r="H42" s="9">
        <v>905395.66666666663</v>
      </c>
      <c r="I42" s="3">
        <v>290538</v>
      </c>
      <c r="J42" s="10"/>
      <c r="K42" s="10"/>
      <c r="L42" s="10"/>
      <c r="M42" s="46">
        <f>SUM(M12:M41)</f>
        <v>2210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76">
        <f>AVERAGE(AA11:AA41)</f>
        <v>0.9618965835719081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5.75" customHeight="1" x14ac:dyDescent="0.25">
      <c r="B45" s="48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39"/>
      <c r="R45" s="73"/>
      <c r="S45" s="73"/>
      <c r="T45" s="73"/>
      <c r="U45" s="73"/>
      <c r="V45" s="73"/>
      <c r="W45" s="73"/>
      <c r="X45" s="10"/>
      <c r="Y45" s="10"/>
      <c r="Z45" s="10"/>
      <c r="AA45" s="10"/>
      <c r="AB45" s="39"/>
    </row>
    <row r="51" spans="26:27" ht="18" x14ac:dyDescent="0.25">
      <c r="Z51" s="10" t="s">
        <v>38</v>
      </c>
    </row>
    <row r="52" spans="26:27" ht="18" x14ac:dyDescent="0.25">
      <c r="Z52" s="10" t="s">
        <v>44</v>
      </c>
      <c r="AA52" s="10"/>
    </row>
    <row r="53" spans="26:27" ht="18" x14ac:dyDescent="0.25">
      <c r="Z53" s="10" t="s">
        <v>45</v>
      </c>
      <c r="AA53" s="10"/>
    </row>
    <row r="54" spans="26:27" ht="18" x14ac:dyDescent="0.25">
      <c r="Z54" s="10" t="s">
        <v>12</v>
      </c>
      <c r="AA54" s="10"/>
    </row>
  </sheetData>
  <mergeCells count="15">
    <mergeCell ref="C45:I45"/>
    <mergeCell ref="J45:M45"/>
    <mergeCell ref="N45:P45"/>
    <mergeCell ref="R45:T45"/>
    <mergeCell ref="U45:W45"/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2:AB51"/>
  <sheetViews>
    <sheetView topLeftCell="G1" zoomScale="70" zoomScaleNormal="70" zoomScaleSheetLayoutView="93" workbookViewId="0">
      <pane ySplit="8" topLeftCell="A23" activePane="bottomLeft" state="frozen"/>
      <selection pane="bottomLeft" activeCell="AA42" sqref="AA42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3.85546875" bestFit="1" customWidth="1"/>
    <col min="5" max="5" width="11.42578125" customWidth="1"/>
    <col min="6" max="6" width="12.28515625" customWidth="1"/>
    <col min="7" max="7" width="13.28515625" customWidth="1"/>
    <col min="8" max="8" width="13.5703125" customWidth="1"/>
    <col min="9" max="9" width="12.28515625" bestFit="1" customWidth="1"/>
    <col min="16" max="16" width="13.42578125" bestFit="1" customWidth="1"/>
    <col min="17" max="17" width="13.140625" customWidth="1"/>
    <col min="19" max="19" width="13.710937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45444</v>
      </c>
    </row>
    <row r="5" spans="2:28" x14ac:dyDescent="0.25">
      <c r="C5" s="67" t="s">
        <v>36</v>
      </c>
      <c r="D5" s="67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4455</v>
      </c>
      <c r="P6" s="30" t="s">
        <v>26</v>
      </c>
      <c r="Q6" s="11">
        <f>(S6*8)/100</f>
        <v>2160</v>
      </c>
      <c r="R6" s="13" t="s">
        <v>25</v>
      </c>
      <c r="S6" s="11">
        <v>27000</v>
      </c>
      <c r="T6" s="52" t="s">
        <v>41</v>
      </c>
      <c r="U6" s="52">
        <v>404</v>
      </c>
      <c r="V6" s="51">
        <f>U6/31</f>
        <v>13.03225806451613</v>
      </c>
    </row>
    <row r="7" spans="2:28" ht="46.5" customHeight="1" x14ac:dyDescent="0.25">
      <c r="B7" s="70" t="s">
        <v>24</v>
      </c>
      <c r="C7" s="68"/>
      <c r="D7" s="68"/>
      <c r="E7" s="68"/>
      <c r="F7" s="68"/>
      <c r="G7" s="68"/>
      <c r="H7" s="68"/>
      <c r="I7" s="68"/>
      <c r="J7" s="68" t="s">
        <v>23</v>
      </c>
      <c r="K7" s="68"/>
      <c r="L7" s="68"/>
      <c r="M7" s="68"/>
      <c r="N7" s="68" t="s">
        <v>22</v>
      </c>
      <c r="O7" s="68"/>
      <c r="P7" s="68"/>
      <c r="Q7" s="69" t="s">
        <v>21</v>
      </c>
      <c r="R7" s="68" t="s">
        <v>20</v>
      </c>
      <c r="S7" s="68"/>
      <c r="T7" s="68"/>
      <c r="U7" s="68" t="s">
        <v>10</v>
      </c>
      <c r="V7" s="68"/>
      <c r="W7" s="68"/>
      <c r="X7" s="68" t="s">
        <v>11</v>
      </c>
      <c r="Y7" s="68"/>
      <c r="Z7" s="68"/>
      <c r="AA7" s="68"/>
      <c r="AB7" s="69" t="s">
        <v>8</v>
      </c>
    </row>
    <row r="8" spans="2:28" ht="30" x14ac:dyDescent="0.25">
      <c r="B8" s="70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69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6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5" customFormat="1" ht="18" x14ac:dyDescent="0.25">
      <c r="B11" s="56">
        <v>31</v>
      </c>
      <c r="C11" s="57"/>
      <c r="D11" s="57"/>
      <c r="E11" s="57"/>
      <c r="F11" s="58">
        <f t="shared" ref="F11" si="0">C11+D11+E11</f>
        <v>0</v>
      </c>
      <c r="G11" s="59">
        <f t="shared" ref="G11" si="1">(C12+D12+E12)+((S11/24)*9.5)</f>
        <v>1506633.9791666665</v>
      </c>
      <c r="H11" s="57">
        <f t="shared" ref="H11" si="2">G11+((K11/12)*2.5)</f>
        <v>1223888.1458333333</v>
      </c>
      <c r="I11" s="57"/>
      <c r="J11" s="60">
        <f t="shared" ref="J11:L11" si="3">C11-C12</f>
        <v>-680935</v>
      </c>
      <c r="K11" s="60">
        <f t="shared" si="3"/>
        <v>-1357180</v>
      </c>
      <c r="L11" s="60">
        <f t="shared" si="3"/>
        <v>-455624</v>
      </c>
      <c r="M11" s="60">
        <f t="shared" ref="M11" si="4">I11-I12</f>
        <v>-791627</v>
      </c>
      <c r="N11" s="61">
        <f t="shared" ref="N11" si="5">N12</f>
        <v>148.5</v>
      </c>
      <c r="O11" s="62">
        <f t="shared" ref="O11" si="6">L11</f>
        <v>-455624</v>
      </c>
      <c r="P11" s="61">
        <f t="shared" ref="P11" si="7">N11-O11</f>
        <v>455772.5</v>
      </c>
      <c r="Q11" s="61">
        <f t="shared" ref="Q11" si="8">H11-G11</f>
        <v>-282745.83333333326</v>
      </c>
      <c r="R11" s="57">
        <f t="shared" ref="R11" si="9">R12</f>
        <v>900</v>
      </c>
      <c r="S11" s="60">
        <f t="shared" ref="S11" si="10">J11+K11+L11</f>
        <v>-2493739</v>
      </c>
      <c r="T11" s="57">
        <f t="shared" ref="T11" si="11">R11-S11</f>
        <v>2494639</v>
      </c>
      <c r="U11" s="57">
        <f t="shared" ref="U11:V11" si="12">U12+N11</f>
        <v>4603.5</v>
      </c>
      <c r="V11" s="57">
        <f t="shared" si="12"/>
        <v>-453172</v>
      </c>
      <c r="W11" s="57">
        <f t="shared" ref="W11" si="13">U11-V11</f>
        <v>457775.5</v>
      </c>
      <c r="X11" s="57">
        <f t="shared" ref="X11:Y11" si="14">X12+R11</f>
        <v>27900</v>
      </c>
      <c r="Y11" s="57">
        <f t="shared" si="14"/>
        <v>-2481585</v>
      </c>
      <c r="Z11" s="57">
        <f t="shared" ref="Z11" si="15">X11-Y11</f>
        <v>2509485</v>
      </c>
      <c r="AA11" s="63">
        <f t="shared" ref="AA11" si="16">COS(ATAN(M11/S11))</f>
        <v>0.95312825448765637</v>
      </c>
      <c r="AB11" s="64"/>
    </row>
    <row r="12" spans="2:28" ht="18" x14ac:dyDescent="0.25">
      <c r="B12" s="3">
        <v>30</v>
      </c>
      <c r="C12" s="3">
        <v>680935</v>
      </c>
      <c r="D12" s="3">
        <v>1357180</v>
      </c>
      <c r="E12" s="3">
        <v>455624</v>
      </c>
      <c r="F12" s="8">
        <f t="shared" ref="F12" si="17">C12+D12+E12</f>
        <v>2493739</v>
      </c>
      <c r="G12" s="22">
        <f t="shared" ref="G12" si="18">(C13+D13+E13)+((S12/24)*7.5)</f>
        <v>2493382.1875</v>
      </c>
      <c r="H12" s="7">
        <f t="shared" ref="H12" si="19">G12+((K12/12)*1.5)</f>
        <v>2493416.4375</v>
      </c>
      <c r="I12" s="3">
        <v>791627</v>
      </c>
      <c r="J12" s="6">
        <f t="shared" ref="J12" si="20">C12-C13</f>
        <v>138</v>
      </c>
      <c r="K12" s="6">
        <f t="shared" ref="K12" si="21">D12-D13</f>
        <v>274</v>
      </c>
      <c r="L12" s="6">
        <f t="shared" ref="L12" si="22">E12-E13</f>
        <v>107</v>
      </c>
      <c r="M12" s="6">
        <f t="shared" ref="M12" si="23">I12-I13</f>
        <v>113</v>
      </c>
      <c r="N12" s="5">
        <f t="shared" ref="N12:N40" si="24">N13</f>
        <v>148.5</v>
      </c>
      <c r="O12" s="23">
        <f t="shared" ref="O12" si="25">L12</f>
        <v>107</v>
      </c>
      <c r="P12" s="5">
        <f t="shared" ref="P12" si="26">N12-O12</f>
        <v>41.5</v>
      </c>
      <c r="Q12" s="5">
        <f t="shared" ref="Q12" si="27">H12-G12</f>
        <v>34.25</v>
      </c>
      <c r="R12" s="7">
        <f t="shared" ref="R12:R39" si="28">R13</f>
        <v>900</v>
      </c>
      <c r="S12" s="6">
        <f t="shared" ref="S12" si="29">J12+K12+L12</f>
        <v>519</v>
      </c>
      <c r="T12" s="7">
        <f t="shared" ref="T12" si="30">R12-S12</f>
        <v>381</v>
      </c>
      <c r="U12" s="7">
        <f t="shared" ref="U12" si="31">U13+N12</f>
        <v>4455</v>
      </c>
      <c r="V12" s="7">
        <f t="shared" ref="V12" si="32">V13+O12</f>
        <v>2452</v>
      </c>
      <c r="W12" s="7">
        <f t="shared" ref="W12" si="33">U12-V12</f>
        <v>2003</v>
      </c>
      <c r="X12" s="7">
        <f t="shared" ref="X12" si="34">X13+R12</f>
        <v>27000</v>
      </c>
      <c r="Y12" s="7">
        <f t="shared" ref="Y12" si="35">Y13+S12</f>
        <v>12154</v>
      </c>
      <c r="Z12" s="7">
        <f t="shared" ref="Z12" si="36">X12-Y12</f>
        <v>14846</v>
      </c>
      <c r="AA12" s="24">
        <f t="shared" ref="AA12" si="37">COS(ATAN(M12/S12))</f>
        <v>0.97710834729933183</v>
      </c>
      <c r="AB12" s="25"/>
    </row>
    <row r="13" spans="2:28" ht="18" x14ac:dyDescent="0.25">
      <c r="B13" s="3">
        <v>29</v>
      </c>
      <c r="C13" s="3">
        <f>C14+135</f>
        <v>680797</v>
      </c>
      <c r="D13" s="3">
        <f>D14+271</f>
        <v>1356906</v>
      </c>
      <c r="E13" s="3">
        <f>E14+100</f>
        <v>455517</v>
      </c>
      <c r="F13" s="8">
        <f t="shared" ref="F13:F41" si="38">C13+D13+E13</f>
        <v>2493220</v>
      </c>
      <c r="G13" s="22">
        <f t="shared" ref="G13:G40" si="39">(C14+D14+E14)+((S13/24)*7.5)</f>
        <v>2492872.125</v>
      </c>
      <c r="H13" s="7">
        <f t="shared" ref="H13:H40" si="40">G13+((K13/12)*1.5)</f>
        <v>2492906</v>
      </c>
      <c r="I13" s="3">
        <f>I14+102</f>
        <v>791514</v>
      </c>
      <c r="J13" s="6">
        <f t="shared" ref="J13:L41" si="41">C13-C14</f>
        <v>135</v>
      </c>
      <c r="K13" s="6">
        <f t="shared" si="41"/>
        <v>271</v>
      </c>
      <c r="L13" s="6">
        <f t="shared" si="41"/>
        <v>100</v>
      </c>
      <c r="M13" s="6">
        <f t="shared" ref="M13:M41" si="42">I13-I14</f>
        <v>102</v>
      </c>
      <c r="N13" s="5">
        <f t="shared" si="24"/>
        <v>148.5</v>
      </c>
      <c r="O13" s="23">
        <f t="shared" ref="O13:O41" si="43">L13</f>
        <v>100</v>
      </c>
      <c r="P13" s="5">
        <f t="shared" ref="P13:P41" si="44">N13-O13</f>
        <v>48.5</v>
      </c>
      <c r="Q13" s="5">
        <f t="shared" ref="Q13:Q41" si="45">H13-G13</f>
        <v>33.875</v>
      </c>
      <c r="R13" s="7">
        <f t="shared" si="28"/>
        <v>900</v>
      </c>
      <c r="S13" s="6">
        <f t="shared" ref="S13:S41" si="46">J13+K13+L13</f>
        <v>506</v>
      </c>
      <c r="T13" s="7">
        <f t="shared" ref="T13:T41" si="47">R13-S13</f>
        <v>394</v>
      </c>
      <c r="U13" s="7">
        <f t="shared" ref="U13:V40" si="48">U14+N13</f>
        <v>4306.5</v>
      </c>
      <c r="V13" s="7">
        <f t="shared" si="48"/>
        <v>2345</v>
      </c>
      <c r="W13" s="7">
        <f t="shared" ref="W13:W41" si="49">U13-V13</f>
        <v>1961.5</v>
      </c>
      <c r="X13" s="7">
        <f t="shared" ref="X13:Y40" si="50">X14+R13</f>
        <v>26100</v>
      </c>
      <c r="Y13" s="7">
        <f t="shared" si="50"/>
        <v>11635</v>
      </c>
      <c r="Z13" s="7">
        <f t="shared" ref="Z13:Z41" si="51">X13-Y13</f>
        <v>14465</v>
      </c>
      <c r="AA13" s="24">
        <f t="shared" ref="AA13:AA41" si="52">COS(ATAN(M13/S13))</f>
        <v>0.98028149479508286</v>
      </c>
      <c r="AB13" s="25"/>
    </row>
    <row r="14" spans="2:28" ht="18" x14ac:dyDescent="0.25">
      <c r="B14" s="3">
        <v>28</v>
      </c>
      <c r="C14" s="3">
        <f>C15+128</f>
        <v>680662</v>
      </c>
      <c r="D14" s="3">
        <f>D15+262</f>
        <v>1356635</v>
      </c>
      <c r="E14" s="3">
        <f>E15+106</f>
        <v>455417</v>
      </c>
      <c r="F14" s="8">
        <f t="shared" si="38"/>
        <v>2492714</v>
      </c>
      <c r="G14" s="22">
        <f>(C15+D15+E15)+((S14/24)*7.5)</f>
        <v>2492373</v>
      </c>
      <c r="H14" s="7">
        <f>G14+((K14/12)*1.5)</f>
        <v>2492405.75</v>
      </c>
      <c r="I14" s="3">
        <f>I15+106</f>
        <v>791412</v>
      </c>
      <c r="J14" s="6">
        <f t="shared" ref="J14:K19" si="53">C14-C15</f>
        <v>128</v>
      </c>
      <c r="K14" s="6">
        <f t="shared" si="53"/>
        <v>262</v>
      </c>
      <c r="L14" s="6">
        <f t="shared" si="41"/>
        <v>106</v>
      </c>
      <c r="M14" s="6">
        <f t="shared" si="42"/>
        <v>106</v>
      </c>
      <c r="N14" s="5">
        <f t="shared" si="24"/>
        <v>148.5</v>
      </c>
      <c r="O14" s="23">
        <f t="shared" si="43"/>
        <v>106</v>
      </c>
      <c r="P14" s="5">
        <f t="shared" si="44"/>
        <v>42.5</v>
      </c>
      <c r="Q14" s="5">
        <f t="shared" si="45"/>
        <v>32.75</v>
      </c>
      <c r="R14" s="7">
        <f t="shared" si="28"/>
        <v>900</v>
      </c>
      <c r="S14" s="6">
        <f t="shared" si="46"/>
        <v>496</v>
      </c>
      <c r="T14" s="7">
        <f t="shared" si="47"/>
        <v>404</v>
      </c>
      <c r="U14" s="7">
        <f t="shared" si="48"/>
        <v>4158</v>
      </c>
      <c r="V14" s="7">
        <f t="shared" si="48"/>
        <v>2245</v>
      </c>
      <c r="W14" s="7">
        <f t="shared" si="49"/>
        <v>1913</v>
      </c>
      <c r="X14" s="7">
        <f t="shared" si="50"/>
        <v>25200</v>
      </c>
      <c r="Y14" s="7">
        <f t="shared" si="50"/>
        <v>11129</v>
      </c>
      <c r="Z14" s="7">
        <f t="shared" si="51"/>
        <v>14071</v>
      </c>
      <c r="AA14" s="24">
        <f t="shared" si="52"/>
        <v>0.97791767696043697</v>
      </c>
      <c r="AB14" s="25"/>
    </row>
    <row r="15" spans="2:28" ht="18" x14ac:dyDescent="0.25">
      <c r="B15" s="3">
        <v>27</v>
      </c>
      <c r="C15" s="3">
        <f>C16+130</f>
        <v>680534</v>
      </c>
      <c r="D15" s="3">
        <f>D16+250</f>
        <v>1356373</v>
      </c>
      <c r="E15" s="3">
        <f>E16+100</f>
        <v>455311</v>
      </c>
      <c r="F15" s="8">
        <f t="shared" si="38"/>
        <v>2492218</v>
      </c>
      <c r="G15" s="22">
        <f t="shared" si="39"/>
        <v>2491888</v>
      </c>
      <c r="H15" s="7">
        <f>G15+((K15/12)*1.5)</f>
        <v>2491919.25</v>
      </c>
      <c r="I15" s="3">
        <f t="shared" ref="I15" si="54">I16+108</f>
        <v>791306</v>
      </c>
      <c r="J15" s="6">
        <f t="shared" si="53"/>
        <v>130</v>
      </c>
      <c r="K15" s="6">
        <f t="shared" si="53"/>
        <v>250</v>
      </c>
      <c r="L15" s="6">
        <f t="shared" si="41"/>
        <v>100</v>
      </c>
      <c r="M15" s="6">
        <f t="shared" si="42"/>
        <v>108</v>
      </c>
      <c r="N15" s="5">
        <f t="shared" si="24"/>
        <v>148.5</v>
      </c>
      <c r="O15" s="23">
        <f t="shared" si="43"/>
        <v>100</v>
      </c>
      <c r="P15" s="5">
        <f t="shared" si="44"/>
        <v>48.5</v>
      </c>
      <c r="Q15" s="5">
        <f t="shared" si="45"/>
        <v>31.25</v>
      </c>
      <c r="R15" s="7">
        <f t="shared" si="28"/>
        <v>900</v>
      </c>
      <c r="S15" s="6">
        <f t="shared" si="46"/>
        <v>480</v>
      </c>
      <c r="T15" s="7">
        <f t="shared" si="47"/>
        <v>420</v>
      </c>
      <c r="U15" s="7">
        <f t="shared" si="48"/>
        <v>4009.5</v>
      </c>
      <c r="V15" s="7">
        <f t="shared" si="48"/>
        <v>2139</v>
      </c>
      <c r="W15" s="7">
        <f t="shared" si="49"/>
        <v>1870.5</v>
      </c>
      <c r="X15" s="7">
        <f t="shared" si="50"/>
        <v>24300</v>
      </c>
      <c r="Y15" s="7">
        <f t="shared" si="50"/>
        <v>10633</v>
      </c>
      <c r="Z15" s="7">
        <f t="shared" si="51"/>
        <v>13667</v>
      </c>
      <c r="AA15" s="24">
        <f t="shared" si="52"/>
        <v>0.97560975609756095</v>
      </c>
      <c r="AB15" s="25"/>
    </row>
    <row r="16" spans="2:28" ht="18" x14ac:dyDescent="0.25">
      <c r="B16" s="3">
        <v>26</v>
      </c>
      <c r="C16" s="3">
        <f>C17+137</f>
        <v>680404</v>
      </c>
      <c r="D16" s="3">
        <f>D17+265</f>
        <v>1356123</v>
      </c>
      <c r="E16" s="3">
        <f>E17+103</f>
        <v>455211</v>
      </c>
      <c r="F16" s="9">
        <f>C16+D16+E16</f>
        <v>2491738</v>
      </c>
      <c r="G16" s="22">
        <f t="shared" si="39"/>
        <v>2491390.8125</v>
      </c>
      <c r="H16" s="7">
        <f t="shared" si="40"/>
        <v>2491423.9375</v>
      </c>
      <c r="I16" s="3">
        <f>I17+111</f>
        <v>791198</v>
      </c>
      <c r="J16" s="6">
        <f t="shared" si="53"/>
        <v>137</v>
      </c>
      <c r="K16" s="6">
        <f t="shared" si="53"/>
        <v>265</v>
      </c>
      <c r="L16" s="6">
        <f>E16-E17</f>
        <v>103</v>
      </c>
      <c r="M16" s="6">
        <f>I16-I17</f>
        <v>111</v>
      </c>
      <c r="N16" s="5">
        <f t="shared" si="24"/>
        <v>148.5</v>
      </c>
      <c r="O16" s="3">
        <f>L16</f>
        <v>103</v>
      </c>
      <c r="P16" s="5">
        <f>N16-O16</f>
        <v>45.5</v>
      </c>
      <c r="Q16" s="5">
        <f>H16-G16</f>
        <v>33.125</v>
      </c>
      <c r="R16" s="7">
        <f t="shared" si="28"/>
        <v>900</v>
      </c>
      <c r="S16" s="6">
        <f>J16+K16+L16</f>
        <v>505</v>
      </c>
      <c r="T16" s="7">
        <f>R16-S16</f>
        <v>395</v>
      </c>
      <c r="U16" s="7">
        <f t="shared" ref="U16:V19" si="55">U17+N16</f>
        <v>3861</v>
      </c>
      <c r="V16" s="7">
        <f t="shared" si="55"/>
        <v>2039</v>
      </c>
      <c r="W16" s="7">
        <f>U16-V16</f>
        <v>1822</v>
      </c>
      <c r="X16" s="7">
        <f t="shared" ref="X16:Y19" si="56">X17+R16</f>
        <v>23400</v>
      </c>
      <c r="Y16" s="7">
        <f t="shared" si="56"/>
        <v>10153</v>
      </c>
      <c r="Z16" s="7">
        <f>X16-Y16</f>
        <v>13247</v>
      </c>
      <c r="AA16" s="24">
        <f>COS(ATAN(M16/S16))</f>
        <v>0.97668503365413528</v>
      </c>
      <c r="AB16" s="25"/>
    </row>
    <row r="17" spans="2:28" ht="18" x14ac:dyDescent="0.25">
      <c r="B17" s="3">
        <v>25</v>
      </c>
      <c r="C17" s="3">
        <f>C18+126</f>
        <v>680267</v>
      </c>
      <c r="D17" s="3">
        <f>D18+251</f>
        <v>1355858</v>
      </c>
      <c r="E17" s="3">
        <f>E18+68</f>
        <v>455108</v>
      </c>
      <c r="F17" s="8">
        <f t="shared" si="38"/>
        <v>2491233</v>
      </c>
      <c r="G17" s="22">
        <f t="shared" si="39"/>
        <v>2490927.0625</v>
      </c>
      <c r="H17" s="7">
        <f t="shared" si="40"/>
        <v>2490958.4375</v>
      </c>
      <c r="I17" s="3">
        <f>I18+115</f>
        <v>791087</v>
      </c>
      <c r="J17" s="6">
        <f t="shared" si="53"/>
        <v>126</v>
      </c>
      <c r="K17" s="6">
        <f t="shared" si="53"/>
        <v>251</v>
      </c>
      <c r="L17" s="6">
        <f>E17-E18</f>
        <v>68</v>
      </c>
      <c r="M17" s="6">
        <f>I17-I18</f>
        <v>115</v>
      </c>
      <c r="N17" s="5">
        <f t="shared" si="24"/>
        <v>148.5</v>
      </c>
      <c r="O17" s="3">
        <f>L17</f>
        <v>68</v>
      </c>
      <c r="P17" s="5">
        <f>N17-O17</f>
        <v>80.5</v>
      </c>
      <c r="Q17" s="5">
        <f>H17-G17</f>
        <v>31.375</v>
      </c>
      <c r="R17" s="7">
        <f t="shared" si="28"/>
        <v>900</v>
      </c>
      <c r="S17" s="6">
        <f>J17+K17+L17</f>
        <v>445</v>
      </c>
      <c r="T17" s="7">
        <f>R17-S17</f>
        <v>455</v>
      </c>
      <c r="U17" s="7">
        <f t="shared" si="55"/>
        <v>3712.5</v>
      </c>
      <c r="V17" s="7">
        <f t="shared" si="55"/>
        <v>1936</v>
      </c>
      <c r="W17" s="7">
        <f>U17-V17</f>
        <v>1776.5</v>
      </c>
      <c r="X17" s="7">
        <f t="shared" si="56"/>
        <v>22500</v>
      </c>
      <c r="Y17" s="7">
        <f t="shared" si="56"/>
        <v>9648</v>
      </c>
      <c r="Z17" s="7">
        <f>X17-Y17</f>
        <v>12852</v>
      </c>
      <c r="AA17" s="24">
        <f>COS(ATAN(M17/S17))</f>
        <v>0.9681923619323497</v>
      </c>
      <c r="AB17" s="25"/>
    </row>
    <row r="18" spans="2:28" ht="18" x14ac:dyDescent="0.25">
      <c r="B18" s="3">
        <v>24</v>
      </c>
      <c r="C18" s="3">
        <v>680141</v>
      </c>
      <c r="D18" s="3">
        <v>1355607</v>
      </c>
      <c r="E18" s="3">
        <v>455040</v>
      </c>
      <c r="F18" s="8">
        <f t="shared" si="38"/>
        <v>2490788</v>
      </c>
      <c r="G18" s="22">
        <f t="shared" si="39"/>
        <v>2490473.8125</v>
      </c>
      <c r="H18" s="7">
        <f t="shared" si="40"/>
        <v>2490507.3125</v>
      </c>
      <c r="I18" s="3">
        <v>790972</v>
      </c>
      <c r="J18" s="6">
        <f t="shared" si="53"/>
        <v>109</v>
      </c>
      <c r="K18" s="6">
        <f t="shared" si="53"/>
        <v>268</v>
      </c>
      <c r="L18" s="6">
        <f>E18-E19</f>
        <v>80</v>
      </c>
      <c r="M18" s="6">
        <f>I18-I19</f>
        <v>110</v>
      </c>
      <c r="N18" s="5">
        <f t="shared" si="24"/>
        <v>148.5</v>
      </c>
      <c r="O18" s="3">
        <f>L18</f>
        <v>80</v>
      </c>
      <c r="P18" s="5">
        <f>N18-O18</f>
        <v>68.5</v>
      </c>
      <c r="Q18" s="5">
        <f>H18-G18</f>
        <v>33.5</v>
      </c>
      <c r="R18" s="7">
        <f t="shared" si="28"/>
        <v>900</v>
      </c>
      <c r="S18" s="6">
        <f>J18+K18+L18</f>
        <v>457</v>
      </c>
      <c r="T18" s="7">
        <f>R18-S18</f>
        <v>443</v>
      </c>
      <c r="U18" s="7">
        <f t="shared" si="55"/>
        <v>3564</v>
      </c>
      <c r="V18" s="7">
        <f t="shared" si="55"/>
        <v>1868</v>
      </c>
      <c r="W18" s="7">
        <f>U18-V18</f>
        <v>1696</v>
      </c>
      <c r="X18" s="7">
        <f t="shared" si="56"/>
        <v>21600</v>
      </c>
      <c r="Y18" s="7">
        <f t="shared" si="56"/>
        <v>9203</v>
      </c>
      <c r="Z18" s="7">
        <f>X18-Y18</f>
        <v>12397</v>
      </c>
      <c r="AA18" s="24">
        <f>COS(ATAN(M18/S18))</f>
        <v>0.97223260127678857</v>
      </c>
      <c r="AB18" s="25"/>
    </row>
    <row r="19" spans="2:28" ht="18" x14ac:dyDescent="0.25">
      <c r="B19" s="3">
        <v>23</v>
      </c>
      <c r="C19" s="3">
        <v>680032</v>
      </c>
      <c r="D19" s="3">
        <v>1355339</v>
      </c>
      <c r="E19" s="3">
        <v>454960</v>
      </c>
      <c r="F19" s="8">
        <f t="shared" si="38"/>
        <v>2490331</v>
      </c>
      <c r="G19" s="22">
        <f t="shared" si="39"/>
        <v>2490166</v>
      </c>
      <c r="H19" s="7">
        <f t="shared" si="40"/>
        <v>2490183.125</v>
      </c>
      <c r="I19" s="3">
        <v>790862</v>
      </c>
      <c r="J19" s="6">
        <f t="shared" si="53"/>
        <v>72</v>
      </c>
      <c r="K19" s="6">
        <f t="shared" si="53"/>
        <v>137</v>
      </c>
      <c r="L19" s="6">
        <f>E19-E20</f>
        <v>31</v>
      </c>
      <c r="M19" s="6">
        <f>I19-I20</f>
        <v>34</v>
      </c>
      <c r="N19" s="5">
        <f t="shared" si="24"/>
        <v>148.5</v>
      </c>
      <c r="O19" s="3">
        <f>L19</f>
        <v>31</v>
      </c>
      <c r="P19" s="5">
        <f>N19-O19</f>
        <v>117.5</v>
      </c>
      <c r="Q19" s="5">
        <f>H19-G19</f>
        <v>17.125</v>
      </c>
      <c r="R19" s="7">
        <f t="shared" si="28"/>
        <v>900</v>
      </c>
      <c r="S19" s="6">
        <f>J19+K19+L19</f>
        <v>240</v>
      </c>
      <c r="T19" s="7">
        <f>R19-S19</f>
        <v>660</v>
      </c>
      <c r="U19" s="7">
        <f t="shared" si="55"/>
        <v>3415.5</v>
      </c>
      <c r="V19" s="7">
        <f t="shared" si="55"/>
        <v>1788</v>
      </c>
      <c r="W19" s="7">
        <f>U19-V19</f>
        <v>1627.5</v>
      </c>
      <c r="X19" s="7">
        <f t="shared" si="56"/>
        <v>20700</v>
      </c>
      <c r="Y19" s="7">
        <f t="shared" si="56"/>
        <v>8746</v>
      </c>
      <c r="Z19" s="7">
        <f>X19-Y19</f>
        <v>11954</v>
      </c>
      <c r="AA19" s="24">
        <f>COS(ATAN(M19/S19))</f>
        <v>0.99011383869471492</v>
      </c>
      <c r="AB19" s="1"/>
    </row>
    <row r="20" spans="2:28" ht="18" x14ac:dyDescent="0.25">
      <c r="B20" s="3">
        <v>22</v>
      </c>
      <c r="C20" s="3">
        <f>C21+75</f>
        <v>679960</v>
      </c>
      <c r="D20" s="3">
        <f>D21+167</f>
        <v>1355202</v>
      </c>
      <c r="E20" s="3">
        <f>E21+47</f>
        <v>454929</v>
      </c>
      <c r="F20" s="8">
        <f t="shared" si="38"/>
        <v>2490091</v>
      </c>
      <c r="G20" s="22">
        <f t="shared" si="39"/>
        <v>2489892.3125</v>
      </c>
      <c r="H20" s="7">
        <f t="shared" si="40"/>
        <v>2489913.1875</v>
      </c>
      <c r="I20" s="3">
        <f>I21+81</f>
        <v>790828</v>
      </c>
      <c r="J20" s="6">
        <f t="shared" si="41"/>
        <v>75</v>
      </c>
      <c r="K20" s="6">
        <f t="shared" si="41"/>
        <v>167</v>
      </c>
      <c r="L20" s="6">
        <f t="shared" si="41"/>
        <v>47</v>
      </c>
      <c r="M20" s="6">
        <f t="shared" si="42"/>
        <v>81</v>
      </c>
      <c r="N20" s="5">
        <f t="shared" si="24"/>
        <v>148.5</v>
      </c>
      <c r="O20" s="3">
        <f t="shared" si="43"/>
        <v>47</v>
      </c>
      <c r="P20" s="5">
        <f t="shared" si="44"/>
        <v>101.5</v>
      </c>
      <c r="Q20" s="5">
        <f t="shared" si="45"/>
        <v>20.875</v>
      </c>
      <c r="R20" s="7">
        <f t="shared" si="28"/>
        <v>900</v>
      </c>
      <c r="S20" s="6">
        <f t="shared" si="46"/>
        <v>289</v>
      </c>
      <c r="T20" s="7">
        <f t="shared" si="47"/>
        <v>611</v>
      </c>
      <c r="U20" s="7">
        <f t="shared" si="48"/>
        <v>3267</v>
      </c>
      <c r="V20" s="7">
        <f t="shared" si="48"/>
        <v>1757</v>
      </c>
      <c r="W20" s="7">
        <f t="shared" si="49"/>
        <v>1510</v>
      </c>
      <c r="X20" s="7">
        <f t="shared" si="50"/>
        <v>19800</v>
      </c>
      <c r="Y20" s="7">
        <f t="shared" si="50"/>
        <v>8506</v>
      </c>
      <c r="Z20" s="7">
        <f t="shared" si="51"/>
        <v>11294</v>
      </c>
      <c r="AA20" s="24">
        <f t="shared" si="52"/>
        <v>0.9628947811360733</v>
      </c>
      <c r="AB20" s="1"/>
    </row>
    <row r="21" spans="2:28" ht="18" x14ac:dyDescent="0.25">
      <c r="B21" s="3">
        <v>21</v>
      </c>
      <c r="C21" s="3">
        <f>C22+79</f>
        <v>679885</v>
      </c>
      <c r="D21" s="3">
        <f>D22+198</f>
        <v>1355035</v>
      </c>
      <c r="E21" s="3">
        <f>E22+55</f>
        <v>454882</v>
      </c>
      <c r="F21" s="8">
        <f t="shared" si="38"/>
        <v>2489802</v>
      </c>
      <c r="G21" s="22">
        <f t="shared" si="39"/>
        <v>2489573.75</v>
      </c>
      <c r="H21" s="7">
        <f t="shared" si="40"/>
        <v>2489598.5</v>
      </c>
      <c r="I21" s="3">
        <f>I22+80</f>
        <v>790747</v>
      </c>
      <c r="J21" s="6">
        <f t="shared" si="41"/>
        <v>79</v>
      </c>
      <c r="K21" s="6">
        <f t="shared" si="41"/>
        <v>198</v>
      </c>
      <c r="L21" s="6">
        <f t="shared" si="41"/>
        <v>55</v>
      </c>
      <c r="M21" s="6">
        <f t="shared" si="42"/>
        <v>80</v>
      </c>
      <c r="N21" s="5">
        <f t="shared" si="24"/>
        <v>148.5</v>
      </c>
      <c r="O21" s="3">
        <f t="shared" si="43"/>
        <v>55</v>
      </c>
      <c r="P21" s="5">
        <f t="shared" si="44"/>
        <v>93.5</v>
      </c>
      <c r="Q21" s="5">
        <f t="shared" si="45"/>
        <v>24.75</v>
      </c>
      <c r="R21" s="7">
        <f t="shared" si="28"/>
        <v>900</v>
      </c>
      <c r="S21" s="6">
        <f t="shared" si="46"/>
        <v>332</v>
      </c>
      <c r="T21" s="7">
        <f t="shared" si="47"/>
        <v>568</v>
      </c>
      <c r="U21" s="7">
        <f t="shared" si="48"/>
        <v>3118.5</v>
      </c>
      <c r="V21" s="7">
        <f t="shared" si="48"/>
        <v>1710</v>
      </c>
      <c r="W21" s="7">
        <f t="shared" si="49"/>
        <v>1408.5</v>
      </c>
      <c r="X21" s="7">
        <f t="shared" si="50"/>
        <v>18900</v>
      </c>
      <c r="Y21" s="7">
        <f t="shared" si="50"/>
        <v>8217</v>
      </c>
      <c r="Z21" s="7">
        <f t="shared" si="51"/>
        <v>10683</v>
      </c>
      <c r="AA21" s="24">
        <f t="shared" si="52"/>
        <v>0.97217425792004064</v>
      </c>
      <c r="AB21" s="1"/>
    </row>
    <row r="22" spans="2:28" ht="18" x14ac:dyDescent="0.25">
      <c r="B22" s="3">
        <v>20</v>
      </c>
      <c r="C22" s="3">
        <v>679806</v>
      </c>
      <c r="D22" s="3">
        <v>1354837</v>
      </c>
      <c r="E22" s="3">
        <v>454827</v>
      </c>
      <c r="F22" s="8">
        <f t="shared" si="38"/>
        <v>2489470</v>
      </c>
      <c r="G22" s="22">
        <f t="shared" si="39"/>
        <v>2489142.75</v>
      </c>
      <c r="H22" s="7">
        <f t="shared" si="40"/>
        <v>2489173.625</v>
      </c>
      <c r="I22" s="3">
        <v>790667</v>
      </c>
      <c r="J22" s="6">
        <f t="shared" si="41"/>
        <v>144</v>
      </c>
      <c r="K22" s="6">
        <f t="shared" si="41"/>
        <v>247</v>
      </c>
      <c r="L22" s="6">
        <f t="shared" si="41"/>
        <v>85</v>
      </c>
      <c r="M22" s="6">
        <f t="shared" si="42"/>
        <v>96</v>
      </c>
      <c r="N22" s="5">
        <f t="shared" si="24"/>
        <v>148.5</v>
      </c>
      <c r="O22" s="3">
        <f t="shared" si="43"/>
        <v>85</v>
      </c>
      <c r="P22" s="5">
        <f t="shared" si="44"/>
        <v>63.5</v>
      </c>
      <c r="Q22" s="5">
        <f t="shared" si="45"/>
        <v>30.875</v>
      </c>
      <c r="R22" s="7">
        <f t="shared" si="28"/>
        <v>900</v>
      </c>
      <c r="S22" s="6">
        <f t="shared" si="46"/>
        <v>476</v>
      </c>
      <c r="T22" s="7">
        <f t="shared" si="47"/>
        <v>424</v>
      </c>
      <c r="U22" s="7">
        <f t="shared" si="48"/>
        <v>2970</v>
      </c>
      <c r="V22" s="7">
        <f t="shared" si="48"/>
        <v>1655</v>
      </c>
      <c r="W22" s="7">
        <f t="shared" si="49"/>
        <v>1315</v>
      </c>
      <c r="X22" s="7">
        <f t="shared" si="50"/>
        <v>18000</v>
      </c>
      <c r="Y22" s="7">
        <f t="shared" si="50"/>
        <v>7885</v>
      </c>
      <c r="Z22" s="7">
        <f t="shared" si="51"/>
        <v>10115</v>
      </c>
      <c r="AA22" s="24">
        <f t="shared" si="52"/>
        <v>0.98026256915446341</v>
      </c>
      <c r="AB22" s="1"/>
    </row>
    <row r="23" spans="2:28" ht="18" x14ac:dyDescent="0.25">
      <c r="B23" s="3">
        <v>19</v>
      </c>
      <c r="C23" s="3">
        <f>C24+154</f>
        <v>679662</v>
      </c>
      <c r="D23" s="3">
        <f>D24+244</f>
        <v>1354590</v>
      </c>
      <c r="E23" s="3">
        <f>E24+92</f>
        <v>454742</v>
      </c>
      <c r="F23" s="8">
        <f t="shared" si="38"/>
        <v>2488994</v>
      </c>
      <c r="G23" s="22">
        <f t="shared" si="39"/>
        <v>2488657.125</v>
      </c>
      <c r="H23" s="7">
        <f>G23+((K23/12)*1.5)</f>
        <v>2488687.625</v>
      </c>
      <c r="I23" s="3">
        <f>I24+104</f>
        <v>790571</v>
      </c>
      <c r="J23" s="6">
        <f t="shared" si="41"/>
        <v>154</v>
      </c>
      <c r="K23" s="6">
        <f t="shared" si="41"/>
        <v>244</v>
      </c>
      <c r="L23" s="6">
        <f t="shared" si="41"/>
        <v>92</v>
      </c>
      <c r="M23" s="6">
        <f t="shared" si="42"/>
        <v>104</v>
      </c>
      <c r="N23" s="5">
        <f t="shared" si="24"/>
        <v>148.5</v>
      </c>
      <c r="O23" s="3">
        <f t="shared" si="43"/>
        <v>92</v>
      </c>
      <c r="P23" s="5">
        <f t="shared" si="44"/>
        <v>56.5</v>
      </c>
      <c r="Q23" s="5">
        <f t="shared" si="45"/>
        <v>30.5</v>
      </c>
      <c r="R23" s="7">
        <f t="shared" si="28"/>
        <v>900</v>
      </c>
      <c r="S23" s="6">
        <f t="shared" si="46"/>
        <v>490</v>
      </c>
      <c r="T23" s="7">
        <f t="shared" si="47"/>
        <v>410</v>
      </c>
      <c r="U23" s="7">
        <f t="shared" si="48"/>
        <v>2821.5</v>
      </c>
      <c r="V23" s="7">
        <f t="shared" si="48"/>
        <v>1570</v>
      </c>
      <c r="W23" s="7">
        <f t="shared" si="49"/>
        <v>1251.5</v>
      </c>
      <c r="X23" s="7">
        <f t="shared" si="50"/>
        <v>17100</v>
      </c>
      <c r="Y23" s="7">
        <f t="shared" si="50"/>
        <v>7409</v>
      </c>
      <c r="Z23" s="7">
        <f t="shared" si="51"/>
        <v>9691</v>
      </c>
      <c r="AA23" s="24">
        <f t="shared" si="52"/>
        <v>0.97820955863334091</v>
      </c>
      <c r="AB23" s="1"/>
    </row>
    <row r="24" spans="2:28" ht="18" x14ac:dyDescent="0.25">
      <c r="B24" s="3">
        <v>18</v>
      </c>
      <c r="C24" s="3">
        <f>C25+155</f>
        <v>679508</v>
      </c>
      <c r="D24" s="3">
        <f>D25+240</f>
        <v>1354346</v>
      </c>
      <c r="E24" s="3">
        <f>E25+90</f>
        <v>454650</v>
      </c>
      <c r="F24" s="8">
        <f t="shared" si="38"/>
        <v>2488504</v>
      </c>
      <c r="G24" s="22">
        <f t="shared" si="39"/>
        <v>2488170.5625</v>
      </c>
      <c r="H24" s="7">
        <f t="shared" si="40"/>
        <v>2488200.5625</v>
      </c>
      <c r="I24" s="3">
        <f>I25+101</f>
        <v>790467</v>
      </c>
      <c r="J24" s="6">
        <f t="shared" si="41"/>
        <v>155</v>
      </c>
      <c r="K24" s="6">
        <f t="shared" si="41"/>
        <v>240</v>
      </c>
      <c r="L24" s="6">
        <f t="shared" si="41"/>
        <v>90</v>
      </c>
      <c r="M24" s="6">
        <f t="shared" si="42"/>
        <v>101</v>
      </c>
      <c r="N24" s="5">
        <f t="shared" si="24"/>
        <v>148.5</v>
      </c>
      <c r="O24" s="3">
        <f t="shared" si="43"/>
        <v>90</v>
      </c>
      <c r="P24" s="5">
        <f t="shared" si="44"/>
        <v>58.5</v>
      </c>
      <c r="Q24" s="5">
        <f t="shared" si="45"/>
        <v>30</v>
      </c>
      <c r="R24" s="7">
        <f t="shared" si="28"/>
        <v>900</v>
      </c>
      <c r="S24" s="6">
        <f t="shared" si="46"/>
        <v>485</v>
      </c>
      <c r="T24" s="7">
        <f t="shared" si="47"/>
        <v>415</v>
      </c>
      <c r="U24" s="7">
        <f t="shared" si="48"/>
        <v>2673</v>
      </c>
      <c r="V24" s="7">
        <f t="shared" si="48"/>
        <v>1478</v>
      </c>
      <c r="W24" s="7">
        <f t="shared" si="49"/>
        <v>1195</v>
      </c>
      <c r="X24" s="7">
        <f t="shared" si="50"/>
        <v>16200</v>
      </c>
      <c r="Y24" s="7">
        <f t="shared" si="50"/>
        <v>6919</v>
      </c>
      <c r="Z24" s="7">
        <f t="shared" si="51"/>
        <v>9281</v>
      </c>
      <c r="AA24" s="24">
        <f t="shared" si="52"/>
        <v>0.97899720968816695</v>
      </c>
      <c r="AB24" s="1"/>
    </row>
    <row r="25" spans="2:28" ht="18" x14ac:dyDescent="0.25">
      <c r="B25" s="3">
        <v>17</v>
      </c>
      <c r="C25" s="3">
        <v>679353</v>
      </c>
      <c r="D25" s="3">
        <v>1354106</v>
      </c>
      <c r="E25" s="3">
        <v>454560</v>
      </c>
      <c r="F25" s="8">
        <f t="shared" si="38"/>
        <v>2488019</v>
      </c>
      <c r="G25" s="22">
        <f t="shared" si="39"/>
        <v>2487900.75</v>
      </c>
      <c r="H25" s="7">
        <f t="shared" si="40"/>
        <v>2487911.25</v>
      </c>
      <c r="I25" s="3">
        <v>790366</v>
      </c>
      <c r="J25" s="6">
        <f t="shared" si="41"/>
        <v>49</v>
      </c>
      <c r="K25" s="6">
        <f t="shared" si="41"/>
        <v>84</v>
      </c>
      <c r="L25" s="6">
        <f t="shared" si="41"/>
        <v>39</v>
      </c>
      <c r="M25" s="7">
        <f t="shared" si="42"/>
        <v>67</v>
      </c>
      <c r="N25" s="5">
        <f t="shared" si="24"/>
        <v>148.5</v>
      </c>
      <c r="O25" s="3">
        <f t="shared" si="43"/>
        <v>39</v>
      </c>
      <c r="P25" s="5">
        <f t="shared" si="44"/>
        <v>109.5</v>
      </c>
      <c r="Q25" s="5">
        <f t="shared" si="45"/>
        <v>10.5</v>
      </c>
      <c r="R25" s="7">
        <f t="shared" si="28"/>
        <v>900</v>
      </c>
      <c r="S25" s="6">
        <f t="shared" si="46"/>
        <v>172</v>
      </c>
      <c r="T25" s="7">
        <f t="shared" si="47"/>
        <v>728</v>
      </c>
      <c r="U25" s="7">
        <f t="shared" si="48"/>
        <v>2524.5</v>
      </c>
      <c r="V25" s="6">
        <f t="shared" si="48"/>
        <v>1388</v>
      </c>
      <c r="W25" s="7">
        <f t="shared" si="49"/>
        <v>1136.5</v>
      </c>
      <c r="X25" s="7">
        <f t="shared" si="50"/>
        <v>15300</v>
      </c>
      <c r="Y25" s="7">
        <f t="shared" si="50"/>
        <v>6434</v>
      </c>
      <c r="Z25" s="7">
        <f t="shared" si="51"/>
        <v>8866</v>
      </c>
      <c r="AA25" s="24">
        <f t="shared" si="52"/>
        <v>0.93180118899658793</v>
      </c>
      <c r="AB25" s="1"/>
    </row>
    <row r="26" spans="2:28" ht="18" x14ac:dyDescent="0.25">
      <c r="B26" s="3">
        <v>16</v>
      </c>
      <c r="C26" s="3">
        <f t="shared" ref="C26" si="57">C27+145</f>
        <v>679304</v>
      </c>
      <c r="D26" s="3">
        <f>D27+194</f>
        <v>1354022</v>
      </c>
      <c r="E26" s="3">
        <f>E27+83</f>
        <v>454521</v>
      </c>
      <c r="F26" s="8">
        <f t="shared" si="38"/>
        <v>2487847</v>
      </c>
      <c r="G26" s="22">
        <f t="shared" si="39"/>
        <v>2487556.875</v>
      </c>
      <c r="H26" s="7">
        <f t="shared" si="40"/>
        <v>2487581.125</v>
      </c>
      <c r="I26" s="3">
        <f>I27+89</f>
        <v>790299</v>
      </c>
      <c r="J26" s="6">
        <f t="shared" si="41"/>
        <v>145</v>
      </c>
      <c r="K26" s="6">
        <f t="shared" si="41"/>
        <v>194</v>
      </c>
      <c r="L26" s="6">
        <f t="shared" si="41"/>
        <v>83</v>
      </c>
      <c r="M26" s="7">
        <f t="shared" si="42"/>
        <v>89</v>
      </c>
      <c r="N26" s="5">
        <f t="shared" si="24"/>
        <v>148.5</v>
      </c>
      <c r="O26" s="3">
        <f t="shared" si="43"/>
        <v>83</v>
      </c>
      <c r="P26" s="5">
        <f t="shared" si="44"/>
        <v>65.5</v>
      </c>
      <c r="Q26" s="5">
        <f t="shared" si="45"/>
        <v>24.25</v>
      </c>
      <c r="R26" s="7">
        <f t="shared" si="28"/>
        <v>900</v>
      </c>
      <c r="S26" s="6">
        <f t="shared" si="46"/>
        <v>422</v>
      </c>
      <c r="T26" s="7">
        <f t="shared" si="47"/>
        <v>478</v>
      </c>
      <c r="U26" s="7">
        <f t="shared" si="48"/>
        <v>2376</v>
      </c>
      <c r="V26" s="6">
        <f t="shared" si="48"/>
        <v>1349</v>
      </c>
      <c r="W26" s="7">
        <f t="shared" si="49"/>
        <v>1027</v>
      </c>
      <c r="X26" s="7">
        <f t="shared" si="50"/>
        <v>14400</v>
      </c>
      <c r="Y26" s="7">
        <f t="shared" si="50"/>
        <v>6262</v>
      </c>
      <c r="Z26" s="7">
        <f t="shared" si="51"/>
        <v>8138</v>
      </c>
      <c r="AA26" s="24">
        <f t="shared" si="52"/>
        <v>0.9784759185842925</v>
      </c>
      <c r="AB26" s="1"/>
    </row>
    <row r="27" spans="2:28" ht="18" x14ac:dyDescent="0.25">
      <c r="B27" s="3">
        <v>15</v>
      </c>
      <c r="C27" s="3">
        <f>C28+152</f>
        <v>679159</v>
      </c>
      <c r="D27" s="3">
        <f>D28+188</f>
        <v>1353828</v>
      </c>
      <c r="E27" s="3">
        <f>E28+87</f>
        <v>454438</v>
      </c>
      <c r="F27" s="8">
        <f t="shared" si="38"/>
        <v>2487425</v>
      </c>
      <c r="G27" s="22">
        <f t="shared" si="39"/>
        <v>2487131.4375</v>
      </c>
      <c r="H27" s="7">
        <f t="shared" si="40"/>
        <v>2487154.9375</v>
      </c>
      <c r="I27" s="3">
        <f>I28+85</f>
        <v>790210</v>
      </c>
      <c r="J27" s="6">
        <f t="shared" si="41"/>
        <v>152</v>
      </c>
      <c r="K27" s="6">
        <f t="shared" si="41"/>
        <v>188</v>
      </c>
      <c r="L27" s="6">
        <f t="shared" si="41"/>
        <v>87</v>
      </c>
      <c r="M27" s="7">
        <f t="shared" si="42"/>
        <v>85</v>
      </c>
      <c r="N27" s="5">
        <f t="shared" si="24"/>
        <v>148.5</v>
      </c>
      <c r="O27" s="3">
        <f t="shared" si="43"/>
        <v>87</v>
      </c>
      <c r="P27" s="5">
        <f t="shared" si="44"/>
        <v>61.5</v>
      </c>
      <c r="Q27" s="5">
        <f t="shared" si="45"/>
        <v>23.5</v>
      </c>
      <c r="R27" s="7">
        <f t="shared" si="28"/>
        <v>900</v>
      </c>
      <c r="S27" s="6">
        <f t="shared" si="46"/>
        <v>427</v>
      </c>
      <c r="T27" s="7">
        <f t="shared" si="47"/>
        <v>473</v>
      </c>
      <c r="U27" s="7">
        <f t="shared" si="48"/>
        <v>2227.5</v>
      </c>
      <c r="V27" s="6">
        <f t="shared" si="48"/>
        <v>1266</v>
      </c>
      <c r="W27" s="7">
        <f t="shared" si="49"/>
        <v>961.5</v>
      </c>
      <c r="X27" s="7">
        <f t="shared" si="50"/>
        <v>13500</v>
      </c>
      <c r="Y27" s="7">
        <f t="shared" si="50"/>
        <v>5840</v>
      </c>
      <c r="Z27" s="7">
        <f t="shared" si="51"/>
        <v>7660</v>
      </c>
      <c r="AA27" s="24">
        <f t="shared" si="52"/>
        <v>0.98075695889165337</v>
      </c>
      <c r="AB27" s="1"/>
    </row>
    <row r="28" spans="2:28" ht="18" x14ac:dyDescent="0.25">
      <c r="B28" s="3">
        <v>14</v>
      </c>
      <c r="C28" s="3">
        <f>C29+144</f>
        <v>679007</v>
      </c>
      <c r="D28" s="3">
        <f>D29+183</f>
        <v>1353640</v>
      </c>
      <c r="E28" s="3">
        <f>E29+81</f>
        <v>454351</v>
      </c>
      <c r="F28" s="8">
        <f t="shared" si="38"/>
        <v>2486998</v>
      </c>
      <c r="G28" s="22">
        <f t="shared" si="39"/>
        <v>2486717.5</v>
      </c>
      <c r="H28" s="7">
        <f t="shared" si="40"/>
        <v>2486740.375</v>
      </c>
      <c r="I28" s="3">
        <f>I29+83</f>
        <v>790125</v>
      </c>
      <c r="J28" s="6">
        <f t="shared" si="41"/>
        <v>144</v>
      </c>
      <c r="K28" s="6">
        <f t="shared" si="41"/>
        <v>183</v>
      </c>
      <c r="L28" s="6">
        <f t="shared" si="41"/>
        <v>81</v>
      </c>
      <c r="M28" s="7">
        <f t="shared" si="42"/>
        <v>83</v>
      </c>
      <c r="N28" s="5">
        <f t="shared" si="24"/>
        <v>148.5</v>
      </c>
      <c r="O28" s="3">
        <f t="shared" si="43"/>
        <v>81</v>
      </c>
      <c r="P28" s="5">
        <f t="shared" si="44"/>
        <v>67.5</v>
      </c>
      <c r="Q28" s="5">
        <f t="shared" si="45"/>
        <v>22.875</v>
      </c>
      <c r="R28" s="7">
        <f t="shared" si="28"/>
        <v>900</v>
      </c>
      <c r="S28" s="6">
        <f t="shared" si="46"/>
        <v>408</v>
      </c>
      <c r="T28" s="7">
        <f t="shared" si="47"/>
        <v>492</v>
      </c>
      <c r="U28" s="7">
        <f t="shared" si="48"/>
        <v>2079</v>
      </c>
      <c r="V28" s="6">
        <f t="shared" si="48"/>
        <v>1179</v>
      </c>
      <c r="W28" s="7">
        <f t="shared" si="49"/>
        <v>900</v>
      </c>
      <c r="X28" s="7">
        <f t="shared" si="50"/>
        <v>12600</v>
      </c>
      <c r="Y28" s="7">
        <f t="shared" si="50"/>
        <v>5413</v>
      </c>
      <c r="Z28" s="7">
        <f t="shared" si="51"/>
        <v>7187</v>
      </c>
      <c r="AA28" s="24">
        <f t="shared" si="52"/>
        <v>0.97992871075438293</v>
      </c>
      <c r="AB28" s="1"/>
    </row>
    <row r="29" spans="2:28" ht="18" x14ac:dyDescent="0.25">
      <c r="B29" s="3">
        <v>13</v>
      </c>
      <c r="C29" s="3">
        <v>678863</v>
      </c>
      <c r="D29" s="3">
        <v>1353457</v>
      </c>
      <c r="E29" s="3">
        <v>454270</v>
      </c>
      <c r="F29" s="8">
        <f t="shared" si="38"/>
        <v>2486590</v>
      </c>
      <c r="G29" s="22">
        <f t="shared" si="39"/>
        <v>2486328.75</v>
      </c>
      <c r="H29" s="7">
        <f t="shared" si="40"/>
        <v>2486350.125</v>
      </c>
      <c r="I29" s="3">
        <v>790042</v>
      </c>
      <c r="J29" s="6">
        <f t="shared" si="41"/>
        <v>124</v>
      </c>
      <c r="K29" s="6">
        <f t="shared" si="41"/>
        <v>171</v>
      </c>
      <c r="L29" s="6">
        <f t="shared" si="41"/>
        <v>85</v>
      </c>
      <c r="M29" s="6">
        <f t="shared" si="42"/>
        <v>77</v>
      </c>
      <c r="N29" s="5">
        <f t="shared" si="24"/>
        <v>148.5</v>
      </c>
      <c r="O29" s="3">
        <f t="shared" si="43"/>
        <v>85</v>
      </c>
      <c r="P29" s="5">
        <f t="shared" si="44"/>
        <v>63.5</v>
      </c>
      <c r="Q29" s="5">
        <f t="shared" si="45"/>
        <v>21.375</v>
      </c>
      <c r="R29" s="7">
        <f t="shared" si="28"/>
        <v>900</v>
      </c>
      <c r="S29" s="6">
        <f t="shared" si="46"/>
        <v>380</v>
      </c>
      <c r="T29" s="7">
        <f t="shared" si="47"/>
        <v>520</v>
      </c>
      <c r="U29" s="7">
        <f t="shared" si="48"/>
        <v>1930.5</v>
      </c>
      <c r="V29" s="6">
        <f t="shared" si="48"/>
        <v>1098</v>
      </c>
      <c r="W29" s="7">
        <f t="shared" si="49"/>
        <v>832.5</v>
      </c>
      <c r="X29" s="7">
        <f t="shared" si="50"/>
        <v>11700</v>
      </c>
      <c r="Y29" s="7">
        <f t="shared" si="50"/>
        <v>5005</v>
      </c>
      <c r="Z29" s="7">
        <f t="shared" si="51"/>
        <v>6695</v>
      </c>
      <c r="AA29" s="24">
        <f t="shared" si="52"/>
        <v>0.98008154699171179</v>
      </c>
      <c r="AB29" s="1"/>
    </row>
    <row r="30" spans="2:28" ht="18" x14ac:dyDescent="0.25">
      <c r="B30" s="3">
        <v>12</v>
      </c>
      <c r="C30" s="3">
        <f>C31+143</f>
        <v>678739</v>
      </c>
      <c r="D30" s="3">
        <f>D31+195</f>
        <v>1353286</v>
      </c>
      <c r="E30" s="3">
        <f t="shared" ref="E30" si="58">E31+74</f>
        <v>454185</v>
      </c>
      <c r="F30" s="8">
        <f t="shared" si="38"/>
        <v>2486210</v>
      </c>
      <c r="G30" s="22">
        <f t="shared" si="39"/>
        <v>2485926.75</v>
      </c>
      <c r="H30" s="7">
        <f t="shared" si="40"/>
        <v>2485951.125</v>
      </c>
      <c r="I30" s="3">
        <f>I31+76</f>
        <v>789965</v>
      </c>
      <c r="J30" s="6">
        <f t="shared" ref="J30:L32" si="59">C30-C31</f>
        <v>143</v>
      </c>
      <c r="K30" s="6">
        <f t="shared" si="59"/>
        <v>195</v>
      </c>
      <c r="L30" s="6">
        <f t="shared" si="59"/>
        <v>74</v>
      </c>
      <c r="M30" s="6">
        <f t="shared" si="42"/>
        <v>76</v>
      </c>
      <c r="N30" s="5">
        <f t="shared" si="24"/>
        <v>148.5</v>
      </c>
      <c r="O30" s="3">
        <f t="shared" si="43"/>
        <v>74</v>
      </c>
      <c r="P30" s="5">
        <f t="shared" si="44"/>
        <v>74.5</v>
      </c>
      <c r="Q30" s="5">
        <f t="shared" si="45"/>
        <v>24.375</v>
      </c>
      <c r="R30" s="7">
        <f t="shared" si="28"/>
        <v>900</v>
      </c>
      <c r="S30" s="6">
        <f t="shared" si="46"/>
        <v>412</v>
      </c>
      <c r="T30" s="7">
        <f t="shared" si="47"/>
        <v>488</v>
      </c>
      <c r="U30" s="7">
        <f t="shared" si="48"/>
        <v>1782</v>
      </c>
      <c r="V30" s="6">
        <f t="shared" si="48"/>
        <v>1013</v>
      </c>
      <c r="W30" s="7">
        <f t="shared" si="49"/>
        <v>769</v>
      </c>
      <c r="X30" s="7">
        <f t="shared" si="50"/>
        <v>10800</v>
      </c>
      <c r="Y30" s="7">
        <f t="shared" si="50"/>
        <v>4625</v>
      </c>
      <c r="Z30" s="7">
        <f t="shared" si="51"/>
        <v>6175</v>
      </c>
      <c r="AA30" s="24">
        <f t="shared" si="52"/>
        <v>0.98340839394417112</v>
      </c>
      <c r="AB30" s="1"/>
    </row>
    <row r="31" spans="2:28" ht="18" x14ac:dyDescent="0.25">
      <c r="B31" s="3">
        <v>11</v>
      </c>
      <c r="C31" s="3">
        <f>C32+149</f>
        <v>678596</v>
      </c>
      <c r="D31" s="3">
        <f>D32+151</f>
        <v>1353091</v>
      </c>
      <c r="E31" s="3">
        <f>E32+80</f>
        <v>454111</v>
      </c>
      <c r="F31" s="8">
        <f>C31+D31+E31</f>
        <v>2485798</v>
      </c>
      <c r="G31" s="22">
        <f t="shared" si="39"/>
        <v>2485536.75</v>
      </c>
      <c r="H31" s="7">
        <f t="shared" si="40"/>
        <v>2485555.625</v>
      </c>
      <c r="I31" s="3">
        <f>I32+73</f>
        <v>789889</v>
      </c>
      <c r="J31" s="6">
        <f t="shared" si="59"/>
        <v>149</v>
      </c>
      <c r="K31" s="6">
        <f t="shared" si="59"/>
        <v>151</v>
      </c>
      <c r="L31" s="6">
        <f t="shared" si="59"/>
        <v>80</v>
      </c>
      <c r="M31" s="6">
        <f t="shared" si="42"/>
        <v>73</v>
      </c>
      <c r="N31" s="5">
        <f t="shared" si="24"/>
        <v>148.5</v>
      </c>
      <c r="O31" s="3">
        <f t="shared" si="43"/>
        <v>80</v>
      </c>
      <c r="P31" s="5">
        <f t="shared" si="44"/>
        <v>68.5</v>
      </c>
      <c r="Q31" s="5">
        <f t="shared" si="45"/>
        <v>18.875</v>
      </c>
      <c r="R31" s="7">
        <f t="shared" si="28"/>
        <v>900</v>
      </c>
      <c r="S31" s="6">
        <f t="shared" si="46"/>
        <v>380</v>
      </c>
      <c r="T31" s="7">
        <f t="shared" si="47"/>
        <v>520</v>
      </c>
      <c r="U31" s="7">
        <f t="shared" si="48"/>
        <v>1633.5</v>
      </c>
      <c r="V31" s="6">
        <f t="shared" si="48"/>
        <v>939</v>
      </c>
      <c r="W31" s="7">
        <f t="shared" si="49"/>
        <v>694.5</v>
      </c>
      <c r="X31" s="7">
        <f t="shared" si="50"/>
        <v>9900</v>
      </c>
      <c r="Y31" s="7">
        <f t="shared" si="50"/>
        <v>4213</v>
      </c>
      <c r="Z31" s="7">
        <f t="shared" si="51"/>
        <v>5687</v>
      </c>
      <c r="AA31" s="24">
        <f t="shared" si="52"/>
        <v>0.98204329452340777</v>
      </c>
      <c r="AB31" s="1"/>
    </row>
    <row r="32" spans="2:28" ht="18" x14ac:dyDescent="0.25">
      <c r="B32" s="3">
        <v>10</v>
      </c>
      <c r="C32" s="3">
        <f>C33+127</f>
        <v>678447</v>
      </c>
      <c r="D32" s="3">
        <f>D33+158</f>
        <v>1352940</v>
      </c>
      <c r="E32" s="3">
        <f>E33+79</f>
        <v>454031</v>
      </c>
      <c r="F32" s="8">
        <f>C32+D32+E32</f>
        <v>2485418</v>
      </c>
      <c r="G32" s="22">
        <f t="shared" si="39"/>
        <v>2485167.75</v>
      </c>
      <c r="H32" s="7">
        <f t="shared" si="40"/>
        <v>2485187.5</v>
      </c>
      <c r="I32" s="3">
        <f>I33+62</f>
        <v>789816</v>
      </c>
      <c r="J32" s="6">
        <f t="shared" si="59"/>
        <v>127</v>
      </c>
      <c r="K32" s="6">
        <f t="shared" si="59"/>
        <v>158</v>
      </c>
      <c r="L32" s="6">
        <f t="shared" si="59"/>
        <v>79</v>
      </c>
      <c r="M32" s="6">
        <f t="shared" si="42"/>
        <v>62</v>
      </c>
      <c r="N32" s="5">
        <f t="shared" si="24"/>
        <v>148.5</v>
      </c>
      <c r="O32" s="3">
        <f t="shared" si="43"/>
        <v>79</v>
      </c>
      <c r="P32" s="5">
        <f t="shared" si="44"/>
        <v>69.5</v>
      </c>
      <c r="Q32" s="5">
        <f t="shared" si="45"/>
        <v>19.75</v>
      </c>
      <c r="R32" s="7">
        <f t="shared" si="28"/>
        <v>900</v>
      </c>
      <c r="S32" s="6">
        <f t="shared" si="46"/>
        <v>364</v>
      </c>
      <c r="T32" s="7">
        <f t="shared" si="47"/>
        <v>536</v>
      </c>
      <c r="U32" s="7">
        <f t="shared" si="48"/>
        <v>1485</v>
      </c>
      <c r="V32" s="6">
        <f t="shared" si="48"/>
        <v>859</v>
      </c>
      <c r="W32" s="7">
        <f t="shared" si="49"/>
        <v>626</v>
      </c>
      <c r="X32" s="7">
        <f t="shared" si="50"/>
        <v>9000</v>
      </c>
      <c r="Y32" s="7">
        <f t="shared" si="50"/>
        <v>3833</v>
      </c>
      <c r="Z32" s="7">
        <f t="shared" si="51"/>
        <v>5167</v>
      </c>
      <c r="AA32" s="24">
        <f t="shared" si="52"/>
        <v>0.98580209964702137</v>
      </c>
      <c r="AB32" s="1"/>
    </row>
    <row r="33" spans="2:28" ht="18" x14ac:dyDescent="0.25">
      <c r="B33" s="3">
        <v>9</v>
      </c>
      <c r="C33" s="3">
        <f>C34+131</f>
        <v>678320</v>
      </c>
      <c r="D33" s="3">
        <f>D34+163</f>
        <v>1352782</v>
      </c>
      <c r="E33" s="3">
        <f>E34+66</f>
        <v>453952</v>
      </c>
      <c r="F33" s="9">
        <f>C33+D33+E33</f>
        <v>2485054</v>
      </c>
      <c r="G33" s="22">
        <f t="shared" si="39"/>
        <v>2484806.5</v>
      </c>
      <c r="H33" s="7">
        <f t="shared" si="40"/>
        <v>2484826.875</v>
      </c>
      <c r="I33" s="3">
        <f>I34+80</f>
        <v>789754</v>
      </c>
      <c r="J33" s="6">
        <f t="shared" si="41"/>
        <v>131</v>
      </c>
      <c r="K33" s="6">
        <f t="shared" si="41"/>
        <v>163</v>
      </c>
      <c r="L33" s="6">
        <f t="shared" si="41"/>
        <v>66</v>
      </c>
      <c r="M33" s="6">
        <f t="shared" si="42"/>
        <v>80</v>
      </c>
      <c r="N33" s="5">
        <f t="shared" si="24"/>
        <v>148.5</v>
      </c>
      <c r="O33" s="3">
        <f t="shared" si="43"/>
        <v>66</v>
      </c>
      <c r="P33" s="5">
        <f t="shared" si="44"/>
        <v>82.5</v>
      </c>
      <c r="Q33" s="5">
        <f t="shared" si="45"/>
        <v>20.375</v>
      </c>
      <c r="R33" s="7">
        <f t="shared" si="28"/>
        <v>900</v>
      </c>
      <c r="S33" s="6">
        <f t="shared" si="46"/>
        <v>360</v>
      </c>
      <c r="T33" s="7">
        <f t="shared" si="47"/>
        <v>540</v>
      </c>
      <c r="U33" s="7">
        <f t="shared" si="48"/>
        <v>1336.5</v>
      </c>
      <c r="V33" s="6">
        <f t="shared" si="48"/>
        <v>780</v>
      </c>
      <c r="W33" s="7">
        <f t="shared" si="49"/>
        <v>556.5</v>
      </c>
      <c r="X33" s="7">
        <f t="shared" si="50"/>
        <v>8100</v>
      </c>
      <c r="Y33" s="7">
        <f t="shared" si="50"/>
        <v>3469</v>
      </c>
      <c r="Z33" s="7">
        <f t="shared" si="51"/>
        <v>4631</v>
      </c>
      <c r="AA33" s="24">
        <f t="shared" si="52"/>
        <v>0.97618706018395274</v>
      </c>
      <c r="AB33" s="1"/>
    </row>
    <row r="34" spans="2:28" ht="18" x14ac:dyDescent="0.25">
      <c r="B34" s="3">
        <v>8</v>
      </c>
      <c r="C34" s="3">
        <f>C35+148</f>
        <v>678189</v>
      </c>
      <c r="D34" s="3">
        <f>D35+154</f>
        <v>1352619</v>
      </c>
      <c r="E34" s="3">
        <f>E35+69</f>
        <v>453886</v>
      </c>
      <c r="F34" s="8">
        <f t="shared" si="38"/>
        <v>2484694</v>
      </c>
      <c r="G34" s="22">
        <f t="shared" si="39"/>
        <v>2484438.9375</v>
      </c>
      <c r="H34" s="7">
        <f t="shared" si="40"/>
        <v>2484458.1875</v>
      </c>
      <c r="I34" s="3">
        <f>I35+74</f>
        <v>789674</v>
      </c>
      <c r="J34" s="6">
        <f t="shared" si="41"/>
        <v>148</v>
      </c>
      <c r="K34" s="6">
        <f t="shared" si="41"/>
        <v>154</v>
      </c>
      <c r="L34" s="6">
        <f t="shared" si="41"/>
        <v>69</v>
      </c>
      <c r="M34" s="6">
        <f t="shared" si="42"/>
        <v>74</v>
      </c>
      <c r="N34" s="5">
        <f t="shared" si="24"/>
        <v>148.5</v>
      </c>
      <c r="O34" s="3">
        <f t="shared" si="43"/>
        <v>69</v>
      </c>
      <c r="P34" s="5">
        <f t="shared" si="44"/>
        <v>79.5</v>
      </c>
      <c r="Q34" s="5">
        <f t="shared" si="45"/>
        <v>19.25</v>
      </c>
      <c r="R34" s="7">
        <f t="shared" si="28"/>
        <v>900</v>
      </c>
      <c r="S34" s="6">
        <f t="shared" si="46"/>
        <v>371</v>
      </c>
      <c r="T34" s="7">
        <f t="shared" si="47"/>
        <v>529</v>
      </c>
      <c r="U34" s="7">
        <f t="shared" si="48"/>
        <v>1188</v>
      </c>
      <c r="V34" s="6">
        <f t="shared" si="48"/>
        <v>714</v>
      </c>
      <c r="W34" s="7">
        <f t="shared" si="49"/>
        <v>474</v>
      </c>
      <c r="X34" s="7">
        <f t="shared" si="50"/>
        <v>7200</v>
      </c>
      <c r="Y34" s="7">
        <f t="shared" si="50"/>
        <v>3109</v>
      </c>
      <c r="Z34" s="7">
        <f t="shared" si="51"/>
        <v>4091</v>
      </c>
      <c r="AA34" s="24">
        <f t="shared" si="52"/>
        <v>0.98068221117080578</v>
      </c>
      <c r="AB34" s="1"/>
    </row>
    <row r="35" spans="2:28" ht="18" x14ac:dyDescent="0.25">
      <c r="B35" s="3">
        <v>7</v>
      </c>
      <c r="C35" s="3">
        <f>C36+142</f>
        <v>678041</v>
      </c>
      <c r="D35" s="3">
        <f>D36+198</f>
        <v>1352465</v>
      </c>
      <c r="E35" s="3">
        <f>E36+70</f>
        <v>453817</v>
      </c>
      <c r="F35" s="8">
        <f t="shared" si="38"/>
        <v>2484323</v>
      </c>
      <c r="G35" s="22">
        <f t="shared" si="39"/>
        <v>2484041.125</v>
      </c>
      <c r="H35" s="7">
        <f t="shared" si="40"/>
        <v>2484065.875</v>
      </c>
      <c r="I35" s="3">
        <f>I36+89</f>
        <v>789600</v>
      </c>
      <c r="J35" s="6">
        <f t="shared" si="41"/>
        <v>142</v>
      </c>
      <c r="K35" s="6">
        <f t="shared" si="41"/>
        <v>198</v>
      </c>
      <c r="L35" s="6">
        <f t="shared" si="41"/>
        <v>70</v>
      </c>
      <c r="M35" s="6">
        <f t="shared" si="42"/>
        <v>89</v>
      </c>
      <c r="N35" s="5">
        <f t="shared" si="24"/>
        <v>148.5</v>
      </c>
      <c r="O35" s="3">
        <f t="shared" si="43"/>
        <v>70</v>
      </c>
      <c r="P35" s="5">
        <f t="shared" si="44"/>
        <v>78.5</v>
      </c>
      <c r="Q35" s="5">
        <f t="shared" si="45"/>
        <v>24.75</v>
      </c>
      <c r="R35" s="7">
        <f t="shared" si="28"/>
        <v>900</v>
      </c>
      <c r="S35" s="6">
        <f t="shared" si="46"/>
        <v>410</v>
      </c>
      <c r="T35" s="7">
        <f t="shared" si="47"/>
        <v>490</v>
      </c>
      <c r="U35" s="7">
        <f t="shared" si="48"/>
        <v>1039.5</v>
      </c>
      <c r="V35" s="6">
        <f t="shared" si="48"/>
        <v>645</v>
      </c>
      <c r="W35" s="7">
        <f t="shared" si="49"/>
        <v>394.5</v>
      </c>
      <c r="X35" s="7">
        <f t="shared" si="50"/>
        <v>6300</v>
      </c>
      <c r="Y35" s="7">
        <f t="shared" si="50"/>
        <v>2738</v>
      </c>
      <c r="Z35" s="7">
        <f t="shared" si="51"/>
        <v>3562</v>
      </c>
      <c r="AA35" s="24">
        <f t="shared" si="52"/>
        <v>0.97724085441475605</v>
      </c>
      <c r="AB35" s="1"/>
    </row>
    <row r="36" spans="2:28" ht="18" x14ac:dyDescent="0.25">
      <c r="B36" s="3">
        <v>6</v>
      </c>
      <c r="C36" s="3">
        <v>677899</v>
      </c>
      <c r="D36" s="3">
        <v>1352267</v>
      </c>
      <c r="E36" s="3">
        <v>453747</v>
      </c>
      <c r="F36" s="8">
        <f t="shared" si="38"/>
        <v>2483913</v>
      </c>
      <c r="G36" s="22">
        <f t="shared" si="39"/>
        <v>2483654.5</v>
      </c>
      <c r="H36" s="7">
        <f t="shared" si="40"/>
        <v>2483677.375</v>
      </c>
      <c r="I36" s="3">
        <v>789511</v>
      </c>
      <c r="J36" s="6">
        <f t="shared" si="41"/>
        <v>129</v>
      </c>
      <c r="K36" s="6">
        <f t="shared" si="41"/>
        <v>183</v>
      </c>
      <c r="L36" s="6">
        <f t="shared" si="41"/>
        <v>64</v>
      </c>
      <c r="M36" s="6">
        <f t="shared" si="42"/>
        <v>116</v>
      </c>
      <c r="N36" s="5">
        <f t="shared" si="24"/>
        <v>148.5</v>
      </c>
      <c r="O36" s="3">
        <f t="shared" si="43"/>
        <v>64</v>
      </c>
      <c r="P36" s="5">
        <f t="shared" si="44"/>
        <v>84.5</v>
      </c>
      <c r="Q36" s="5">
        <f t="shared" si="45"/>
        <v>22.875</v>
      </c>
      <c r="R36" s="7">
        <f t="shared" si="28"/>
        <v>900</v>
      </c>
      <c r="S36" s="6">
        <f t="shared" si="46"/>
        <v>376</v>
      </c>
      <c r="T36" s="7">
        <f t="shared" si="47"/>
        <v>524</v>
      </c>
      <c r="U36" s="7">
        <f t="shared" si="48"/>
        <v>891</v>
      </c>
      <c r="V36" s="6">
        <f t="shared" si="48"/>
        <v>575</v>
      </c>
      <c r="W36" s="7">
        <f t="shared" si="49"/>
        <v>316</v>
      </c>
      <c r="X36" s="7">
        <f t="shared" si="50"/>
        <v>5400</v>
      </c>
      <c r="Y36" s="7">
        <f t="shared" si="50"/>
        <v>2328</v>
      </c>
      <c r="Z36" s="7">
        <f t="shared" si="51"/>
        <v>3072</v>
      </c>
      <c r="AA36" s="24">
        <f t="shared" si="52"/>
        <v>0.95555894673869457</v>
      </c>
      <c r="AB36" s="1"/>
    </row>
    <row r="37" spans="2:28" ht="18" x14ac:dyDescent="0.25">
      <c r="B37" s="3">
        <v>5</v>
      </c>
      <c r="C37" s="3">
        <f>C38+155</f>
        <v>677770</v>
      </c>
      <c r="D37" s="3">
        <f>D38+167</f>
        <v>1352084</v>
      </c>
      <c r="E37" s="3">
        <f>E38+108</f>
        <v>453683</v>
      </c>
      <c r="F37" s="8">
        <f t="shared" si="38"/>
        <v>2483537</v>
      </c>
      <c r="G37" s="22">
        <f t="shared" si="39"/>
        <v>2483241.375</v>
      </c>
      <c r="H37" s="7">
        <f t="shared" si="40"/>
        <v>2483262.25</v>
      </c>
      <c r="I37" s="3">
        <f>I38+83</f>
        <v>789395</v>
      </c>
      <c r="J37" s="6">
        <f t="shared" si="41"/>
        <v>155</v>
      </c>
      <c r="K37" s="6">
        <f t="shared" si="41"/>
        <v>167</v>
      </c>
      <c r="L37" s="6">
        <f t="shared" si="41"/>
        <v>108</v>
      </c>
      <c r="M37" s="6">
        <f t="shared" si="42"/>
        <v>83</v>
      </c>
      <c r="N37" s="5">
        <f t="shared" si="24"/>
        <v>148.5</v>
      </c>
      <c r="O37" s="3">
        <f t="shared" si="43"/>
        <v>108</v>
      </c>
      <c r="P37" s="5">
        <f t="shared" si="44"/>
        <v>40.5</v>
      </c>
      <c r="Q37" s="5">
        <f t="shared" si="45"/>
        <v>20.875</v>
      </c>
      <c r="R37" s="7">
        <f t="shared" si="28"/>
        <v>900</v>
      </c>
      <c r="S37" s="6">
        <f t="shared" si="46"/>
        <v>430</v>
      </c>
      <c r="T37" s="7">
        <f t="shared" si="47"/>
        <v>470</v>
      </c>
      <c r="U37" s="7">
        <f t="shared" si="48"/>
        <v>742.5</v>
      </c>
      <c r="V37" s="6">
        <f t="shared" si="48"/>
        <v>511</v>
      </c>
      <c r="W37" s="7">
        <f t="shared" si="49"/>
        <v>231.5</v>
      </c>
      <c r="X37" s="7">
        <f t="shared" si="50"/>
        <v>4500</v>
      </c>
      <c r="Y37" s="7">
        <f t="shared" si="50"/>
        <v>1952</v>
      </c>
      <c r="Z37" s="7">
        <f t="shared" si="51"/>
        <v>2548</v>
      </c>
      <c r="AA37" s="24">
        <f t="shared" si="52"/>
        <v>0.98187591753346215</v>
      </c>
      <c r="AB37" s="1"/>
    </row>
    <row r="38" spans="2:28" ht="18" x14ac:dyDescent="0.25">
      <c r="B38" s="3">
        <v>4</v>
      </c>
      <c r="C38" s="3">
        <v>677615</v>
      </c>
      <c r="D38" s="3">
        <v>1351917</v>
      </c>
      <c r="E38" s="3">
        <v>453575</v>
      </c>
      <c r="F38" s="8">
        <f t="shared" si="38"/>
        <v>2483107</v>
      </c>
      <c r="G38" s="22">
        <f t="shared" si="39"/>
        <v>2482843</v>
      </c>
      <c r="H38" s="7">
        <f t="shared" si="40"/>
        <v>2482860.5</v>
      </c>
      <c r="I38" s="3">
        <v>789312</v>
      </c>
      <c r="J38" s="6">
        <f t="shared" si="41"/>
        <v>141</v>
      </c>
      <c r="K38" s="6">
        <f t="shared" si="41"/>
        <v>140</v>
      </c>
      <c r="L38" s="6">
        <f t="shared" si="41"/>
        <v>103</v>
      </c>
      <c r="M38" s="6">
        <f t="shared" si="42"/>
        <v>75</v>
      </c>
      <c r="N38" s="5">
        <f t="shared" si="24"/>
        <v>148.5</v>
      </c>
      <c r="O38" s="3">
        <f t="shared" si="43"/>
        <v>103</v>
      </c>
      <c r="P38" s="5">
        <f t="shared" si="44"/>
        <v>45.5</v>
      </c>
      <c r="Q38" s="5">
        <f t="shared" si="45"/>
        <v>17.5</v>
      </c>
      <c r="R38" s="7">
        <f t="shared" si="28"/>
        <v>900</v>
      </c>
      <c r="S38" s="6">
        <f t="shared" si="46"/>
        <v>384</v>
      </c>
      <c r="T38" s="7">
        <f t="shared" si="47"/>
        <v>516</v>
      </c>
      <c r="U38" s="7">
        <f t="shared" si="48"/>
        <v>594</v>
      </c>
      <c r="V38" s="6">
        <f t="shared" si="48"/>
        <v>403</v>
      </c>
      <c r="W38" s="7">
        <f t="shared" si="49"/>
        <v>191</v>
      </c>
      <c r="X38" s="7">
        <f t="shared" si="50"/>
        <v>3600</v>
      </c>
      <c r="Y38" s="7">
        <f t="shared" si="50"/>
        <v>1522</v>
      </c>
      <c r="Z38" s="7">
        <f t="shared" si="51"/>
        <v>2078</v>
      </c>
      <c r="AA38" s="24">
        <f t="shared" si="52"/>
        <v>0.98145542307667988</v>
      </c>
      <c r="AB38" s="1"/>
    </row>
    <row r="39" spans="2:28" ht="18" x14ac:dyDescent="0.25">
      <c r="B39" s="3">
        <v>3</v>
      </c>
      <c r="C39" s="5">
        <f>C40+139</f>
        <v>677474</v>
      </c>
      <c r="D39" s="5">
        <f>D40+141</f>
        <v>1351777</v>
      </c>
      <c r="E39" s="5">
        <f>E40+100</f>
        <v>453472</v>
      </c>
      <c r="F39" s="8">
        <f t="shared" si="38"/>
        <v>2482723</v>
      </c>
      <c r="G39" s="22">
        <f t="shared" si="39"/>
        <v>2482461.75</v>
      </c>
      <c r="H39" s="7">
        <f t="shared" si="40"/>
        <v>2482479.375</v>
      </c>
      <c r="I39" s="5">
        <f>I40+74</f>
        <v>789237</v>
      </c>
      <c r="J39" s="6">
        <f t="shared" si="41"/>
        <v>139</v>
      </c>
      <c r="K39" s="6">
        <f t="shared" si="41"/>
        <v>141</v>
      </c>
      <c r="L39" s="6">
        <f t="shared" si="41"/>
        <v>100</v>
      </c>
      <c r="M39" s="6">
        <f t="shared" si="42"/>
        <v>74</v>
      </c>
      <c r="N39" s="5">
        <f t="shared" si="24"/>
        <v>148.5</v>
      </c>
      <c r="O39" s="3">
        <f t="shared" si="43"/>
        <v>100</v>
      </c>
      <c r="P39" s="5">
        <f t="shared" si="44"/>
        <v>48.5</v>
      </c>
      <c r="Q39" s="5">
        <f t="shared" si="45"/>
        <v>17.625</v>
      </c>
      <c r="R39" s="7">
        <f t="shared" si="28"/>
        <v>900</v>
      </c>
      <c r="S39" s="6">
        <f t="shared" si="46"/>
        <v>380</v>
      </c>
      <c r="T39" s="7">
        <f t="shared" si="47"/>
        <v>520</v>
      </c>
      <c r="U39" s="7">
        <f t="shared" si="48"/>
        <v>445.5</v>
      </c>
      <c r="V39" s="6">
        <f t="shared" si="48"/>
        <v>300</v>
      </c>
      <c r="W39" s="7">
        <f t="shared" si="49"/>
        <v>145.5</v>
      </c>
      <c r="X39" s="7">
        <f t="shared" si="50"/>
        <v>2700</v>
      </c>
      <c r="Y39" s="7">
        <f t="shared" si="50"/>
        <v>1138</v>
      </c>
      <c r="Z39" s="7">
        <f t="shared" si="51"/>
        <v>1562</v>
      </c>
      <c r="AA39" s="24">
        <f t="shared" si="52"/>
        <v>0.98156157703956792</v>
      </c>
      <c r="AB39" s="1"/>
    </row>
    <row r="40" spans="2:28" ht="18" x14ac:dyDescent="0.25">
      <c r="B40" s="3">
        <v>2</v>
      </c>
      <c r="C40" s="5">
        <f>C41+134</f>
        <v>677335</v>
      </c>
      <c r="D40" s="5">
        <f>D41+144</f>
        <v>1351636</v>
      </c>
      <c r="E40" s="5">
        <f>E41+98</f>
        <v>453372</v>
      </c>
      <c r="F40" s="8">
        <f t="shared" si="38"/>
        <v>2482343</v>
      </c>
      <c r="G40" s="22">
        <f t="shared" si="39"/>
        <v>2482084.5</v>
      </c>
      <c r="H40" s="7">
        <f t="shared" si="40"/>
        <v>2482102.5</v>
      </c>
      <c r="I40" s="5">
        <f>I41+81</f>
        <v>789163</v>
      </c>
      <c r="J40" s="6">
        <f t="shared" si="41"/>
        <v>134</v>
      </c>
      <c r="K40" s="6">
        <f t="shared" si="41"/>
        <v>144</v>
      </c>
      <c r="L40" s="6">
        <f t="shared" si="41"/>
        <v>98</v>
      </c>
      <c r="M40" s="6">
        <f t="shared" si="42"/>
        <v>81</v>
      </c>
      <c r="N40" s="5">
        <f t="shared" si="24"/>
        <v>148.5</v>
      </c>
      <c r="O40" s="3">
        <f t="shared" si="43"/>
        <v>98</v>
      </c>
      <c r="P40" s="5">
        <f t="shared" si="44"/>
        <v>50.5</v>
      </c>
      <c r="Q40" s="5">
        <f t="shared" si="45"/>
        <v>18</v>
      </c>
      <c r="R40" s="7">
        <f>R41</f>
        <v>900</v>
      </c>
      <c r="S40" s="6">
        <f t="shared" si="46"/>
        <v>376</v>
      </c>
      <c r="T40" s="7">
        <f t="shared" si="47"/>
        <v>524</v>
      </c>
      <c r="U40" s="7">
        <f t="shared" si="48"/>
        <v>297</v>
      </c>
      <c r="V40" s="6">
        <f t="shared" si="48"/>
        <v>200</v>
      </c>
      <c r="W40" s="7">
        <f t="shared" si="49"/>
        <v>97</v>
      </c>
      <c r="X40" s="7">
        <f t="shared" si="50"/>
        <v>1800</v>
      </c>
      <c r="Y40" s="7">
        <f t="shared" si="50"/>
        <v>758</v>
      </c>
      <c r="Z40" s="7">
        <f t="shared" si="51"/>
        <v>1042</v>
      </c>
      <c r="AA40" s="24">
        <f t="shared" si="52"/>
        <v>0.97757354721771361</v>
      </c>
      <c r="AB40" s="1"/>
    </row>
    <row r="41" spans="2:28" ht="18.75" thickBot="1" x14ac:dyDescent="0.3">
      <c r="B41" s="3">
        <v>1</v>
      </c>
      <c r="C41" s="5">
        <f>C42+138</f>
        <v>677201</v>
      </c>
      <c r="D41" s="5">
        <f>D42+142</f>
        <v>1351492</v>
      </c>
      <c r="E41" s="5">
        <f>E42+102</f>
        <v>453274</v>
      </c>
      <c r="F41" s="8">
        <f t="shared" si="38"/>
        <v>2481967</v>
      </c>
      <c r="G41" s="22">
        <f>(C42+D42+E42)+((S41/24)*7.5)</f>
        <v>2481704.375</v>
      </c>
      <c r="H41" s="7">
        <f>G41+((K41/12)*1.5)</f>
        <v>2481722.125</v>
      </c>
      <c r="I41" s="5">
        <f>I42+76</f>
        <v>789082</v>
      </c>
      <c r="J41" s="6">
        <f t="shared" si="41"/>
        <v>138</v>
      </c>
      <c r="K41" s="6">
        <f t="shared" si="41"/>
        <v>142</v>
      </c>
      <c r="L41" s="6">
        <f t="shared" si="41"/>
        <v>102</v>
      </c>
      <c r="M41" s="6">
        <f t="shared" si="42"/>
        <v>76</v>
      </c>
      <c r="N41" s="43">
        <f>O6/30</f>
        <v>148.5</v>
      </c>
      <c r="O41" s="3">
        <f t="shared" si="43"/>
        <v>102</v>
      </c>
      <c r="P41" s="5">
        <f t="shared" si="44"/>
        <v>46.5</v>
      </c>
      <c r="Q41" s="5">
        <f t="shared" si="45"/>
        <v>17.75</v>
      </c>
      <c r="R41" s="45">
        <f>S6/30</f>
        <v>900</v>
      </c>
      <c r="S41" s="6">
        <f t="shared" si="46"/>
        <v>382</v>
      </c>
      <c r="T41" s="7">
        <f t="shared" si="47"/>
        <v>518</v>
      </c>
      <c r="U41" s="7">
        <f>N41</f>
        <v>148.5</v>
      </c>
      <c r="V41" s="6">
        <f>O41</f>
        <v>102</v>
      </c>
      <c r="W41" s="7">
        <f t="shared" si="49"/>
        <v>46.5</v>
      </c>
      <c r="X41" s="7">
        <f>R41</f>
        <v>900</v>
      </c>
      <c r="Y41" s="7">
        <f>S41</f>
        <v>382</v>
      </c>
      <c r="Z41" s="7">
        <f t="shared" si="51"/>
        <v>518</v>
      </c>
      <c r="AA41" s="24">
        <f t="shared" si="52"/>
        <v>0.9807776769895149</v>
      </c>
      <c r="AB41" s="1"/>
    </row>
    <row r="42" spans="2:28" ht="54.75" thickBot="1" x14ac:dyDescent="0.3">
      <c r="B42" s="33" t="s">
        <v>13</v>
      </c>
      <c r="C42" s="3">
        <v>677063</v>
      </c>
      <c r="D42" s="3">
        <v>1351350</v>
      </c>
      <c r="E42" s="3">
        <v>453172</v>
      </c>
      <c r="F42" s="8">
        <v>2481585</v>
      </c>
      <c r="G42" s="9">
        <v>2481329.4375</v>
      </c>
      <c r="H42" s="9">
        <v>2481367.1458333335</v>
      </c>
      <c r="I42" s="3">
        <v>789006</v>
      </c>
      <c r="J42" s="10"/>
      <c r="K42" s="10" t="s">
        <v>39</v>
      </c>
      <c r="L42" s="10"/>
      <c r="M42" s="46">
        <f>SUM(M12:M41)</f>
        <v>2621</v>
      </c>
      <c r="N42" s="10"/>
      <c r="O42" s="10"/>
      <c r="P42" s="10"/>
      <c r="Q42" s="40"/>
      <c r="R42" s="10"/>
      <c r="S42" s="10"/>
      <c r="T42" s="10"/>
      <c r="U42" s="10"/>
      <c r="V42" s="10"/>
      <c r="W42" s="10"/>
      <c r="X42" s="10"/>
      <c r="Y42" s="10"/>
      <c r="Z42" s="10"/>
      <c r="AA42" s="76">
        <f>AVERAGE(AA11:AA41)</f>
        <v>0.97545222801382303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8" spans="2:28" ht="18" x14ac:dyDescent="0.25">
      <c r="Z48" s="10" t="s">
        <v>38</v>
      </c>
    </row>
    <row r="49" spans="26:27" ht="18" x14ac:dyDescent="0.25">
      <c r="Z49" s="10" t="s">
        <v>44</v>
      </c>
      <c r="AA49" s="10"/>
    </row>
    <row r="50" spans="26:27" ht="18" x14ac:dyDescent="0.25">
      <c r="Z50" s="10" t="s">
        <v>45</v>
      </c>
      <c r="AA50" s="10"/>
    </row>
    <row r="51" spans="26:27" ht="18" x14ac:dyDescent="0.25">
      <c r="Z51" s="10" t="s">
        <v>12</v>
      </c>
      <c r="AA51" s="10"/>
    </row>
  </sheetData>
  <mergeCells count="10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2:AB51"/>
  <sheetViews>
    <sheetView topLeftCell="G1" zoomScale="70" zoomScaleNormal="70" zoomScaleSheetLayoutView="98" workbookViewId="0">
      <pane ySplit="8" topLeftCell="A26" activePane="bottomLeft" state="frozen"/>
      <selection pane="bottomLeft" activeCell="AA42" sqref="AA42"/>
    </sheetView>
  </sheetViews>
  <sheetFormatPr baseColWidth="10" defaultColWidth="11.42578125" defaultRowHeight="15" x14ac:dyDescent="0.25"/>
  <cols>
    <col min="1" max="2" width="11.42578125" customWidth="1"/>
    <col min="3" max="4" width="12.28515625" bestFit="1" customWidth="1"/>
    <col min="5" max="5" width="11.42578125" customWidth="1"/>
    <col min="6" max="6" width="13.42578125" customWidth="1"/>
    <col min="7" max="7" width="14" bestFit="1" customWidth="1"/>
    <col min="8" max="8" width="12.42578125" customWidth="1"/>
    <col min="9" max="9" width="12.28515625" bestFit="1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45444</v>
      </c>
    </row>
    <row r="5" spans="2:28" x14ac:dyDescent="0.25">
      <c r="C5" s="72" t="s">
        <v>33</v>
      </c>
      <c r="D5" s="72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4950</v>
      </c>
      <c r="P6" s="30" t="s">
        <v>26</v>
      </c>
      <c r="Q6" s="11">
        <f>(S6*8)/100</f>
        <v>2400</v>
      </c>
      <c r="R6" s="13" t="s">
        <v>25</v>
      </c>
      <c r="S6" s="11">
        <v>30000</v>
      </c>
      <c r="T6" s="52" t="s">
        <v>41</v>
      </c>
      <c r="U6" s="52">
        <v>388</v>
      </c>
      <c r="V6" s="51">
        <f>U6/31</f>
        <v>12.516129032258064</v>
      </c>
    </row>
    <row r="7" spans="2:28" ht="46.5" customHeight="1" x14ac:dyDescent="0.25">
      <c r="B7" s="70" t="s">
        <v>24</v>
      </c>
      <c r="C7" s="68" t="s">
        <v>9</v>
      </c>
      <c r="D7" s="68"/>
      <c r="E7" s="68"/>
      <c r="F7" s="68"/>
      <c r="G7" s="68"/>
      <c r="H7" s="68"/>
      <c r="I7" s="68"/>
      <c r="J7" s="68" t="s">
        <v>23</v>
      </c>
      <c r="K7" s="68"/>
      <c r="L7" s="68"/>
      <c r="M7" s="68"/>
      <c r="N7" s="68" t="s">
        <v>22</v>
      </c>
      <c r="O7" s="68"/>
      <c r="P7" s="68"/>
      <c r="Q7" s="69" t="s">
        <v>21</v>
      </c>
      <c r="R7" s="68" t="s">
        <v>20</v>
      </c>
      <c r="S7" s="68"/>
      <c r="T7" s="68"/>
      <c r="U7" s="68" t="s">
        <v>10</v>
      </c>
      <c r="V7" s="68"/>
      <c r="W7" s="68"/>
      <c r="X7" s="68" t="s">
        <v>11</v>
      </c>
      <c r="Y7" s="68"/>
      <c r="Z7" s="68"/>
      <c r="AA7" s="68"/>
      <c r="AB7" s="69" t="s">
        <v>8</v>
      </c>
    </row>
    <row r="8" spans="2:28" ht="30" x14ac:dyDescent="0.25">
      <c r="B8" s="70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69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6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5" customFormat="1" ht="18" x14ac:dyDescent="0.25">
      <c r="B11" s="56">
        <v>31</v>
      </c>
      <c r="C11" s="57"/>
      <c r="D11" s="57"/>
      <c r="E11" s="57"/>
      <c r="F11" s="58">
        <f t="shared" ref="F11" si="0">C11+D11+E11</f>
        <v>0</v>
      </c>
      <c r="G11" s="59">
        <f t="shared" ref="G11" si="1">(C12+D12+E12)+((S11/24)*9.5)</f>
        <v>888048.27083333326</v>
      </c>
      <c r="H11" s="57">
        <f t="shared" ref="H11" si="2">G11+((K11/12)*2.5)</f>
        <v>760545.14583333326</v>
      </c>
      <c r="I11" s="57"/>
      <c r="J11" s="60">
        <f t="shared" ref="J11:L11" si="3">C11-C12</f>
        <v>-453472</v>
      </c>
      <c r="K11" s="60">
        <f t="shared" si="3"/>
        <v>-612015</v>
      </c>
      <c r="L11" s="60">
        <f t="shared" si="3"/>
        <v>-404386</v>
      </c>
      <c r="M11" s="60">
        <f t="shared" ref="M11" si="4">I11-I12</f>
        <v>-277941</v>
      </c>
      <c r="N11" s="61">
        <f t="shared" ref="N11" si="5">N12</f>
        <v>165</v>
      </c>
      <c r="O11" s="62">
        <f t="shared" ref="O11" si="6">L11</f>
        <v>-404386</v>
      </c>
      <c r="P11" s="61">
        <f t="shared" ref="P11" si="7">N11-O11</f>
        <v>404551</v>
      </c>
      <c r="Q11" s="61">
        <f t="shared" ref="Q11" si="8">H11-G11</f>
        <v>-127503.125</v>
      </c>
      <c r="R11" s="57">
        <f t="shared" ref="R11" si="9">R12</f>
        <v>1000</v>
      </c>
      <c r="S11" s="60">
        <f t="shared" ref="S11" si="10">J11+K11+L11</f>
        <v>-1469873</v>
      </c>
      <c r="T11" s="57">
        <f t="shared" ref="T11" si="11">R11-S11</f>
        <v>1470873</v>
      </c>
      <c r="U11" s="57">
        <f t="shared" ref="U11:V11" si="12">U12+N11</f>
        <v>5115</v>
      </c>
      <c r="V11" s="57">
        <f t="shared" si="12"/>
        <v>-400124</v>
      </c>
      <c r="W11" s="57">
        <f t="shared" ref="W11" si="13">U11-V11</f>
        <v>405239</v>
      </c>
      <c r="X11" s="57">
        <f t="shared" ref="X11:Y11" si="14">X12+R11</f>
        <v>31000</v>
      </c>
      <c r="Y11" s="57">
        <f t="shared" si="14"/>
        <v>-1454659</v>
      </c>
      <c r="Z11" s="57">
        <f t="shared" ref="Z11" si="15">X11-Y11</f>
        <v>1485659</v>
      </c>
      <c r="AA11" s="63">
        <f t="shared" ref="AA11" si="16">COS(ATAN(M11/S11))</f>
        <v>0.98258771153315372</v>
      </c>
      <c r="AB11" s="64"/>
    </row>
    <row r="12" spans="2:28" ht="18" x14ac:dyDescent="0.25">
      <c r="B12" s="3">
        <v>30</v>
      </c>
      <c r="C12" s="3">
        <v>453472</v>
      </c>
      <c r="D12" s="3">
        <v>612015</v>
      </c>
      <c r="E12" s="3">
        <v>404386</v>
      </c>
      <c r="F12" s="8">
        <f t="shared" ref="F12" si="17">C12+D12+E12</f>
        <v>1469873</v>
      </c>
      <c r="G12" s="22">
        <f t="shared" ref="G12" si="18">(C13+D13+E13)+((S12/24)*5)</f>
        <v>1469357.625</v>
      </c>
      <c r="H12" s="7">
        <f t="shared" ref="H12" si="19">G12+((K12/12)*3)</f>
        <v>1469415.625</v>
      </c>
      <c r="I12" s="3">
        <v>277941</v>
      </c>
      <c r="J12" s="6">
        <f t="shared" ref="J12" si="20">C12-C13</f>
        <v>207</v>
      </c>
      <c r="K12" s="6">
        <f t="shared" ref="K12" si="21">D12-D13</f>
        <v>232</v>
      </c>
      <c r="L12" s="6">
        <f t="shared" ref="L12" si="22">E12-E13</f>
        <v>212</v>
      </c>
      <c r="M12" s="6">
        <f t="shared" ref="M12" si="23">I12-I13</f>
        <v>120</v>
      </c>
      <c r="N12" s="5">
        <f t="shared" ref="N12:N40" si="24">N13</f>
        <v>165</v>
      </c>
      <c r="O12" s="23">
        <f t="shared" ref="O12" si="25">L12</f>
        <v>212</v>
      </c>
      <c r="P12" s="5">
        <f t="shared" ref="P12" si="26">N12-O12</f>
        <v>-47</v>
      </c>
      <c r="Q12" s="5">
        <f t="shared" ref="Q12" si="27">H12-G12</f>
        <v>58</v>
      </c>
      <c r="R12" s="7">
        <f t="shared" ref="R12:R39" si="28">R13</f>
        <v>1000</v>
      </c>
      <c r="S12" s="6">
        <f t="shared" ref="S12" si="29">J12+K12+L12</f>
        <v>651</v>
      </c>
      <c r="T12" s="7">
        <f t="shared" ref="T12" si="30">R12-S12</f>
        <v>349</v>
      </c>
      <c r="U12" s="7">
        <f t="shared" ref="U12" si="31">U13+N12</f>
        <v>4950</v>
      </c>
      <c r="V12" s="7">
        <f t="shared" ref="V12" si="32">V13+O12</f>
        <v>4262</v>
      </c>
      <c r="W12" s="7">
        <f t="shared" ref="W12" si="33">U12-V12</f>
        <v>688</v>
      </c>
      <c r="X12" s="7">
        <f t="shared" ref="X12" si="34">X13+R12</f>
        <v>30000</v>
      </c>
      <c r="Y12" s="7">
        <f t="shared" ref="Y12" si="35">Y13+S12</f>
        <v>15214</v>
      </c>
      <c r="Z12" s="7">
        <f t="shared" ref="Z12" si="36">X12-Y12</f>
        <v>14786</v>
      </c>
      <c r="AA12" s="24">
        <f t="shared" ref="AA12" si="37">COS(ATAN(M12/S12))</f>
        <v>0.98343193359235659</v>
      </c>
      <c r="AB12" s="25"/>
    </row>
    <row r="13" spans="2:28" ht="18" x14ac:dyDescent="0.25">
      <c r="B13" s="3">
        <v>29</v>
      </c>
      <c r="C13" s="3">
        <f>C14+227</f>
        <v>453265</v>
      </c>
      <c r="D13" s="3">
        <f>D14+235</f>
        <v>611783</v>
      </c>
      <c r="E13" s="3">
        <f>E14+220</f>
        <v>404174</v>
      </c>
      <c r="F13" s="8">
        <f t="shared" ref="F13:F41" si="38">C13+D13+E13</f>
        <v>1469222</v>
      </c>
      <c r="G13" s="22">
        <f t="shared" ref="G13:G40" si="39">(C14+D14+E14)+((S13/24)*5)</f>
        <v>1468682.0833333333</v>
      </c>
      <c r="H13" s="7">
        <f t="shared" ref="H13:H40" si="40">G13+((K13/12)*3)</f>
        <v>1468740.8333333333</v>
      </c>
      <c r="I13" s="3">
        <f>I14+114</f>
        <v>277821</v>
      </c>
      <c r="J13" s="6">
        <f t="shared" ref="J13:L41" si="41">C13-C14</f>
        <v>227</v>
      </c>
      <c r="K13" s="6">
        <f t="shared" si="41"/>
        <v>235</v>
      </c>
      <c r="L13" s="6">
        <f t="shared" si="41"/>
        <v>220</v>
      </c>
      <c r="M13" s="6">
        <f t="shared" ref="M13:M41" si="42">I13-I14</f>
        <v>114</v>
      </c>
      <c r="N13" s="5">
        <f t="shared" si="24"/>
        <v>165</v>
      </c>
      <c r="O13" s="23">
        <f t="shared" ref="O13:O41" si="43">L13</f>
        <v>220</v>
      </c>
      <c r="P13" s="5">
        <f t="shared" ref="P13:P41" si="44">N13-O13</f>
        <v>-55</v>
      </c>
      <c r="Q13" s="5">
        <f t="shared" ref="Q13:Q41" si="45">H13-G13</f>
        <v>58.75</v>
      </c>
      <c r="R13" s="7">
        <f t="shared" si="28"/>
        <v>1000</v>
      </c>
      <c r="S13" s="6">
        <f t="shared" ref="S13:S41" si="46">J13+K13+L13</f>
        <v>682</v>
      </c>
      <c r="T13" s="7">
        <f t="shared" ref="T13:T41" si="47">R13-S13</f>
        <v>318</v>
      </c>
      <c r="U13" s="7">
        <f t="shared" ref="U13:V40" si="48">U14+N13</f>
        <v>4785</v>
      </c>
      <c r="V13" s="7">
        <f t="shared" si="48"/>
        <v>4050</v>
      </c>
      <c r="W13" s="7">
        <f t="shared" ref="W13:W41" si="49">U13-V13</f>
        <v>735</v>
      </c>
      <c r="X13" s="7">
        <f t="shared" ref="X13:Y40" si="50">X14+R13</f>
        <v>29000</v>
      </c>
      <c r="Y13" s="7">
        <f t="shared" si="50"/>
        <v>14563</v>
      </c>
      <c r="Z13" s="7">
        <f t="shared" ref="Z13:Z41" si="51">X13-Y13</f>
        <v>14437</v>
      </c>
      <c r="AA13" s="24">
        <f t="shared" ref="AA13:AA41" si="52">COS(ATAN(M13/S13))</f>
        <v>0.98631563876826067</v>
      </c>
      <c r="AB13" s="25"/>
    </row>
    <row r="14" spans="2:28" ht="18" x14ac:dyDescent="0.25">
      <c r="B14" s="3">
        <v>28</v>
      </c>
      <c r="C14" s="3">
        <f>C15+222</f>
        <v>453038</v>
      </c>
      <c r="D14" s="3">
        <f>D15+240</f>
        <v>611548</v>
      </c>
      <c r="E14" s="3">
        <f>E15+227</f>
        <v>403954</v>
      </c>
      <c r="F14" s="8">
        <f t="shared" si="38"/>
        <v>1468540</v>
      </c>
      <c r="G14" s="22">
        <f t="shared" si="39"/>
        <v>1467994.5416666667</v>
      </c>
      <c r="H14" s="7">
        <f t="shared" si="40"/>
        <v>1468054.5416666667</v>
      </c>
      <c r="I14" s="3">
        <f>I15+126</f>
        <v>277707</v>
      </c>
      <c r="J14" s="6">
        <f t="shared" si="41"/>
        <v>222</v>
      </c>
      <c r="K14" s="6">
        <f t="shared" si="41"/>
        <v>240</v>
      </c>
      <c r="L14" s="6">
        <f t="shared" si="41"/>
        <v>227</v>
      </c>
      <c r="M14" s="6">
        <f t="shared" si="42"/>
        <v>126</v>
      </c>
      <c r="N14" s="5">
        <f t="shared" si="24"/>
        <v>165</v>
      </c>
      <c r="O14" s="23">
        <f t="shared" si="43"/>
        <v>227</v>
      </c>
      <c r="P14" s="5">
        <f t="shared" si="44"/>
        <v>-62</v>
      </c>
      <c r="Q14" s="5">
        <f t="shared" si="45"/>
        <v>60</v>
      </c>
      <c r="R14" s="7">
        <f t="shared" si="28"/>
        <v>1000</v>
      </c>
      <c r="S14" s="6">
        <f t="shared" si="46"/>
        <v>689</v>
      </c>
      <c r="T14" s="7">
        <f t="shared" si="47"/>
        <v>311</v>
      </c>
      <c r="U14" s="7">
        <f t="shared" si="48"/>
        <v>4620</v>
      </c>
      <c r="V14" s="7">
        <f t="shared" si="48"/>
        <v>3830</v>
      </c>
      <c r="W14" s="7">
        <f t="shared" si="49"/>
        <v>790</v>
      </c>
      <c r="X14" s="7">
        <f t="shared" si="50"/>
        <v>28000</v>
      </c>
      <c r="Y14" s="7">
        <f t="shared" si="50"/>
        <v>13881</v>
      </c>
      <c r="Z14" s="7">
        <f t="shared" si="51"/>
        <v>14119</v>
      </c>
      <c r="AA14" s="24">
        <f t="shared" si="52"/>
        <v>0.98368665085249163</v>
      </c>
      <c r="AB14" s="25"/>
    </row>
    <row r="15" spans="2:28" ht="18" x14ac:dyDescent="0.25">
      <c r="B15" s="3">
        <v>27</v>
      </c>
      <c r="C15" s="3">
        <f>C16+215</f>
        <v>452816</v>
      </c>
      <c r="D15" s="3">
        <f>D16+246</f>
        <v>611308</v>
      </c>
      <c r="E15" s="3">
        <f>E16+231</f>
        <v>403727</v>
      </c>
      <c r="F15" s="8">
        <f t="shared" si="38"/>
        <v>1467851</v>
      </c>
      <c r="G15" s="22">
        <f t="shared" si="39"/>
        <v>1467303.1666666667</v>
      </c>
      <c r="H15" s="7">
        <f t="shared" si="40"/>
        <v>1467364.6666666667</v>
      </c>
      <c r="I15" s="3">
        <f>I16+134</f>
        <v>277581</v>
      </c>
      <c r="J15" s="6">
        <f t="shared" si="41"/>
        <v>215</v>
      </c>
      <c r="K15" s="6">
        <f t="shared" si="41"/>
        <v>246</v>
      </c>
      <c r="L15" s="6">
        <f t="shared" si="41"/>
        <v>231</v>
      </c>
      <c r="M15" s="6">
        <f t="shared" si="42"/>
        <v>134</v>
      </c>
      <c r="N15" s="5">
        <f t="shared" si="24"/>
        <v>165</v>
      </c>
      <c r="O15" s="23">
        <f t="shared" si="43"/>
        <v>231</v>
      </c>
      <c r="P15" s="5">
        <f t="shared" si="44"/>
        <v>-66</v>
      </c>
      <c r="Q15" s="5">
        <f t="shared" si="45"/>
        <v>61.5</v>
      </c>
      <c r="R15" s="7">
        <f t="shared" si="28"/>
        <v>1000</v>
      </c>
      <c r="S15" s="6">
        <f t="shared" si="46"/>
        <v>692</v>
      </c>
      <c r="T15" s="7">
        <f t="shared" si="47"/>
        <v>308</v>
      </c>
      <c r="U15" s="7">
        <f t="shared" si="48"/>
        <v>4455</v>
      </c>
      <c r="V15" s="7">
        <f t="shared" si="48"/>
        <v>3603</v>
      </c>
      <c r="W15" s="7">
        <f t="shared" si="49"/>
        <v>852</v>
      </c>
      <c r="X15" s="7">
        <f t="shared" si="50"/>
        <v>27000</v>
      </c>
      <c r="Y15" s="7">
        <f t="shared" si="50"/>
        <v>13192</v>
      </c>
      <c r="Z15" s="7">
        <f t="shared" si="51"/>
        <v>13808</v>
      </c>
      <c r="AA15" s="24">
        <f t="shared" si="52"/>
        <v>0.9817627706101556</v>
      </c>
      <c r="AB15" s="25"/>
    </row>
    <row r="16" spans="2:28" ht="18" x14ac:dyDescent="0.25">
      <c r="B16" s="3">
        <v>26</v>
      </c>
      <c r="C16" s="3">
        <f>C17+220</f>
        <v>452601</v>
      </c>
      <c r="D16" s="3">
        <f>D17+241</f>
        <v>611062</v>
      </c>
      <c r="E16" s="3">
        <f>E17+225</f>
        <v>403496</v>
      </c>
      <c r="F16" s="8">
        <f t="shared" si="38"/>
        <v>1467159</v>
      </c>
      <c r="G16" s="22">
        <f t="shared" si="39"/>
        <v>1466615.9166666667</v>
      </c>
      <c r="H16" s="7">
        <f t="shared" si="40"/>
        <v>1466676.1666666667</v>
      </c>
      <c r="I16" s="3">
        <f>I17+131</f>
        <v>277447</v>
      </c>
      <c r="J16" s="6">
        <f t="shared" si="41"/>
        <v>220</v>
      </c>
      <c r="K16" s="6">
        <f t="shared" si="41"/>
        <v>241</v>
      </c>
      <c r="L16" s="6">
        <f t="shared" si="41"/>
        <v>225</v>
      </c>
      <c r="M16" s="6">
        <f t="shared" si="42"/>
        <v>131</v>
      </c>
      <c r="N16" s="5">
        <f t="shared" si="24"/>
        <v>165</v>
      </c>
      <c r="O16" s="23">
        <f t="shared" si="43"/>
        <v>225</v>
      </c>
      <c r="P16" s="5">
        <f t="shared" si="44"/>
        <v>-60</v>
      </c>
      <c r="Q16" s="5">
        <f t="shared" si="45"/>
        <v>60.25</v>
      </c>
      <c r="R16" s="7">
        <f t="shared" si="28"/>
        <v>1000</v>
      </c>
      <c r="S16" s="6">
        <f t="shared" si="46"/>
        <v>686</v>
      </c>
      <c r="T16" s="7">
        <f t="shared" si="47"/>
        <v>314</v>
      </c>
      <c r="U16" s="7">
        <f t="shared" si="48"/>
        <v>4290</v>
      </c>
      <c r="V16" s="7">
        <f t="shared" si="48"/>
        <v>3372</v>
      </c>
      <c r="W16" s="7">
        <f t="shared" si="49"/>
        <v>918</v>
      </c>
      <c r="X16" s="7">
        <f t="shared" si="50"/>
        <v>26000</v>
      </c>
      <c r="Y16" s="7">
        <f t="shared" si="50"/>
        <v>12500</v>
      </c>
      <c r="Z16" s="7">
        <f t="shared" si="51"/>
        <v>13500</v>
      </c>
      <c r="AA16" s="24">
        <f t="shared" si="52"/>
        <v>0.98225073007819896</v>
      </c>
      <c r="AB16" s="25"/>
    </row>
    <row r="17" spans="2:28" ht="18" x14ac:dyDescent="0.25">
      <c r="B17" s="3">
        <v>25</v>
      </c>
      <c r="C17" s="3">
        <f>C18+127</f>
        <v>452381</v>
      </c>
      <c r="D17" s="3">
        <f>D18+121</f>
        <v>610821</v>
      </c>
      <c r="E17" s="3">
        <f>E18+55</f>
        <v>403271</v>
      </c>
      <c r="F17" s="8">
        <f t="shared" si="38"/>
        <v>1466473</v>
      </c>
      <c r="G17" s="22">
        <f t="shared" si="39"/>
        <v>1466233.125</v>
      </c>
      <c r="H17" s="7">
        <f t="shared" si="40"/>
        <v>1466263.375</v>
      </c>
      <c r="I17" s="3">
        <f>I18+70</f>
        <v>277316</v>
      </c>
      <c r="J17" s="6">
        <f t="shared" si="41"/>
        <v>127</v>
      </c>
      <c r="K17" s="6">
        <f t="shared" si="41"/>
        <v>121</v>
      </c>
      <c r="L17" s="6">
        <f t="shared" si="41"/>
        <v>55</v>
      </c>
      <c r="M17" s="6">
        <f t="shared" si="42"/>
        <v>70</v>
      </c>
      <c r="N17" s="5">
        <f t="shared" si="24"/>
        <v>165</v>
      </c>
      <c r="O17" s="23">
        <f t="shared" si="43"/>
        <v>55</v>
      </c>
      <c r="P17" s="5">
        <f t="shared" si="44"/>
        <v>110</v>
      </c>
      <c r="Q17" s="5">
        <f t="shared" si="45"/>
        <v>30.25</v>
      </c>
      <c r="R17" s="7">
        <f t="shared" si="28"/>
        <v>1000</v>
      </c>
      <c r="S17" s="6">
        <f t="shared" si="46"/>
        <v>303</v>
      </c>
      <c r="T17" s="7">
        <f t="shared" si="47"/>
        <v>697</v>
      </c>
      <c r="U17" s="7">
        <f t="shared" si="48"/>
        <v>4125</v>
      </c>
      <c r="V17" s="7">
        <f t="shared" si="48"/>
        <v>3147</v>
      </c>
      <c r="W17" s="7">
        <f t="shared" si="49"/>
        <v>978</v>
      </c>
      <c r="X17" s="7">
        <f t="shared" si="50"/>
        <v>25000</v>
      </c>
      <c r="Y17" s="7">
        <f t="shared" si="50"/>
        <v>11814</v>
      </c>
      <c r="Z17" s="7">
        <f t="shared" si="51"/>
        <v>13186</v>
      </c>
      <c r="AA17" s="24">
        <f t="shared" si="52"/>
        <v>0.97433697132128005</v>
      </c>
      <c r="AB17" s="25"/>
    </row>
    <row r="18" spans="2:28" ht="18" x14ac:dyDescent="0.25">
      <c r="B18" s="3">
        <v>24</v>
      </c>
      <c r="C18" s="3">
        <f>C19+131</f>
        <v>452254</v>
      </c>
      <c r="D18" s="3">
        <f>D19+115</f>
        <v>610700</v>
      </c>
      <c r="E18" s="3">
        <f>E19+69</f>
        <v>403216</v>
      </c>
      <c r="F18" s="9">
        <f>C18+D18+E18</f>
        <v>1466170</v>
      </c>
      <c r="G18" s="22">
        <f t="shared" si="39"/>
        <v>1465920.625</v>
      </c>
      <c r="H18" s="7">
        <f t="shared" si="40"/>
        <v>1465949.375</v>
      </c>
      <c r="I18" s="3">
        <f>I19+73</f>
        <v>277246</v>
      </c>
      <c r="J18" s="6">
        <f t="shared" si="41"/>
        <v>131</v>
      </c>
      <c r="K18" s="6">
        <f t="shared" si="41"/>
        <v>115</v>
      </c>
      <c r="L18" s="6">
        <f t="shared" si="41"/>
        <v>69</v>
      </c>
      <c r="M18" s="6">
        <f t="shared" si="42"/>
        <v>73</v>
      </c>
      <c r="N18" s="5">
        <f t="shared" si="24"/>
        <v>165</v>
      </c>
      <c r="O18" s="23">
        <f t="shared" si="43"/>
        <v>69</v>
      </c>
      <c r="P18" s="5">
        <f t="shared" si="44"/>
        <v>96</v>
      </c>
      <c r="Q18" s="5">
        <f t="shared" si="45"/>
        <v>28.75</v>
      </c>
      <c r="R18" s="7">
        <f t="shared" si="28"/>
        <v>1000</v>
      </c>
      <c r="S18" s="6">
        <f t="shared" si="46"/>
        <v>315</v>
      </c>
      <c r="T18" s="7">
        <f t="shared" si="47"/>
        <v>685</v>
      </c>
      <c r="U18" s="7">
        <f t="shared" si="48"/>
        <v>3960</v>
      </c>
      <c r="V18" s="7">
        <f t="shared" si="48"/>
        <v>3092</v>
      </c>
      <c r="W18" s="7">
        <f t="shared" si="49"/>
        <v>868</v>
      </c>
      <c r="X18" s="7">
        <f t="shared" si="50"/>
        <v>24000</v>
      </c>
      <c r="Y18" s="7">
        <f t="shared" si="50"/>
        <v>11511</v>
      </c>
      <c r="Z18" s="7">
        <f t="shared" si="51"/>
        <v>12489</v>
      </c>
      <c r="AA18" s="24">
        <f t="shared" si="52"/>
        <v>0.97418228410983287</v>
      </c>
      <c r="AB18" s="25"/>
    </row>
    <row r="19" spans="2:28" ht="18" x14ac:dyDescent="0.25">
      <c r="B19" s="3">
        <v>23</v>
      </c>
      <c r="C19" s="3">
        <v>452123</v>
      </c>
      <c r="D19" s="3">
        <v>610585</v>
      </c>
      <c r="E19" s="3">
        <v>403147</v>
      </c>
      <c r="F19" s="9">
        <f>C19+D19+E19</f>
        <v>1465855</v>
      </c>
      <c r="G19" s="22">
        <f t="shared" si="39"/>
        <v>1465634.125</v>
      </c>
      <c r="H19" s="7">
        <f t="shared" si="40"/>
        <v>1465660.125</v>
      </c>
      <c r="I19" s="3">
        <v>277173</v>
      </c>
      <c r="J19" s="6">
        <f t="shared" si="41"/>
        <v>125</v>
      </c>
      <c r="K19" s="6">
        <f t="shared" si="41"/>
        <v>104</v>
      </c>
      <c r="L19" s="6">
        <f t="shared" si="41"/>
        <v>50</v>
      </c>
      <c r="M19" s="6">
        <f t="shared" si="42"/>
        <v>62</v>
      </c>
      <c r="N19" s="5">
        <f t="shared" si="24"/>
        <v>165</v>
      </c>
      <c r="O19" s="3">
        <f t="shared" si="43"/>
        <v>50</v>
      </c>
      <c r="P19" s="5">
        <f t="shared" si="44"/>
        <v>115</v>
      </c>
      <c r="Q19" s="5">
        <f t="shared" si="45"/>
        <v>26</v>
      </c>
      <c r="R19" s="7">
        <f t="shared" si="28"/>
        <v>1000</v>
      </c>
      <c r="S19" s="6">
        <f t="shared" si="46"/>
        <v>279</v>
      </c>
      <c r="T19" s="7">
        <f t="shared" si="47"/>
        <v>721</v>
      </c>
      <c r="U19" s="7">
        <f t="shared" si="48"/>
        <v>3795</v>
      </c>
      <c r="V19" s="7">
        <f t="shared" si="48"/>
        <v>3023</v>
      </c>
      <c r="W19" s="7">
        <f t="shared" si="49"/>
        <v>772</v>
      </c>
      <c r="X19" s="7">
        <f t="shared" si="50"/>
        <v>23000</v>
      </c>
      <c r="Y19" s="7">
        <f t="shared" si="50"/>
        <v>11196</v>
      </c>
      <c r="Z19" s="7">
        <f t="shared" si="51"/>
        <v>11804</v>
      </c>
      <c r="AA19" s="24">
        <f t="shared" si="52"/>
        <v>0.97618706018395274</v>
      </c>
      <c r="AB19" s="1"/>
    </row>
    <row r="20" spans="2:28" ht="18" x14ac:dyDescent="0.25">
      <c r="B20" s="3">
        <v>22</v>
      </c>
      <c r="C20" s="3">
        <f>C21+128</f>
        <v>451998</v>
      </c>
      <c r="D20" s="3">
        <f>D21+107</f>
        <v>610481</v>
      </c>
      <c r="E20" s="3">
        <f>E21+55</f>
        <v>403097</v>
      </c>
      <c r="F20" s="9">
        <f>C20+D20+E20</f>
        <v>1465576</v>
      </c>
      <c r="G20" s="22">
        <f t="shared" si="39"/>
        <v>1465346.4166666667</v>
      </c>
      <c r="H20" s="7">
        <f t="shared" si="40"/>
        <v>1465373.1666666667</v>
      </c>
      <c r="I20" s="3">
        <f>I21+65</f>
        <v>277111</v>
      </c>
      <c r="J20" s="6">
        <f t="shared" si="41"/>
        <v>128</v>
      </c>
      <c r="K20" s="6">
        <f t="shared" si="41"/>
        <v>107</v>
      </c>
      <c r="L20" s="6">
        <f t="shared" si="41"/>
        <v>55</v>
      </c>
      <c r="M20" s="6">
        <f t="shared" si="42"/>
        <v>65</v>
      </c>
      <c r="N20" s="5">
        <f t="shared" si="24"/>
        <v>165</v>
      </c>
      <c r="O20" s="3">
        <f t="shared" si="43"/>
        <v>55</v>
      </c>
      <c r="P20" s="5">
        <f t="shared" si="44"/>
        <v>110</v>
      </c>
      <c r="Q20" s="5">
        <f t="shared" si="45"/>
        <v>26.75</v>
      </c>
      <c r="R20" s="7">
        <f t="shared" si="28"/>
        <v>1000</v>
      </c>
      <c r="S20" s="6">
        <f t="shared" si="46"/>
        <v>290</v>
      </c>
      <c r="T20" s="7">
        <f t="shared" si="47"/>
        <v>710</v>
      </c>
      <c r="U20" s="7">
        <f t="shared" si="48"/>
        <v>3630</v>
      </c>
      <c r="V20" s="7">
        <f t="shared" si="48"/>
        <v>2973</v>
      </c>
      <c r="W20" s="7">
        <f t="shared" si="49"/>
        <v>657</v>
      </c>
      <c r="X20" s="7">
        <f t="shared" si="50"/>
        <v>22000</v>
      </c>
      <c r="Y20" s="7">
        <f t="shared" si="50"/>
        <v>10917</v>
      </c>
      <c r="Z20" s="7">
        <f t="shared" si="51"/>
        <v>11083</v>
      </c>
      <c r="AA20" s="24">
        <f t="shared" si="52"/>
        <v>0.97578957701600644</v>
      </c>
      <c r="AB20" s="1"/>
    </row>
    <row r="21" spans="2:28" ht="18" x14ac:dyDescent="0.25">
      <c r="B21" s="3">
        <v>21</v>
      </c>
      <c r="C21" s="3">
        <f>C22+130</f>
        <v>451870</v>
      </c>
      <c r="D21" s="3">
        <f>D22+111</f>
        <v>610374</v>
      </c>
      <c r="E21" s="3">
        <f>E22+61</f>
        <v>403042</v>
      </c>
      <c r="F21" s="8">
        <f t="shared" si="38"/>
        <v>1465286</v>
      </c>
      <c r="G21" s="22">
        <f t="shared" si="39"/>
        <v>1465046.9166666667</v>
      </c>
      <c r="H21" s="7">
        <f t="shared" si="40"/>
        <v>1465074.6666666667</v>
      </c>
      <c r="I21" s="3">
        <f>I22+67</f>
        <v>277046</v>
      </c>
      <c r="J21" s="6">
        <f t="shared" si="41"/>
        <v>130</v>
      </c>
      <c r="K21" s="6">
        <f t="shared" si="41"/>
        <v>111</v>
      </c>
      <c r="L21" s="6">
        <f t="shared" si="41"/>
        <v>61</v>
      </c>
      <c r="M21" s="6">
        <f t="shared" si="42"/>
        <v>67</v>
      </c>
      <c r="N21" s="5">
        <f t="shared" si="24"/>
        <v>165</v>
      </c>
      <c r="O21" s="3">
        <f t="shared" si="43"/>
        <v>61</v>
      </c>
      <c r="P21" s="5">
        <f t="shared" si="44"/>
        <v>104</v>
      </c>
      <c r="Q21" s="5">
        <f t="shared" si="45"/>
        <v>27.75</v>
      </c>
      <c r="R21" s="7">
        <f t="shared" si="28"/>
        <v>1000</v>
      </c>
      <c r="S21" s="6">
        <f t="shared" si="46"/>
        <v>302</v>
      </c>
      <c r="T21" s="7">
        <f t="shared" si="47"/>
        <v>698</v>
      </c>
      <c r="U21" s="7">
        <f t="shared" si="48"/>
        <v>3465</v>
      </c>
      <c r="V21" s="7">
        <f t="shared" si="48"/>
        <v>2918</v>
      </c>
      <c r="W21" s="7">
        <f t="shared" si="49"/>
        <v>547</v>
      </c>
      <c r="X21" s="7">
        <f t="shared" si="50"/>
        <v>21000</v>
      </c>
      <c r="Y21" s="7">
        <f t="shared" si="50"/>
        <v>10627</v>
      </c>
      <c r="Z21" s="7">
        <f t="shared" si="51"/>
        <v>10373</v>
      </c>
      <c r="AA21" s="24">
        <f t="shared" si="52"/>
        <v>0.97626306274486108</v>
      </c>
      <c r="AB21" s="1"/>
    </row>
    <row r="22" spans="2:28" ht="18" x14ac:dyDescent="0.25">
      <c r="B22" s="3">
        <v>20</v>
      </c>
      <c r="C22" s="3">
        <v>451740</v>
      </c>
      <c r="D22" s="3">
        <v>610263</v>
      </c>
      <c r="E22" s="3">
        <v>402981</v>
      </c>
      <c r="F22" s="8">
        <f t="shared" si="38"/>
        <v>1464984</v>
      </c>
      <c r="G22" s="22">
        <f t="shared" si="39"/>
        <v>1464472.5833333333</v>
      </c>
      <c r="H22" s="7">
        <f t="shared" si="40"/>
        <v>1464542.3333333333</v>
      </c>
      <c r="I22" s="3">
        <v>276979</v>
      </c>
      <c r="J22" s="6">
        <f t="shared" si="41"/>
        <v>179</v>
      </c>
      <c r="K22" s="6">
        <f t="shared" si="41"/>
        <v>279</v>
      </c>
      <c r="L22" s="6">
        <f t="shared" si="41"/>
        <v>188</v>
      </c>
      <c r="M22" s="6">
        <f t="shared" si="42"/>
        <v>127</v>
      </c>
      <c r="N22" s="5">
        <f t="shared" si="24"/>
        <v>165</v>
      </c>
      <c r="O22" s="3">
        <f t="shared" si="43"/>
        <v>188</v>
      </c>
      <c r="P22" s="5">
        <f t="shared" si="44"/>
        <v>-23</v>
      </c>
      <c r="Q22" s="5">
        <v>11</v>
      </c>
      <c r="R22" s="7">
        <f t="shared" si="28"/>
        <v>1000</v>
      </c>
      <c r="S22" s="6">
        <f t="shared" si="46"/>
        <v>646</v>
      </c>
      <c r="T22" s="7">
        <f t="shared" si="47"/>
        <v>354</v>
      </c>
      <c r="U22" s="7">
        <f t="shared" si="48"/>
        <v>3300</v>
      </c>
      <c r="V22" s="7">
        <f t="shared" si="48"/>
        <v>2857</v>
      </c>
      <c r="W22" s="7">
        <f t="shared" si="49"/>
        <v>443</v>
      </c>
      <c r="X22" s="7">
        <f t="shared" si="50"/>
        <v>20000</v>
      </c>
      <c r="Y22" s="7">
        <f t="shared" si="50"/>
        <v>10325</v>
      </c>
      <c r="Z22" s="7">
        <f t="shared" si="51"/>
        <v>9675</v>
      </c>
      <c r="AA22" s="24">
        <f t="shared" si="52"/>
        <v>0.98121802867870678</v>
      </c>
      <c r="AB22" s="1"/>
    </row>
    <row r="23" spans="2:28" ht="18" x14ac:dyDescent="0.25">
      <c r="B23" s="3">
        <v>19</v>
      </c>
      <c r="C23" s="3">
        <f>C24+183</f>
        <v>451561</v>
      </c>
      <c r="D23" s="3">
        <f>D24+281</f>
        <v>609984</v>
      </c>
      <c r="E23" s="3">
        <f>E24+192</f>
        <v>402793</v>
      </c>
      <c r="F23" s="9">
        <f>C23+D23+E23</f>
        <v>1464338</v>
      </c>
      <c r="G23" s="22">
        <f t="shared" si="39"/>
        <v>1463818.6666666667</v>
      </c>
      <c r="H23" s="7">
        <f t="shared" si="40"/>
        <v>1463888.9166666667</v>
      </c>
      <c r="I23" s="3">
        <f>I24+130</f>
        <v>276852</v>
      </c>
      <c r="J23" s="6">
        <f t="shared" si="41"/>
        <v>183</v>
      </c>
      <c r="K23" s="6">
        <f t="shared" si="41"/>
        <v>281</v>
      </c>
      <c r="L23" s="6">
        <f t="shared" si="41"/>
        <v>192</v>
      </c>
      <c r="M23" s="6">
        <f t="shared" si="42"/>
        <v>130</v>
      </c>
      <c r="N23" s="5">
        <f t="shared" si="24"/>
        <v>165</v>
      </c>
      <c r="O23" s="3">
        <f t="shared" si="43"/>
        <v>192</v>
      </c>
      <c r="P23" s="5">
        <f t="shared" si="44"/>
        <v>-27</v>
      </c>
      <c r="Q23" s="5">
        <f t="shared" si="45"/>
        <v>70.25</v>
      </c>
      <c r="R23" s="7">
        <f t="shared" si="28"/>
        <v>1000</v>
      </c>
      <c r="S23" s="6">
        <f t="shared" si="46"/>
        <v>656</v>
      </c>
      <c r="T23" s="7">
        <f t="shared" si="47"/>
        <v>344</v>
      </c>
      <c r="U23" s="7">
        <f t="shared" si="48"/>
        <v>3135</v>
      </c>
      <c r="V23" s="7">
        <f t="shared" si="48"/>
        <v>2669</v>
      </c>
      <c r="W23" s="7">
        <f t="shared" si="49"/>
        <v>466</v>
      </c>
      <c r="X23" s="7">
        <f t="shared" si="50"/>
        <v>19000</v>
      </c>
      <c r="Y23" s="7">
        <f t="shared" si="50"/>
        <v>9679</v>
      </c>
      <c r="Z23" s="7">
        <f t="shared" si="51"/>
        <v>9321</v>
      </c>
      <c r="AA23" s="24">
        <f t="shared" si="52"/>
        <v>0.98092422962513637</v>
      </c>
      <c r="AB23" s="1"/>
    </row>
    <row r="24" spans="2:28" ht="18" x14ac:dyDescent="0.25">
      <c r="B24" s="3">
        <v>18</v>
      </c>
      <c r="C24" s="3">
        <f>C25+180</f>
        <v>451378</v>
      </c>
      <c r="D24" s="3">
        <f>D25+286</f>
        <v>609703</v>
      </c>
      <c r="E24" s="3">
        <f>E25+194</f>
        <v>402601</v>
      </c>
      <c r="F24" s="8">
        <f t="shared" si="38"/>
        <v>1463682</v>
      </c>
      <c r="G24" s="22">
        <f t="shared" si="39"/>
        <v>1463159.5</v>
      </c>
      <c r="H24" s="7">
        <f t="shared" si="40"/>
        <v>1463231</v>
      </c>
      <c r="I24" s="3">
        <f>I25+132</f>
        <v>276722</v>
      </c>
      <c r="J24" s="6">
        <f t="shared" si="41"/>
        <v>180</v>
      </c>
      <c r="K24" s="6">
        <f t="shared" si="41"/>
        <v>286</v>
      </c>
      <c r="L24" s="6">
        <f t="shared" si="41"/>
        <v>194</v>
      </c>
      <c r="M24" s="6">
        <f t="shared" si="42"/>
        <v>132</v>
      </c>
      <c r="N24" s="5">
        <f t="shared" si="24"/>
        <v>165</v>
      </c>
      <c r="O24" s="3">
        <f t="shared" si="43"/>
        <v>194</v>
      </c>
      <c r="P24" s="5">
        <f t="shared" si="44"/>
        <v>-29</v>
      </c>
      <c r="Q24" s="5">
        <v>10</v>
      </c>
      <c r="R24" s="7">
        <f t="shared" si="28"/>
        <v>1000</v>
      </c>
      <c r="S24" s="6">
        <f t="shared" si="46"/>
        <v>660</v>
      </c>
      <c r="T24" s="7">
        <f t="shared" si="47"/>
        <v>340</v>
      </c>
      <c r="U24" s="7">
        <f t="shared" si="48"/>
        <v>2970</v>
      </c>
      <c r="V24" s="7">
        <f t="shared" si="48"/>
        <v>2477</v>
      </c>
      <c r="W24" s="7">
        <f t="shared" si="49"/>
        <v>493</v>
      </c>
      <c r="X24" s="7">
        <f t="shared" si="50"/>
        <v>18000</v>
      </c>
      <c r="Y24" s="7">
        <f t="shared" si="50"/>
        <v>9023</v>
      </c>
      <c r="Z24" s="7">
        <f t="shared" si="51"/>
        <v>8977</v>
      </c>
      <c r="AA24" s="24">
        <f t="shared" si="52"/>
        <v>0.98058067569092011</v>
      </c>
      <c r="AB24" s="1"/>
    </row>
    <row r="25" spans="2:28" ht="18" x14ac:dyDescent="0.25">
      <c r="B25" s="3">
        <v>17</v>
      </c>
      <c r="C25" s="3">
        <v>451198</v>
      </c>
      <c r="D25" s="3">
        <v>609417</v>
      </c>
      <c r="E25" s="3">
        <v>402407</v>
      </c>
      <c r="F25" s="8">
        <f t="shared" si="38"/>
        <v>1463022</v>
      </c>
      <c r="G25" s="22">
        <f t="shared" si="39"/>
        <v>1462924.625</v>
      </c>
      <c r="H25" s="7">
        <f t="shared" si="40"/>
        <v>1462934.625</v>
      </c>
      <c r="I25" s="3">
        <v>276590</v>
      </c>
      <c r="J25" s="6">
        <f t="shared" si="41"/>
        <v>62</v>
      </c>
      <c r="K25" s="6">
        <f t="shared" si="41"/>
        <v>40</v>
      </c>
      <c r="L25" s="6">
        <f t="shared" si="41"/>
        <v>21</v>
      </c>
      <c r="M25" s="7">
        <f t="shared" si="42"/>
        <v>67</v>
      </c>
      <c r="N25" s="5">
        <f t="shared" si="24"/>
        <v>165</v>
      </c>
      <c r="O25" s="3">
        <f t="shared" si="43"/>
        <v>21</v>
      </c>
      <c r="P25" s="5">
        <f t="shared" si="44"/>
        <v>144</v>
      </c>
      <c r="Q25" s="5">
        <v>14</v>
      </c>
      <c r="R25" s="7">
        <f t="shared" si="28"/>
        <v>1000</v>
      </c>
      <c r="S25" s="6">
        <f t="shared" si="46"/>
        <v>123</v>
      </c>
      <c r="T25" s="7">
        <f t="shared" si="47"/>
        <v>877</v>
      </c>
      <c r="U25" s="7">
        <f t="shared" si="48"/>
        <v>2805</v>
      </c>
      <c r="V25" s="6">
        <f t="shared" si="48"/>
        <v>2283</v>
      </c>
      <c r="W25" s="7">
        <f t="shared" si="49"/>
        <v>522</v>
      </c>
      <c r="X25" s="7">
        <f t="shared" si="50"/>
        <v>17000</v>
      </c>
      <c r="Y25" s="7">
        <f t="shared" si="50"/>
        <v>8363</v>
      </c>
      <c r="Z25" s="7">
        <f t="shared" si="51"/>
        <v>8637</v>
      </c>
      <c r="AA25" s="24">
        <f t="shared" si="52"/>
        <v>0.87816828057267926</v>
      </c>
      <c r="AB25" s="1"/>
    </row>
    <row r="26" spans="2:28" ht="18" x14ac:dyDescent="0.25">
      <c r="B26" s="3">
        <v>16</v>
      </c>
      <c r="C26" s="3">
        <v>451136</v>
      </c>
      <c r="D26" s="3">
        <f>D27+78</f>
        <v>609377</v>
      </c>
      <c r="E26" s="3">
        <f>E27+55</f>
        <v>402386</v>
      </c>
      <c r="F26" s="8">
        <f t="shared" si="38"/>
        <v>1462899</v>
      </c>
      <c r="G26" s="22">
        <f t="shared" si="39"/>
        <v>1462716.125</v>
      </c>
      <c r="H26" s="7">
        <f t="shared" si="40"/>
        <v>1462735.625</v>
      </c>
      <c r="I26" s="3">
        <f>I27+80</f>
        <v>276523</v>
      </c>
      <c r="J26" s="6">
        <f t="shared" si="41"/>
        <v>98</v>
      </c>
      <c r="K26" s="6">
        <f t="shared" si="41"/>
        <v>78</v>
      </c>
      <c r="L26" s="6">
        <f t="shared" si="41"/>
        <v>55</v>
      </c>
      <c r="M26" s="7">
        <f t="shared" si="42"/>
        <v>80</v>
      </c>
      <c r="N26" s="5">
        <f t="shared" si="24"/>
        <v>165</v>
      </c>
      <c r="O26" s="3">
        <f t="shared" si="43"/>
        <v>55</v>
      </c>
      <c r="P26" s="5">
        <f t="shared" si="44"/>
        <v>110</v>
      </c>
      <c r="Q26" s="5">
        <f t="shared" si="45"/>
        <v>19.5</v>
      </c>
      <c r="R26" s="7">
        <f t="shared" si="28"/>
        <v>1000</v>
      </c>
      <c r="S26" s="6">
        <f t="shared" si="46"/>
        <v>231</v>
      </c>
      <c r="T26" s="7">
        <f t="shared" si="47"/>
        <v>769</v>
      </c>
      <c r="U26" s="7">
        <f t="shared" si="48"/>
        <v>2640</v>
      </c>
      <c r="V26" s="6">
        <f t="shared" si="48"/>
        <v>2262</v>
      </c>
      <c r="W26" s="7">
        <f t="shared" si="49"/>
        <v>378</v>
      </c>
      <c r="X26" s="7">
        <f t="shared" si="50"/>
        <v>16000</v>
      </c>
      <c r="Y26" s="7">
        <f t="shared" si="50"/>
        <v>8240</v>
      </c>
      <c r="Z26" s="7">
        <f t="shared" si="51"/>
        <v>7760</v>
      </c>
      <c r="AA26" s="24">
        <f t="shared" si="52"/>
        <v>0.94493742925218083</v>
      </c>
      <c r="AB26" s="1"/>
    </row>
    <row r="27" spans="2:28" ht="18" x14ac:dyDescent="0.25">
      <c r="B27" s="3">
        <v>15</v>
      </c>
      <c r="C27" s="3">
        <f>C28+181</f>
        <v>451038</v>
      </c>
      <c r="D27" s="3">
        <f>D28+167</f>
        <v>609299</v>
      </c>
      <c r="E27" s="3">
        <f>E28+73</f>
        <v>402331</v>
      </c>
      <c r="F27" s="8">
        <f t="shared" si="38"/>
        <v>1462668</v>
      </c>
      <c r="G27" s="22">
        <f t="shared" si="39"/>
        <v>1462334.7083333333</v>
      </c>
      <c r="H27" s="7">
        <f t="shared" si="40"/>
        <v>1462376.4583333333</v>
      </c>
      <c r="I27" s="3">
        <f>I28+89</f>
        <v>276443</v>
      </c>
      <c r="J27" s="6">
        <f t="shared" si="41"/>
        <v>181</v>
      </c>
      <c r="K27" s="6">
        <f t="shared" si="41"/>
        <v>167</v>
      </c>
      <c r="L27" s="6">
        <f t="shared" si="41"/>
        <v>73</v>
      </c>
      <c r="M27" s="7">
        <f t="shared" si="42"/>
        <v>89</v>
      </c>
      <c r="N27" s="5">
        <f t="shared" si="24"/>
        <v>165</v>
      </c>
      <c r="O27" s="3">
        <f t="shared" si="43"/>
        <v>73</v>
      </c>
      <c r="P27" s="5">
        <f t="shared" si="44"/>
        <v>92</v>
      </c>
      <c r="Q27" s="5">
        <f t="shared" si="45"/>
        <v>41.75</v>
      </c>
      <c r="R27" s="7">
        <f t="shared" si="28"/>
        <v>1000</v>
      </c>
      <c r="S27" s="6">
        <f t="shared" si="46"/>
        <v>421</v>
      </c>
      <c r="T27" s="7">
        <f t="shared" si="47"/>
        <v>579</v>
      </c>
      <c r="U27" s="7">
        <f t="shared" si="48"/>
        <v>2475</v>
      </c>
      <c r="V27" s="6">
        <f t="shared" si="48"/>
        <v>2207</v>
      </c>
      <c r="W27" s="7">
        <f t="shared" si="49"/>
        <v>268</v>
      </c>
      <c r="X27" s="7">
        <f t="shared" si="50"/>
        <v>15000</v>
      </c>
      <c r="Y27" s="7">
        <f t="shared" si="50"/>
        <v>8009</v>
      </c>
      <c r="Z27" s="7">
        <f t="shared" si="51"/>
        <v>6991</v>
      </c>
      <c r="AA27" s="24">
        <f t="shared" si="52"/>
        <v>0.97837684155940718</v>
      </c>
      <c r="AB27" s="1"/>
    </row>
    <row r="28" spans="2:28" ht="18" x14ac:dyDescent="0.25">
      <c r="B28" s="3">
        <v>14</v>
      </c>
      <c r="C28" s="3">
        <f>C29+173</f>
        <v>450857</v>
      </c>
      <c r="D28" s="3">
        <f>D29+159</f>
        <v>609132</v>
      </c>
      <c r="E28" s="3">
        <f>E29+150</f>
        <v>402258</v>
      </c>
      <c r="F28" s="8">
        <f t="shared" si="38"/>
        <v>1462247</v>
      </c>
      <c r="G28" s="22">
        <f t="shared" si="39"/>
        <v>1461865.4166666667</v>
      </c>
      <c r="H28" s="7">
        <f t="shared" si="40"/>
        <v>1461905.1666666667</v>
      </c>
      <c r="I28" s="3">
        <f>I29+86</f>
        <v>276354</v>
      </c>
      <c r="J28" s="6">
        <f t="shared" si="41"/>
        <v>173</v>
      </c>
      <c r="K28" s="6">
        <f t="shared" si="41"/>
        <v>159</v>
      </c>
      <c r="L28" s="6">
        <f t="shared" si="41"/>
        <v>150</v>
      </c>
      <c r="M28" s="7">
        <f t="shared" si="42"/>
        <v>86</v>
      </c>
      <c r="N28" s="5">
        <f t="shared" si="24"/>
        <v>165</v>
      </c>
      <c r="O28" s="3">
        <f t="shared" si="43"/>
        <v>150</v>
      </c>
      <c r="P28" s="5">
        <f t="shared" si="44"/>
        <v>15</v>
      </c>
      <c r="Q28" s="5">
        <f t="shared" si="45"/>
        <v>39.75</v>
      </c>
      <c r="R28" s="7">
        <f t="shared" si="28"/>
        <v>1000</v>
      </c>
      <c r="S28" s="6">
        <f t="shared" si="46"/>
        <v>482</v>
      </c>
      <c r="T28" s="7">
        <f t="shared" si="47"/>
        <v>518</v>
      </c>
      <c r="U28" s="7">
        <f t="shared" si="48"/>
        <v>2310</v>
      </c>
      <c r="V28" s="6">
        <f t="shared" si="48"/>
        <v>2134</v>
      </c>
      <c r="W28" s="7">
        <f t="shared" si="49"/>
        <v>176</v>
      </c>
      <c r="X28" s="7">
        <f t="shared" si="50"/>
        <v>14000</v>
      </c>
      <c r="Y28" s="7">
        <f t="shared" si="50"/>
        <v>7588</v>
      </c>
      <c r="Z28" s="7">
        <f t="shared" si="51"/>
        <v>6412</v>
      </c>
      <c r="AA28" s="24">
        <f t="shared" si="52"/>
        <v>0.98445281174958066</v>
      </c>
      <c r="AB28" s="1"/>
    </row>
    <row r="29" spans="2:28" ht="18" x14ac:dyDescent="0.25">
      <c r="B29" s="3">
        <v>13</v>
      </c>
      <c r="C29" s="3">
        <v>450684</v>
      </c>
      <c r="D29" s="3">
        <v>608973</v>
      </c>
      <c r="E29" s="3">
        <v>402108</v>
      </c>
      <c r="F29" s="8">
        <f t="shared" si="38"/>
        <v>1461765</v>
      </c>
      <c r="G29" s="22">
        <f t="shared" si="39"/>
        <v>1461409.5416666667</v>
      </c>
      <c r="H29" s="7">
        <f t="shared" si="40"/>
        <v>1461442.7916666667</v>
      </c>
      <c r="I29" s="3">
        <v>276268</v>
      </c>
      <c r="J29" s="6">
        <f t="shared" si="41"/>
        <v>168</v>
      </c>
      <c r="K29" s="6">
        <f t="shared" si="41"/>
        <v>133</v>
      </c>
      <c r="L29" s="6">
        <f t="shared" si="41"/>
        <v>148</v>
      </c>
      <c r="M29" s="6">
        <f t="shared" si="42"/>
        <v>101</v>
      </c>
      <c r="N29" s="5">
        <f t="shared" si="24"/>
        <v>165</v>
      </c>
      <c r="O29" s="3">
        <f t="shared" si="43"/>
        <v>148</v>
      </c>
      <c r="P29" s="5">
        <f t="shared" si="44"/>
        <v>17</v>
      </c>
      <c r="Q29" s="5">
        <f t="shared" si="45"/>
        <v>33.25</v>
      </c>
      <c r="R29" s="7">
        <f t="shared" si="28"/>
        <v>1000</v>
      </c>
      <c r="S29" s="6">
        <f t="shared" si="46"/>
        <v>449</v>
      </c>
      <c r="T29" s="7">
        <f t="shared" si="47"/>
        <v>551</v>
      </c>
      <c r="U29" s="7">
        <f t="shared" si="48"/>
        <v>2145</v>
      </c>
      <c r="V29" s="6">
        <f t="shared" si="48"/>
        <v>1984</v>
      </c>
      <c r="W29" s="7">
        <f t="shared" si="49"/>
        <v>161</v>
      </c>
      <c r="X29" s="7">
        <f t="shared" si="50"/>
        <v>13000</v>
      </c>
      <c r="Y29" s="7">
        <f t="shared" si="50"/>
        <v>7106</v>
      </c>
      <c r="Z29" s="7">
        <f t="shared" si="51"/>
        <v>5894</v>
      </c>
      <c r="AA29" s="24">
        <f t="shared" si="52"/>
        <v>0.97562138821068989</v>
      </c>
      <c r="AB29" s="1"/>
    </row>
    <row r="30" spans="2:28" ht="18" x14ac:dyDescent="0.25">
      <c r="B30" s="3">
        <v>12</v>
      </c>
      <c r="C30" s="3">
        <f>C31+198</f>
        <v>450516</v>
      </c>
      <c r="D30" s="3">
        <f>D31+139</f>
        <v>608840</v>
      </c>
      <c r="E30" s="3">
        <f>E31+132</f>
        <v>401960</v>
      </c>
      <c r="F30" s="8">
        <f t="shared" si="38"/>
        <v>1461316</v>
      </c>
      <c r="G30" s="22">
        <f t="shared" si="39"/>
        <v>1460944.7083333333</v>
      </c>
      <c r="H30" s="7">
        <f t="shared" si="40"/>
        <v>1460979.4583333333</v>
      </c>
      <c r="I30" s="3">
        <f>I31+87</f>
        <v>276167</v>
      </c>
      <c r="J30" s="6">
        <f t="shared" si="41"/>
        <v>198</v>
      </c>
      <c r="K30" s="6">
        <f t="shared" si="41"/>
        <v>139</v>
      </c>
      <c r="L30" s="6">
        <f t="shared" si="41"/>
        <v>132</v>
      </c>
      <c r="M30" s="6">
        <f t="shared" si="42"/>
        <v>87</v>
      </c>
      <c r="N30" s="5">
        <f t="shared" si="24"/>
        <v>165</v>
      </c>
      <c r="O30" s="3">
        <f t="shared" si="43"/>
        <v>132</v>
      </c>
      <c r="P30" s="5">
        <f t="shared" si="44"/>
        <v>33</v>
      </c>
      <c r="Q30" s="5">
        <f t="shared" si="45"/>
        <v>34.75</v>
      </c>
      <c r="R30" s="7">
        <f t="shared" si="28"/>
        <v>1000</v>
      </c>
      <c r="S30" s="6">
        <f t="shared" si="46"/>
        <v>469</v>
      </c>
      <c r="T30" s="7">
        <f t="shared" si="47"/>
        <v>531</v>
      </c>
      <c r="U30" s="7">
        <f t="shared" si="48"/>
        <v>1980</v>
      </c>
      <c r="V30" s="6">
        <f t="shared" si="48"/>
        <v>1836</v>
      </c>
      <c r="W30" s="7">
        <f t="shared" si="49"/>
        <v>144</v>
      </c>
      <c r="X30" s="7">
        <f t="shared" si="50"/>
        <v>12000</v>
      </c>
      <c r="Y30" s="7">
        <f t="shared" si="50"/>
        <v>6657</v>
      </c>
      <c r="Z30" s="7">
        <f t="shared" si="51"/>
        <v>5343</v>
      </c>
      <c r="AA30" s="24">
        <f t="shared" si="52"/>
        <v>0.9832263508711625</v>
      </c>
      <c r="AB30" s="1"/>
    </row>
    <row r="31" spans="2:28" ht="18" x14ac:dyDescent="0.25">
      <c r="B31" s="3">
        <v>11</v>
      </c>
      <c r="C31" s="3">
        <f>C32+201</f>
        <v>450318</v>
      </c>
      <c r="D31" s="3">
        <f>D32+158</f>
        <v>608701</v>
      </c>
      <c r="E31" s="3">
        <f>E32+128</f>
        <v>401828</v>
      </c>
      <c r="F31" s="8">
        <f t="shared" si="38"/>
        <v>1460847</v>
      </c>
      <c r="G31" s="22">
        <f t="shared" si="39"/>
        <v>1460461.4583333333</v>
      </c>
      <c r="H31" s="7">
        <f t="shared" si="40"/>
        <v>1460500.9583333333</v>
      </c>
      <c r="I31" s="3">
        <f>I32+86</f>
        <v>276080</v>
      </c>
      <c r="J31" s="6">
        <f t="shared" si="41"/>
        <v>201</v>
      </c>
      <c r="K31" s="6">
        <f t="shared" si="41"/>
        <v>158</v>
      </c>
      <c r="L31" s="6">
        <f t="shared" si="41"/>
        <v>128</v>
      </c>
      <c r="M31" s="6">
        <f t="shared" si="42"/>
        <v>86</v>
      </c>
      <c r="N31" s="5">
        <f t="shared" si="24"/>
        <v>165</v>
      </c>
      <c r="O31" s="3">
        <f t="shared" si="43"/>
        <v>128</v>
      </c>
      <c r="P31" s="5">
        <f t="shared" si="44"/>
        <v>37</v>
      </c>
      <c r="Q31" s="5">
        <f t="shared" si="45"/>
        <v>39.5</v>
      </c>
      <c r="R31" s="7">
        <f t="shared" si="28"/>
        <v>1000</v>
      </c>
      <c r="S31" s="6">
        <f t="shared" si="46"/>
        <v>487</v>
      </c>
      <c r="T31" s="7">
        <f t="shared" si="47"/>
        <v>513</v>
      </c>
      <c r="U31" s="7">
        <f t="shared" si="48"/>
        <v>1815</v>
      </c>
      <c r="V31" s="6">
        <f t="shared" si="48"/>
        <v>1704</v>
      </c>
      <c r="W31" s="7">
        <f t="shared" si="49"/>
        <v>111</v>
      </c>
      <c r="X31" s="7">
        <f t="shared" si="50"/>
        <v>11000</v>
      </c>
      <c r="Y31" s="7">
        <f t="shared" si="50"/>
        <v>6188</v>
      </c>
      <c r="Z31" s="7">
        <f t="shared" si="51"/>
        <v>4812</v>
      </c>
      <c r="AA31" s="24">
        <f t="shared" si="52"/>
        <v>0.98476319534012324</v>
      </c>
      <c r="AB31" s="1"/>
    </row>
    <row r="32" spans="2:28" ht="18" x14ac:dyDescent="0.25">
      <c r="B32" s="3">
        <v>10</v>
      </c>
      <c r="C32" s="3">
        <f>C33+184</f>
        <v>450117</v>
      </c>
      <c r="D32" s="3">
        <f>D33+150</f>
        <v>608543</v>
      </c>
      <c r="E32" s="3">
        <f>E33+125</f>
        <v>401700</v>
      </c>
      <c r="F32" s="8">
        <f t="shared" si="38"/>
        <v>1460360</v>
      </c>
      <c r="G32" s="22">
        <f t="shared" si="39"/>
        <v>1459996.625</v>
      </c>
      <c r="H32" s="7">
        <f t="shared" si="40"/>
        <v>1460034.125</v>
      </c>
      <c r="I32" s="3">
        <f>I33+90</f>
        <v>275994</v>
      </c>
      <c r="J32" s="6">
        <f t="shared" si="41"/>
        <v>184</v>
      </c>
      <c r="K32" s="6">
        <f t="shared" si="41"/>
        <v>150</v>
      </c>
      <c r="L32" s="6">
        <f t="shared" si="41"/>
        <v>125</v>
      </c>
      <c r="M32" s="6">
        <f t="shared" si="42"/>
        <v>90</v>
      </c>
      <c r="N32" s="5">
        <f t="shared" si="24"/>
        <v>165</v>
      </c>
      <c r="O32" s="3">
        <f t="shared" si="43"/>
        <v>125</v>
      </c>
      <c r="P32" s="5">
        <f t="shared" si="44"/>
        <v>40</v>
      </c>
      <c r="Q32" s="5">
        <f t="shared" si="45"/>
        <v>37.5</v>
      </c>
      <c r="R32" s="7">
        <f t="shared" si="28"/>
        <v>1000</v>
      </c>
      <c r="S32" s="6">
        <f t="shared" si="46"/>
        <v>459</v>
      </c>
      <c r="T32" s="7">
        <f t="shared" si="47"/>
        <v>541</v>
      </c>
      <c r="U32" s="7">
        <f t="shared" si="48"/>
        <v>1650</v>
      </c>
      <c r="V32" s="6">
        <f t="shared" si="48"/>
        <v>1576</v>
      </c>
      <c r="W32" s="7">
        <f t="shared" si="49"/>
        <v>74</v>
      </c>
      <c r="X32" s="7">
        <f t="shared" si="50"/>
        <v>10000</v>
      </c>
      <c r="Y32" s="7">
        <f t="shared" si="50"/>
        <v>5701</v>
      </c>
      <c r="Z32" s="7">
        <f t="shared" si="51"/>
        <v>4299</v>
      </c>
      <c r="AA32" s="24">
        <f t="shared" si="52"/>
        <v>0.98131374967715723</v>
      </c>
      <c r="AB32" s="1"/>
    </row>
    <row r="33" spans="2:28" ht="18" x14ac:dyDescent="0.25">
      <c r="B33" s="3">
        <v>9</v>
      </c>
      <c r="C33" s="3">
        <f>C34+195</f>
        <v>449933</v>
      </c>
      <c r="D33" s="3">
        <f>D34+166</f>
        <v>608393</v>
      </c>
      <c r="E33" s="3">
        <f>E34+133</f>
        <v>401575</v>
      </c>
      <c r="F33" s="8">
        <f>C33+D33+E33</f>
        <v>1459901</v>
      </c>
      <c r="G33" s="22">
        <f t="shared" si="39"/>
        <v>1459509.9166666667</v>
      </c>
      <c r="H33" s="7">
        <f t="shared" si="40"/>
        <v>1459551.4166666667</v>
      </c>
      <c r="I33" s="3">
        <f>I34+99</f>
        <v>275904</v>
      </c>
      <c r="J33" s="6">
        <f t="shared" si="41"/>
        <v>195</v>
      </c>
      <c r="K33" s="6">
        <f t="shared" si="41"/>
        <v>166</v>
      </c>
      <c r="L33" s="6">
        <f t="shared" si="41"/>
        <v>133</v>
      </c>
      <c r="M33" s="6">
        <f t="shared" si="42"/>
        <v>99</v>
      </c>
      <c r="N33" s="5">
        <f t="shared" si="24"/>
        <v>165</v>
      </c>
      <c r="O33" s="3">
        <f t="shared" si="43"/>
        <v>133</v>
      </c>
      <c r="P33" s="5">
        <f t="shared" si="44"/>
        <v>32</v>
      </c>
      <c r="Q33" s="5">
        <f t="shared" si="45"/>
        <v>41.5</v>
      </c>
      <c r="R33" s="7">
        <f t="shared" si="28"/>
        <v>1000</v>
      </c>
      <c r="S33" s="6">
        <f t="shared" si="46"/>
        <v>494</v>
      </c>
      <c r="T33" s="7">
        <f t="shared" si="47"/>
        <v>506</v>
      </c>
      <c r="U33" s="7">
        <f t="shared" si="48"/>
        <v>1485</v>
      </c>
      <c r="V33" s="6">
        <f t="shared" si="48"/>
        <v>1451</v>
      </c>
      <c r="W33" s="7">
        <f t="shared" si="49"/>
        <v>34</v>
      </c>
      <c r="X33" s="7">
        <f t="shared" si="50"/>
        <v>9000</v>
      </c>
      <c r="Y33" s="7">
        <f t="shared" si="50"/>
        <v>5242</v>
      </c>
      <c r="Z33" s="7">
        <f t="shared" si="51"/>
        <v>3758</v>
      </c>
      <c r="AA33" s="24">
        <f t="shared" si="52"/>
        <v>0.98050426192331819</v>
      </c>
      <c r="AB33" s="1"/>
    </row>
    <row r="34" spans="2:28" ht="18" x14ac:dyDescent="0.25">
      <c r="B34" s="3">
        <v>8</v>
      </c>
      <c r="C34" s="3">
        <f>C35+192</f>
        <v>449738</v>
      </c>
      <c r="D34" s="3">
        <f>D35+153</f>
        <v>608227</v>
      </c>
      <c r="E34" s="3">
        <f>E35+135</f>
        <v>401442</v>
      </c>
      <c r="F34" s="8">
        <f t="shared" si="38"/>
        <v>1459407</v>
      </c>
      <c r="G34" s="22">
        <f t="shared" si="39"/>
        <v>1459027</v>
      </c>
      <c r="H34" s="7">
        <f t="shared" si="40"/>
        <v>1459065.25</v>
      </c>
      <c r="I34" s="3">
        <f>I35+92</f>
        <v>275805</v>
      </c>
      <c r="J34" s="6">
        <f t="shared" si="41"/>
        <v>192</v>
      </c>
      <c r="K34" s="6">
        <f t="shared" si="41"/>
        <v>153</v>
      </c>
      <c r="L34" s="6">
        <f t="shared" si="41"/>
        <v>135</v>
      </c>
      <c r="M34" s="6">
        <f t="shared" si="42"/>
        <v>92</v>
      </c>
      <c r="N34" s="5">
        <f t="shared" si="24"/>
        <v>165</v>
      </c>
      <c r="O34" s="3">
        <f t="shared" si="43"/>
        <v>135</v>
      </c>
      <c r="P34" s="5">
        <f t="shared" si="44"/>
        <v>30</v>
      </c>
      <c r="Q34" s="5">
        <f t="shared" si="45"/>
        <v>38.25</v>
      </c>
      <c r="R34" s="7">
        <f t="shared" si="28"/>
        <v>1000</v>
      </c>
      <c r="S34" s="6">
        <f t="shared" si="46"/>
        <v>480</v>
      </c>
      <c r="T34" s="7">
        <f t="shared" si="47"/>
        <v>520</v>
      </c>
      <c r="U34" s="7">
        <f t="shared" si="48"/>
        <v>1320</v>
      </c>
      <c r="V34" s="6">
        <f t="shared" si="48"/>
        <v>1318</v>
      </c>
      <c r="W34" s="7">
        <f t="shared" si="49"/>
        <v>2</v>
      </c>
      <c r="X34" s="7">
        <f t="shared" si="50"/>
        <v>8000</v>
      </c>
      <c r="Y34" s="7">
        <f t="shared" si="50"/>
        <v>4748</v>
      </c>
      <c r="Z34" s="7">
        <f t="shared" si="51"/>
        <v>3252</v>
      </c>
      <c r="AA34" s="24">
        <f t="shared" si="52"/>
        <v>0.98212301192703688</v>
      </c>
      <c r="AB34" s="1"/>
    </row>
    <row r="35" spans="2:28" ht="18" x14ac:dyDescent="0.25">
      <c r="B35" s="3">
        <v>7</v>
      </c>
      <c r="C35" s="3">
        <f>C36+199</f>
        <v>449546</v>
      </c>
      <c r="D35" s="3">
        <f>D36+156</f>
        <v>608074</v>
      </c>
      <c r="E35" s="3">
        <f>E36+138</f>
        <v>401307</v>
      </c>
      <c r="F35" s="9">
        <f>C35+D35+E35</f>
        <v>1458927</v>
      </c>
      <c r="G35" s="22">
        <f t="shared" si="39"/>
        <v>1458536.7083333333</v>
      </c>
      <c r="H35" s="7">
        <f t="shared" si="40"/>
        <v>1458575.7083333333</v>
      </c>
      <c r="I35" s="3">
        <f>I36+103</f>
        <v>275713</v>
      </c>
      <c r="J35" s="6">
        <f t="shared" si="41"/>
        <v>199</v>
      </c>
      <c r="K35" s="6">
        <f t="shared" si="41"/>
        <v>156</v>
      </c>
      <c r="L35" s="6">
        <f t="shared" si="41"/>
        <v>138</v>
      </c>
      <c r="M35" s="6">
        <f t="shared" si="42"/>
        <v>103</v>
      </c>
      <c r="N35" s="5">
        <f t="shared" si="24"/>
        <v>165</v>
      </c>
      <c r="O35" s="3">
        <f t="shared" si="43"/>
        <v>138</v>
      </c>
      <c r="P35" s="5">
        <f t="shared" si="44"/>
        <v>27</v>
      </c>
      <c r="Q35" s="5">
        <f t="shared" si="45"/>
        <v>39</v>
      </c>
      <c r="R35" s="7">
        <f t="shared" si="28"/>
        <v>1000</v>
      </c>
      <c r="S35" s="6">
        <f t="shared" si="46"/>
        <v>493</v>
      </c>
      <c r="T35" s="7">
        <f t="shared" si="47"/>
        <v>507</v>
      </c>
      <c r="U35" s="7">
        <f t="shared" si="48"/>
        <v>1155</v>
      </c>
      <c r="V35" s="6">
        <f t="shared" si="48"/>
        <v>1183</v>
      </c>
      <c r="W35" s="7">
        <f t="shared" si="49"/>
        <v>-28</v>
      </c>
      <c r="X35" s="7">
        <f t="shared" si="50"/>
        <v>7000</v>
      </c>
      <c r="Y35" s="7">
        <f t="shared" si="50"/>
        <v>4268</v>
      </c>
      <c r="Z35" s="7">
        <f t="shared" si="51"/>
        <v>2732</v>
      </c>
      <c r="AA35" s="24">
        <f t="shared" si="52"/>
        <v>0.97886463273447388</v>
      </c>
      <c r="AB35" s="1"/>
    </row>
    <row r="36" spans="2:28" ht="18" x14ac:dyDescent="0.25">
      <c r="B36" s="3">
        <v>6</v>
      </c>
      <c r="C36" s="3">
        <v>449347</v>
      </c>
      <c r="D36" s="3">
        <v>607918</v>
      </c>
      <c r="E36" s="3">
        <v>401169</v>
      </c>
      <c r="F36" s="8">
        <f t="shared" si="38"/>
        <v>1458434</v>
      </c>
      <c r="G36" s="22">
        <f t="shared" si="39"/>
        <v>1457825.2083333333</v>
      </c>
      <c r="H36" s="7">
        <f t="shared" si="40"/>
        <v>1457901.2083333333</v>
      </c>
      <c r="I36" s="3">
        <v>275610</v>
      </c>
      <c r="J36" s="6">
        <f t="shared" si="41"/>
        <v>240</v>
      </c>
      <c r="K36" s="6">
        <f t="shared" si="41"/>
        <v>304</v>
      </c>
      <c r="L36" s="6">
        <f t="shared" si="41"/>
        <v>225</v>
      </c>
      <c r="M36" s="6">
        <f t="shared" si="42"/>
        <v>100</v>
      </c>
      <c r="N36" s="5">
        <f t="shared" si="24"/>
        <v>165</v>
      </c>
      <c r="O36" s="3">
        <f t="shared" si="43"/>
        <v>225</v>
      </c>
      <c r="P36" s="5">
        <f t="shared" si="44"/>
        <v>-60</v>
      </c>
      <c r="Q36" s="5">
        <f t="shared" si="45"/>
        <v>76</v>
      </c>
      <c r="R36" s="7">
        <f t="shared" si="28"/>
        <v>1000</v>
      </c>
      <c r="S36" s="6">
        <f t="shared" si="46"/>
        <v>769</v>
      </c>
      <c r="T36" s="7">
        <f t="shared" si="47"/>
        <v>231</v>
      </c>
      <c r="U36" s="7">
        <f t="shared" si="48"/>
        <v>990</v>
      </c>
      <c r="V36" s="6">
        <f t="shared" si="48"/>
        <v>1045</v>
      </c>
      <c r="W36" s="7">
        <f t="shared" si="49"/>
        <v>-55</v>
      </c>
      <c r="X36" s="7">
        <f t="shared" si="50"/>
        <v>6000</v>
      </c>
      <c r="Y36" s="7">
        <f t="shared" si="50"/>
        <v>3775</v>
      </c>
      <c r="Z36" s="7">
        <f t="shared" si="51"/>
        <v>2225</v>
      </c>
      <c r="AA36" s="24">
        <f t="shared" si="52"/>
        <v>0.99165067101644677</v>
      </c>
      <c r="AB36" s="1"/>
    </row>
    <row r="37" spans="2:28" ht="18" x14ac:dyDescent="0.25">
      <c r="B37" s="3">
        <v>5</v>
      </c>
      <c r="C37" s="3">
        <f>C38+218</f>
        <v>449107</v>
      </c>
      <c r="D37" s="3">
        <f>D38+233</f>
        <v>607614</v>
      </c>
      <c r="E37" s="3">
        <f>E38+167</f>
        <v>400944</v>
      </c>
      <c r="F37" s="8">
        <f t="shared" si="38"/>
        <v>1457665</v>
      </c>
      <c r="G37" s="22">
        <f t="shared" si="39"/>
        <v>1457175.75</v>
      </c>
      <c r="H37" s="7">
        <f t="shared" si="40"/>
        <v>1457234</v>
      </c>
      <c r="I37" s="3">
        <f>I38+123</f>
        <v>275510</v>
      </c>
      <c r="J37" s="6">
        <f t="shared" si="41"/>
        <v>218</v>
      </c>
      <c r="K37" s="6">
        <f t="shared" si="41"/>
        <v>233</v>
      </c>
      <c r="L37" s="6">
        <f t="shared" si="41"/>
        <v>167</v>
      </c>
      <c r="M37" s="6">
        <f t="shared" si="42"/>
        <v>123</v>
      </c>
      <c r="N37" s="5">
        <f t="shared" si="24"/>
        <v>165</v>
      </c>
      <c r="O37" s="3">
        <f t="shared" si="43"/>
        <v>167</v>
      </c>
      <c r="P37" s="5">
        <f t="shared" si="44"/>
        <v>-2</v>
      </c>
      <c r="Q37" s="5">
        <f t="shared" si="45"/>
        <v>58.25</v>
      </c>
      <c r="R37" s="7">
        <f t="shared" si="28"/>
        <v>1000</v>
      </c>
      <c r="S37" s="6">
        <f t="shared" si="46"/>
        <v>618</v>
      </c>
      <c r="T37" s="7">
        <f t="shared" si="47"/>
        <v>382</v>
      </c>
      <c r="U37" s="7">
        <f t="shared" si="48"/>
        <v>825</v>
      </c>
      <c r="V37" s="6">
        <f t="shared" si="48"/>
        <v>820</v>
      </c>
      <c r="W37" s="7">
        <f t="shared" si="49"/>
        <v>5</v>
      </c>
      <c r="X37" s="7">
        <f t="shared" si="50"/>
        <v>5000</v>
      </c>
      <c r="Y37" s="7">
        <f t="shared" si="50"/>
        <v>3006</v>
      </c>
      <c r="Z37" s="7">
        <f t="shared" si="51"/>
        <v>1994</v>
      </c>
      <c r="AA37" s="24">
        <f t="shared" si="52"/>
        <v>0.98076336314425294</v>
      </c>
      <c r="AB37" s="1"/>
    </row>
    <row r="38" spans="2:28" ht="18" x14ac:dyDescent="0.25">
      <c r="B38" s="3">
        <v>4</v>
      </c>
      <c r="C38" s="3">
        <v>448889</v>
      </c>
      <c r="D38" s="3">
        <v>607381</v>
      </c>
      <c r="E38" s="3">
        <v>400777</v>
      </c>
      <c r="F38" s="8">
        <f t="shared" si="38"/>
        <v>1457047</v>
      </c>
      <c r="G38" s="22">
        <f t="shared" si="39"/>
        <v>1456580.7083333333</v>
      </c>
      <c r="H38" s="7">
        <f t="shared" si="40"/>
        <v>1456636.7083333333</v>
      </c>
      <c r="I38" s="3">
        <v>275387</v>
      </c>
      <c r="J38" s="6">
        <f t="shared" si="41"/>
        <v>206</v>
      </c>
      <c r="K38" s="6">
        <f t="shared" si="41"/>
        <v>224</v>
      </c>
      <c r="L38" s="6">
        <f t="shared" si="41"/>
        <v>159</v>
      </c>
      <c r="M38" s="7">
        <f>I38-I39</f>
        <v>110</v>
      </c>
      <c r="N38" s="5">
        <f t="shared" si="24"/>
        <v>165</v>
      </c>
      <c r="O38" s="3">
        <f t="shared" si="43"/>
        <v>159</v>
      </c>
      <c r="P38" s="5">
        <f t="shared" si="44"/>
        <v>6</v>
      </c>
      <c r="Q38" s="5">
        <f t="shared" si="45"/>
        <v>56</v>
      </c>
      <c r="R38" s="7">
        <f t="shared" si="28"/>
        <v>1000</v>
      </c>
      <c r="S38" s="6">
        <f t="shared" si="46"/>
        <v>589</v>
      </c>
      <c r="T38" s="7">
        <f t="shared" si="47"/>
        <v>411</v>
      </c>
      <c r="U38" s="7">
        <f t="shared" si="48"/>
        <v>660</v>
      </c>
      <c r="V38" s="6">
        <f t="shared" si="48"/>
        <v>653</v>
      </c>
      <c r="W38" s="7">
        <f t="shared" si="49"/>
        <v>7</v>
      </c>
      <c r="X38" s="7">
        <f t="shared" si="50"/>
        <v>4000</v>
      </c>
      <c r="Y38" s="7">
        <f t="shared" si="50"/>
        <v>2388</v>
      </c>
      <c r="Z38" s="7">
        <f t="shared" si="51"/>
        <v>1612</v>
      </c>
      <c r="AA38" s="24">
        <f t="shared" si="52"/>
        <v>0.98300418925598909</v>
      </c>
      <c r="AB38" s="1"/>
    </row>
    <row r="39" spans="2:28" ht="18" x14ac:dyDescent="0.25">
      <c r="B39" s="3">
        <v>3</v>
      </c>
      <c r="C39" s="5">
        <f>C40+210</f>
        <v>448683</v>
      </c>
      <c r="D39" s="5">
        <f>D40+231</f>
        <v>607157</v>
      </c>
      <c r="E39" s="5">
        <f>E40+160</f>
        <v>400618</v>
      </c>
      <c r="F39" s="8">
        <f t="shared" si="38"/>
        <v>1456458</v>
      </c>
      <c r="G39" s="22">
        <f t="shared" si="39"/>
        <v>1455982.2083333333</v>
      </c>
      <c r="H39" s="7">
        <f t="shared" si="40"/>
        <v>1456039.9583333333</v>
      </c>
      <c r="I39" s="5">
        <f>I40+117</f>
        <v>275277</v>
      </c>
      <c r="J39" s="6">
        <f t="shared" si="41"/>
        <v>210</v>
      </c>
      <c r="K39" s="6">
        <f t="shared" si="41"/>
        <v>231</v>
      </c>
      <c r="L39" s="6">
        <f t="shared" si="41"/>
        <v>160</v>
      </c>
      <c r="M39" s="6">
        <f t="shared" si="42"/>
        <v>117</v>
      </c>
      <c r="N39" s="5">
        <f t="shared" si="24"/>
        <v>165</v>
      </c>
      <c r="O39" s="3">
        <f t="shared" si="43"/>
        <v>160</v>
      </c>
      <c r="P39" s="5">
        <f t="shared" si="44"/>
        <v>5</v>
      </c>
      <c r="Q39" s="5">
        <f t="shared" si="45"/>
        <v>57.75</v>
      </c>
      <c r="R39" s="7">
        <f t="shared" si="28"/>
        <v>1000</v>
      </c>
      <c r="S39" s="6">
        <f t="shared" si="46"/>
        <v>601</v>
      </c>
      <c r="T39" s="7">
        <f t="shared" si="47"/>
        <v>399</v>
      </c>
      <c r="U39" s="7">
        <f t="shared" si="48"/>
        <v>495</v>
      </c>
      <c r="V39" s="6">
        <f t="shared" si="48"/>
        <v>494</v>
      </c>
      <c r="W39" s="7">
        <f t="shared" si="49"/>
        <v>1</v>
      </c>
      <c r="X39" s="7">
        <f t="shared" si="50"/>
        <v>3000</v>
      </c>
      <c r="Y39" s="7">
        <f t="shared" si="50"/>
        <v>1799</v>
      </c>
      <c r="Z39" s="7">
        <f t="shared" si="51"/>
        <v>1201</v>
      </c>
      <c r="AA39" s="24">
        <f t="shared" si="52"/>
        <v>0.98157286485421547</v>
      </c>
      <c r="AB39" s="1"/>
    </row>
    <row r="40" spans="2:28" ht="18" x14ac:dyDescent="0.25">
      <c r="B40" s="3">
        <v>2</v>
      </c>
      <c r="C40" s="5">
        <f>C41+202</f>
        <v>448473</v>
      </c>
      <c r="D40" s="5">
        <f>D41+226</f>
        <v>606926</v>
      </c>
      <c r="E40" s="5">
        <f>E41+169</f>
        <v>400458</v>
      </c>
      <c r="F40" s="8">
        <f t="shared" si="38"/>
        <v>1455857</v>
      </c>
      <c r="G40" s="22">
        <f t="shared" si="39"/>
        <v>1455384.375</v>
      </c>
      <c r="H40" s="7">
        <f t="shared" si="40"/>
        <v>1455440.875</v>
      </c>
      <c r="I40" s="5">
        <f>I41+111</f>
        <v>275160</v>
      </c>
      <c r="J40" s="6">
        <f t="shared" si="41"/>
        <v>202</v>
      </c>
      <c r="K40" s="6">
        <f t="shared" si="41"/>
        <v>226</v>
      </c>
      <c r="L40" s="6">
        <f t="shared" si="41"/>
        <v>169</v>
      </c>
      <c r="M40" s="6">
        <f t="shared" si="42"/>
        <v>111</v>
      </c>
      <c r="N40" s="5">
        <f t="shared" si="24"/>
        <v>165</v>
      </c>
      <c r="O40" s="3">
        <f t="shared" si="43"/>
        <v>169</v>
      </c>
      <c r="P40" s="5">
        <f t="shared" si="44"/>
        <v>-4</v>
      </c>
      <c r="Q40" s="5">
        <f t="shared" si="45"/>
        <v>56.5</v>
      </c>
      <c r="R40" s="7">
        <f>R41</f>
        <v>1000</v>
      </c>
      <c r="S40" s="6">
        <f t="shared" si="46"/>
        <v>597</v>
      </c>
      <c r="T40" s="7">
        <f t="shared" si="47"/>
        <v>403</v>
      </c>
      <c r="U40" s="7">
        <f t="shared" si="48"/>
        <v>330</v>
      </c>
      <c r="V40" s="6">
        <f t="shared" si="48"/>
        <v>334</v>
      </c>
      <c r="W40" s="7">
        <f t="shared" si="49"/>
        <v>-4</v>
      </c>
      <c r="X40" s="7">
        <f t="shared" si="50"/>
        <v>2000</v>
      </c>
      <c r="Y40" s="7">
        <f t="shared" si="50"/>
        <v>1198</v>
      </c>
      <c r="Z40" s="7">
        <f t="shared" si="51"/>
        <v>802</v>
      </c>
      <c r="AA40" s="24">
        <f t="shared" si="52"/>
        <v>0.98315070376911129</v>
      </c>
      <c r="AB40" s="1"/>
    </row>
    <row r="41" spans="2:28" ht="18.75" thickBot="1" x14ac:dyDescent="0.3">
      <c r="B41" s="3">
        <v>1</v>
      </c>
      <c r="C41" s="5">
        <f>C42+207</f>
        <v>448271</v>
      </c>
      <c r="D41" s="5">
        <f>D42+229</f>
        <v>606700</v>
      </c>
      <c r="E41" s="5">
        <f>E42+165</f>
        <v>400289</v>
      </c>
      <c r="F41" s="8">
        <f t="shared" si="38"/>
        <v>1455260</v>
      </c>
      <c r="G41" s="22">
        <f>(C42+D42+E42)+((S41/24)*5)</f>
        <v>1454784.2083333333</v>
      </c>
      <c r="H41" s="7">
        <f>G41+((K41/12)*3)</f>
        <v>1454841.4583333333</v>
      </c>
      <c r="I41" s="5">
        <f>I42+113</f>
        <v>275049</v>
      </c>
      <c r="J41" s="6">
        <f t="shared" si="41"/>
        <v>207</v>
      </c>
      <c r="K41" s="6">
        <f t="shared" si="41"/>
        <v>229</v>
      </c>
      <c r="L41" s="6">
        <f t="shared" si="41"/>
        <v>165</v>
      </c>
      <c r="M41" s="6">
        <f t="shared" si="42"/>
        <v>113</v>
      </c>
      <c r="N41" s="43">
        <f>O6/30</f>
        <v>165</v>
      </c>
      <c r="O41" s="3">
        <f t="shared" si="43"/>
        <v>165</v>
      </c>
      <c r="P41" s="5">
        <f t="shared" si="44"/>
        <v>0</v>
      </c>
      <c r="Q41" s="5">
        <f t="shared" si="45"/>
        <v>57.25</v>
      </c>
      <c r="R41" s="45">
        <f>S6/30</f>
        <v>1000</v>
      </c>
      <c r="S41" s="6">
        <f t="shared" si="46"/>
        <v>601</v>
      </c>
      <c r="T41" s="7">
        <f t="shared" si="47"/>
        <v>399</v>
      </c>
      <c r="U41" s="7">
        <f>N41</f>
        <v>165</v>
      </c>
      <c r="V41" s="6">
        <f>O41</f>
        <v>165</v>
      </c>
      <c r="W41" s="7">
        <f t="shared" si="49"/>
        <v>0</v>
      </c>
      <c r="X41" s="7">
        <f>R41</f>
        <v>1000</v>
      </c>
      <c r="Y41" s="7">
        <f>S41</f>
        <v>601</v>
      </c>
      <c r="Z41" s="7">
        <f t="shared" si="51"/>
        <v>399</v>
      </c>
      <c r="AA41" s="24">
        <f t="shared" si="52"/>
        <v>0.98277950218267196</v>
      </c>
      <c r="AB41" s="1"/>
    </row>
    <row r="42" spans="2:28" ht="54.75" thickBot="1" x14ac:dyDescent="0.3">
      <c r="B42" s="33" t="s">
        <v>13</v>
      </c>
      <c r="C42" s="3">
        <v>448064</v>
      </c>
      <c r="D42" s="3">
        <v>606471</v>
      </c>
      <c r="E42" s="3">
        <v>400124</v>
      </c>
      <c r="F42" s="8">
        <v>1454659</v>
      </c>
      <c r="G42" s="9">
        <v>1454397.3958333333</v>
      </c>
      <c r="H42" s="9">
        <v>1454427.3958333333</v>
      </c>
      <c r="I42" s="3">
        <v>274936</v>
      </c>
      <c r="J42" s="10"/>
      <c r="K42" s="10"/>
      <c r="L42" s="10"/>
      <c r="M42" s="46">
        <f>SUM(M12:M41)</f>
        <v>3005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76">
        <f>AVERAGE(AA11:AA41)</f>
        <v>0.97660614751115526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8" spans="2:28" ht="18" x14ac:dyDescent="0.25">
      <c r="Z48" s="10" t="s">
        <v>38</v>
      </c>
    </row>
    <row r="49" spans="26:27" ht="18" x14ac:dyDescent="0.25">
      <c r="Z49" s="10" t="s">
        <v>44</v>
      </c>
      <c r="AA49" s="10"/>
    </row>
    <row r="50" spans="26:27" ht="18" x14ac:dyDescent="0.25">
      <c r="Z50" s="10" t="s">
        <v>45</v>
      </c>
      <c r="AA50" s="10"/>
    </row>
    <row r="51" spans="26:27" ht="18" x14ac:dyDescent="0.25">
      <c r="Z51" s="10" t="s">
        <v>12</v>
      </c>
      <c r="AA51" s="10"/>
    </row>
  </sheetData>
  <mergeCells count="10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B2:AB53"/>
  <sheetViews>
    <sheetView view="pageBreakPreview" topLeftCell="G1" zoomScale="70" zoomScaleNormal="85" zoomScaleSheetLayoutView="70" workbookViewId="0">
      <pane ySplit="8" topLeftCell="A30" activePane="bottomLeft" state="frozen"/>
      <selection pane="bottomLeft" activeCell="AA42" sqref="AA42"/>
    </sheetView>
  </sheetViews>
  <sheetFormatPr baseColWidth="10" defaultColWidth="11.42578125" defaultRowHeight="15" x14ac:dyDescent="0.25"/>
  <cols>
    <col min="1" max="2" width="11.42578125" customWidth="1"/>
    <col min="4" max="4" width="12.28515625" bestFit="1" customWidth="1"/>
    <col min="5" max="5" width="11.42578125" customWidth="1"/>
    <col min="9" max="9" width="12.28515625" bestFit="1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45444</v>
      </c>
    </row>
    <row r="5" spans="2:28" x14ac:dyDescent="0.25">
      <c r="C5" s="67" t="s">
        <v>34</v>
      </c>
      <c r="D5" s="67"/>
      <c r="E5" s="67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1815</v>
      </c>
      <c r="P6" s="30" t="s">
        <v>26</v>
      </c>
      <c r="Q6" s="11">
        <f>(S6*8)/100</f>
        <v>880</v>
      </c>
      <c r="R6" s="13" t="s">
        <v>25</v>
      </c>
      <c r="S6" s="11">
        <v>11000</v>
      </c>
      <c r="T6" s="52" t="s">
        <v>41</v>
      </c>
      <c r="U6" s="52">
        <v>250.8</v>
      </c>
      <c r="V6" s="51">
        <f>U6/31</f>
        <v>8.0903225806451609</v>
      </c>
    </row>
    <row r="7" spans="2:28" ht="46.5" customHeight="1" x14ac:dyDescent="0.25">
      <c r="B7" s="70" t="s">
        <v>24</v>
      </c>
      <c r="C7" s="68" t="s">
        <v>9</v>
      </c>
      <c r="D7" s="68"/>
      <c r="E7" s="68"/>
      <c r="F7" s="68"/>
      <c r="G7" s="68"/>
      <c r="H7" s="68"/>
      <c r="I7" s="68"/>
      <c r="J7" s="68" t="s">
        <v>23</v>
      </c>
      <c r="K7" s="68"/>
      <c r="L7" s="68"/>
      <c r="M7" s="68"/>
      <c r="N7" s="68" t="s">
        <v>22</v>
      </c>
      <c r="O7" s="68"/>
      <c r="P7" s="68"/>
      <c r="Q7" s="69" t="s">
        <v>21</v>
      </c>
      <c r="R7" s="68" t="s">
        <v>20</v>
      </c>
      <c r="S7" s="68"/>
      <c r="T7" s="68"/>
      <c r="U7" s="68" t="s">
        <v>10</v>
      </c>
      <c r="V7" s="68"/>
      <c r="W7" s="68"/>
      <c r="X7" s="68" t="s">
        <v>11</v>
      </c>
      <c r="Y7" s="68"/>
      <c r="Z7" s="68"/>
      <c r="AA7" s="68"/>
      <c r="AB7" s="69" t="s">
        <v>8</v>
      </c>
    </row>
    <row r="8" spans="2:28" ht="30" x14ac:dyDescent="0.25">
      <c r="B8" s="70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69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6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5" customFormat="1" ht="18" x14ac:dyDescent="0.25">
      <c r="B11" s="56">
        <v>31</v>
      </c>
      <c r="C11" s="57"/>
      <c r="D11" s="57"/>
      <c r="E11" s="57"/>
      <c r="F11" s="58">
        <f t="shared" ref="F11" si="0">C11+D11+E11</f>
        <v>0</v>
      </c>
      <c r="G11" s="59">
        <f t="shared" ref="G11" si="1">(C12+D12+E12)+((S11/24)*9.5)</f>
        <v>364246.64583333337</v>
      </c>
      <c r="H11" s="57">
        <f t="shared" ref="H11" si="2">G11+((K11/12)*2.5)</f>
        <v>265700.1875</v>
      </c>
      <c r="I11" s="57"/>
      <c r="J11" s="60">
        <f t="shared" ref="J11:L11" si="3">C11-C12</f>
        <v>-57351</v>
      </c>
      <c r="K11" s="60">
        <f t="shared" si="3"/>
        <v>-473023</v>
      </c>
      <c r="L11" s="60">
        <f t="shared" si="3"/>
        <v>-72517</v>
      </c>
      <c r="M11" s="60">
        <f t="shared" ref="M11" si="4">I11-I12</f>
        <v>-205380</v>
      </c>
      <c r="N11" s="61">
        <f t="shared" ref="N11" si="5">N12</f>
        <v>60.5</v>
      </c>
      <c r="O11" s="62">
        <f t="shared" ref="O11" si="6">L11</f>
        <v>-72517</v>
      </c>
      <c r="P11" s="61">
        <f t="shared" ref="P11" si="7">N11-O11</f>
        <v>72577.5</v>
      </c>
      <c r="Q11" s="61">
        <f t="shared" ref="Q11" si="8">H11-G11</f>
        <v>-98546.458333333372</v>
      </c>
      <c r="R11" s="57">
        <f t="shared" ref="R11" si="9">R12</f>
        <v>366.66666666666669</v>
      </c>
      <c r="S11" s="60">
        <f t="shared" ref="S11" si="10">J11+K11+L11</f>
        <v>-602891</v>
      </c>
      <c r="T11" s="57">
        <f t="shared" ref="T11" si="11">R11-S11</f>
        <v>603257.66666666663</v>
      </c>
      <c r="U11" s="57">
        <f t="shared" ref="U11:V11" si="12">U12+N11</f>
        <v>1875.5</v>
      </c>
      <c r="V11" s="57">
        <f t="shared" si="12"/>
        <v>-71491</v>
      </c>
      <c r="W11" s="57">
        <f t="shared" ref="W11" si="13">U11-V11</f>
        <v>73366.5</v>
      </c>
      <c r="X11" s="57">
        <f t="shared" ref="X11:Y11" si="14">X12+R11</f>
        <v>11366.666666666664</v>
      </c>
      <c r="Y11" s="57">
        <f t="shared" si="14"/>
        <v>-597901</v>
      </c>
      <c r="Z11" s="57">
        <f t="shared" ref="Z11" si="15">X11-Y11</f>
        <v>609267.66666666663</v>
      </c>
      <c r="AA11" s="63">
        <f t="shared" ref="AA11" si="16">COS(ATAN(M11/S11))</f>
        <v>0.9465825831174981</v>
      </c>
      <c r="AB11" s="64"/>
    </row>
    <row r="12" spans="2:28" ht="18" x14ac:dyDescent="0.25">
      <c r="B12" s="3">
        <v>30</v>
      </c>
      <c r="C12" s="3">
        <v>57351</v>
      </c>
      <c r="D12" s="3">
        <v>473023</v>
      </c>
      <c r="E12" s="3">
        <v>72517</v>
      </c>
      <c r="F12" s="8">
        <f t="shared" ref="F12" si="17">C12+D12+E12</f>
        <v>602891</v>
      </c>
      <c r="G12" s="22">
        <f t="shared" ref="G12" si="18">(C13+D13+E13)+((S12/24)*9.5)</f>
        <v>602799.77083333337</v>
      </c>
      <c r="H12" s="7">
        <f t="shared" ref="H12" si="19">G12+((K12/12)*2.5)</f>
        <v>602816.4375</v>
      </c>
      <c r="I12" s="3">
        <v>205380</v>
      </c>
      <c r="J12" s="6">
        <f t="shared" ref="J12" si="20">C12-C13</f>
        <v>32</v>
      </c>
      <c r="K12" s="6">
        <f t="shared" ref="K12" si="21">D12-D13</f>
        <v>80</v>
      </c>
      <c r="L12" s="6">
        <f t="shared" ref="L12" si="22">E12-E13</f>
        <v>39</v>
      </c>
      <c r="M12" s="6">
        <f t="shared" ref="M12" si="23">I12-I13</f>
        <v>58</v>
      </c>
      <c r="N12" s="5">
        <f t="shared" ref="N12:N40" si="24">N13</f>
        <v>60.5</v>
      </c>
      <c r="O12" s="23">
        <f t="shared" ref="O12" si="25">L12</f>
        <v>39</v>
      </c>
      <c r="P12" s="5">
        <f t="shared" ref="P12" si="26">N12-O12</f>
        <v>21.5</v>
      </c>
      <c r="Q12" s="5">
        <f t="shared" ref="Q12" si="27">H12-G12</f>
        <v>16.666666666627862</v>
      </c>
      <c r="R12" s="7">
        <f t="shared" ref="R12:R39" si="28">R13</f>
        <v>366.66666666666669</v>
      </c>
      <c r="S12" s="6">
        <f t="shared" ref="S12" si="29">J12+K12+L12</f>
        <v>151</v>
      </c>
      <c r="T12" s="7">
        <f t="shared" ref="T12" si="30">R12-S12</f>
        <v>215.66666666666669</v>
      </c>
      <c r="U12" s="7">
        <f t="shared" ref="U12" si="31">U13+N12</f>
        <v>1815</v>
      </c>
      <c r="V12" s="7">
        <f t="shared" ref="V12" si="32">V13+O12</f>
        <v>1026</v>
      </c>
      <c r="W12" s="7">
        <f t="shared" ref="W12" si="33">U12-V12</f>
        <v>789</v>
      </c>
      <c r="X12" s="7">
        <f t="shared" ref="X12" si="34">X13+R12</f>
        <v>10999.999999999998</v>
      </c>
      <c r="Y12" s="7">
        <f t="shared" ref="Y12" si="35">Y13+S12</f>
        <v>4990</v>
      </c>
      <c r="Z12" s="7">
        <f t="shared" ref="Z12" si="36">X12-Y12</f>
        <v>6009.9999999999982</v>
      </c>
      <c r="AA12" s="24">
        <f t="shared" ref="AA12" si="37">COS(ATAN(M12/S12))</f>
        <v>0.93350484806281231</v>
      </c>
      <c r="AB12" s="25"/>
    </row>
    <row r="13" spans="2:28" ht="18" x14ac:dyDescent="0.25">
      <c r="B13" s="3">
        <v>29</v>
      </c>
      <c r="C13" s="3">
        <f>C14+25</f>
        <v>57319</v>
      </c>
      <c r="D13" s="3">
        <f t="shared" ref="D13" si="38">D14+90</f>
        <v>472943</v>
      </c>
      <c r="E13" s="3">
        <f>E14+37</f>
        <v>72478</v>
      </c>
      <c r="F13" s="8">
        <f t="shared" ref="F13:F41" si="39">C13+D13+E13</f>
        <v>602740</v>
      </c>
      <c r="G13" s="22">
        <f t="shared" ref="G13:G40" si="40">(C14+D14+E14)+((S13/24)*9.5)</f>
        <v>602648.16666666663</v>
      </c>
      <c r="H13" s="7">
        <f t="shared" ref="H13:H40" si="41">G13+((K13/12)*2.5)</f>
        <v>602666.91666666663</v>
      </c>
      <c r="I13" s="3">
        <f>I14+64</f>
        <v>205322</v>
      </c>
      <c r="J13" s="6">
        <f t="shared" ref="J13:L41" si="42">C13-C14</f>
        <v>25</v>
      </c>
      <c r="K13" s="6">
        <f t="shared" si="42"/>
        <v>90</v>
      </c>
      <c r="L13" s="6">
        <f t="shared" si="42"/>
        <v>37</v>
      </c>
      <c r="M13" s="6">
        <f t="shared" ref="M13:M41" si="43">I13-I14</f>
        <v>64</v>
      </c>
      <c r="N13" s="5">
        <f t="shared" si="24"/>
        <v>60.5</v>
      </c>
      <c r="O13" s="23">
        <f t="shared" ref="O13:O41" si="44">L13</f>
        <v>37</v>
      </c>
      <c r="P13" s="5">
        <f t="shared" ref="P13:P41" si="45">N13-O13</f>
        <v>23.5</v>
      </c>
      <c r="Q13" s="5">
        <f t="shared" ref="Q13:Q41" si="46">H13-G13</f>
        <v>18.75</v>
      </c>
      <c r="R13" s="7">
        <f t="shared" si="28"/>
        <v>366.66666666666669</v>
      </c>
      <c r="S13" s="6">
        <f t="shared" ref="S13:S41" si="47">J13+K13+L13</f>
        <v>152</v>
      </c>
      <c r="T13" s="7">
        <f t="shared" ref="T13:T41" si="48">R13-S13</f>
        <v>214.66666666666669</v>
      </c>
      <c r="U13" s="7">
        <f t="shared" ref="U13:V40" si="49">U14+N13</f>
        <v>1754.5</v>
      </c>
      <c r="V13" s="7">
        <f t="shared" si="49"/>
        <v>987</v>
      </c>
      <c r="W13" s="7">
        <f t="shared" ref="W13:W41" si="50">U13-V13</f>
        <v>767.5</v>
      </c>
      <c r="X13" s="7">
        <f t="shared" ref="X13:Y40" si="51">X14+R13</f>
        <v>10633.333333333332</v>
      </c>
      <c r="Y13" s="7">
        <f t="shared" si="51"/>
        <v>4839</v>
      </c>
      <c r="Z13" s="7">
        <f t="shared" ref="Z13:Z41" si="52">X13-Y13</f>
        <v>5794.3333333333321</v>
      </c>
      <c r="AA13" s="24">
        <f t="shared" ref="AA13:AA41" si="53">COS(ATAN(M13/S13))</f>
        <v>0.92163537513806526</v>
      </c>
      <c r="AB13" s="25"/>
    </row>
    <row r="14" spans="2:28" ht="18" x14ac:dyDescent="0.25">
      <c r="B14" s="3">
        <v>28</v>
      </c>
      <c r="C14" s="3">
        <f>C15+27</f>
        <v>57294</v>
      </c>
      <c r="D14" s="3">
        <f>D15+72</f>
        <v>472853</v>
      </c>
      <c r="E14" s="3">
        <f>E15+30</f>
        <v>72441</v>
      </c>
      <c r="F14" s="8">
        <f t="shared" si="39"/>
        <v>602588</v>
      </c>
      <c r="G14" s="22">
        <f t="shared" si="40"/>
        <v>602510.0625</v>
      </c>
      <c r="H14" s="7">
        <f t="shared" si="41"/>
        <v>602525.0625</v>
      </c>
      <c r="I14" s="3">
        <f>I15+71</f>
        <v>205258</v>
      </c>
      <c r="J14" s="6">
        <f t="shared" si="42"/>
        <v>27</v>
      </c>
      <c r="K14" s="6">
        <f t="shared" si="42"/>
        <v>72</v>
      </c>
      <c r="L14" s="6">
        <f t="shared" si="42"/>
        <v>30</v>
      </c>
      <c r="M14" s="6">
        <f t="shared" si="43"/>
        <v>71</v>
      </c>
      <c r="N14" s="5">
        <f t="shared" si="24"/>
        <v>60.5</v>
      </c>
      <c r="O14" s="23">
        <f t="shared" si="44"/>
        <v>30</v>
      </c>
      <c r="P14" s="5">
        <f t="shared" si="45"/>
        <v>30.5</v>
      </c>
      <c r="Q14" s="5">
        <f t="shared" si="46"/>
        <v>15</v>
      </c>
      <c r="R14" s="7">
        <f t="shared" si="28"/>
        <v>366.66666666666669</v>
      </c>
      <c r="S14" s="6">
        <f t="shared" si="47"/>
        <v>129</v>
      </c>
      <c r="T14" s="7">
        <f t="shared" si="48"/>
        <v>237.66666666666669</v>
      </c>
      <c r="U14" s="7">
        <f t="shared" si="49"/>
        <v>1694</v>
      </c>
      <c r="V14" s="7">
        <f t="shared" si="49"/>
        <v>950</v>
      </c>
      <c r="W14" s="7">
        <f t="shared" si="50"/>
        <v>744</v>
      </c>
      <c r="X14" s="7">
        <f t="shared" si="51"/>
        <v>10266.666666666666</v>
      </c>
      <c r="Y14" s="7">
        <f t="shared" si="51"/>
        <v>4687</v>
      </c>
      <c r="Z14" s="7">
        <f t="shared" si="52"/>
        <v>5579.6666666666661</v>
      </c>
      <c r="AA14" s="24">
        <f t="shared" si="53"/>
        <v>0.87607248437468033</v>
      </c>
      <c r="AB14" s="25"/>
    </row>
    <row r="15" spans="2:28" ht="18" x14ac:dyDescent="0.25">
      <c r="B15" s="3">
        <v>27</v>
      </c>
      <c r="C15" s="3">
        <f>C16+33</f>
        <v>57267</v>
      </c>
      <c r="D15" s="3">
        <f>D16+95</f>
        <v>472781</v>
      </c>
      <c r="E15" s="3">
        <f>E16+33</f>
        <v>72411</v>
      </c>
      <c r="F15" s="8">
        <f t="shared" si="39"/>
        <v>602459</v>
      </c>
      <c r="G15" s="22">
        <f t="shared" si="40"/>
        <v>602361.72916666663</v>
      </c>
      <c r="H15" s="7">
        <f t="shared" si="41"/>
        <v>602381.52083333326</v>
      </c>
      <c r="I15" s="3">
        <f t="shared" ref="I15" si="54">I16+66</f>
        <v>205187</v>
      </c>
      <c r="J15" s="6">
        <f t="shared" si="42"/>
        <v>33</v>
      </c>
      <c r="K15" s="6">
        <f t="shared" si="42"/>
        <v>95</v>
      </c>
      <c r="L15" s="6">
        <f t="shared" si="42"/>
        <v>33</v>
      </c>
      <c r="M15" s="6">
        <f t="shared" si="43"/>
        <v>66</v>
      </c>
      <c r="N15" s="5">
        <f t="shared" si="24"/>
        <v>60.5</v>
      </c>
      <c r="O15" s="23">
        <f t="shared" si="44"/>
        <v>33</v>
      </c>
      <c r="P15" s="5">
        <f t="shared" si="45"/>
        <v>27.5</v>
      </c>
      <c r="Q15" s="5">
        <f t="shared" si="46"/>
        <v>19.791666666627862</v>
      </c>
      <c r="R15" s="7">
        <f t="shared" si="28"/>
        <v>366.66666666666669</v>
      </c>
      <c r="S15" s="6">
        <f t="shared" si="47"/>
        <v>161</v>
      </c>
      <c r="T15" s="7">
        <f t="shared" si="48"/>
        <v>205.66666666666669</v>
      </c>
      <c r="U15" s="7">
        <f t="shared" si="49"/>
        <v>1633.5</v>
      </c>
      <c r="V15" s="7">
        <f t="shared" si="49"/>
        <v>920</v>
      </c>
      <c r="W15" s="7">
        <f t="shared" si="50"/>
        <v>713.5</v>
      </c>
      <c r="X15" s="7">
        <f t="shared" si="51"/>
        <v>9900</v>
      </c>
      <c r="Y15" s="7">
        <f t="shared" si="51"/>
        <v>4558</v>
      </c>
      <c r="Z15" s="7">
        <f t="shared" si="52"/>
        <v>5342</v>
      </c>
      <c r="AA15" s="24">
        <f t="shared" si="53"/>
        <v>0.92527207582845084</v>
      </c>
      <c r="AB15" s="25"/>
    </row>
    <row r="16" spans="2:28" ht="18" x14ac:dyDescent="0.25">
      <c r="B16" s="3">
        <v>26</v>
      </c>
      <c r="C16" s="3">
        <f>C17+30</f>
        <v>57234</v>
      </c>
      <c r="D16" s="3">
        <f>D17+102</f>
        <v>472686</v>
      </c>
      <c r="E16" s="3">
        <f>E17+35</f>
        <v>72378</v>
      </c>
      <c r="F16" s="8">
        <f t="shared" si="39"/>
        <v>602298</v>
      </c>
      <c r="G16" s="22">
        <f t="shared" si="40"/>
        <v>602197.10416666663</v>
      </c>
      <c r="H16" s="7">
        <f t="shared" si="41"/>
        <v>602218.35416666663</v>
      </c>
      <c r="I16" s="3">
        <f>I17+69</f>
        <v>205121</v>
      </c>
      <c r="J16" s="6">
        <f t="shared" si="42"/>
        <v>30</v>
      </c>
      <c r="K16" s="6">
        <f t="shared" si="42"/>
        <v>102</v>
      </c>
      <c r="L16" s="6">
        <f t="shared" si="42"/>
        <v>35</v>
      </c>
      <c r="M16" s="6">
        <f t="shared" si="43"/>
        <v>69</v>
      </c>
      <c r="N16" s="5">
        <f t="shared" si="24"/>
        <v>60.5</v>
      </c>
      <c r="O16" s="23">
        <f t="shared" si="44"/>
        <v>35</v>
      </c>
      <c r="P16" s="5">
        <f t="shared" si="45"/>
        <v>25.5</v>
      </c>
      <c r="Q16" s="5">
        <f t="shared" si="46"/>
        <v>21.25</v>
      </c>
      <c r="R16" s="7">
        <f t="shared" si="28"/>
        <v>366.66666666666669</v>
      </c>
      <c r="S16" s="6">
        <f t="shared" si="47"/>
        <v>167</v>
      </c>
      <c r="T16" s="7">
        <f t="shared" si="48"/>
        <v>199.66666666666669</v>
      </c>
      <c r="U16" s="7">
        <f t="shared" si="49"/>
        <v>1573</v>
      </c>
      <c r="V16" s="7">
        <f t="shared" si="49"/>
        <v>887</v>
      </c>
      <c r="W16" s="7">
        <f t="shared" si="50"/>
        <v>686</v>
      </c>
      <c r="X16" s="7">
        <f t="shared" si="51"/>
        <v>9533.3333333333339</v>
      </c>
      <c r="Y16" s="7">
        <f t="shared" si="51"/>
        <v>4397</v>
      </c>
      <c r="Z16" s="7">
        <f t="shared" si="52"/>
        <v>5136.3333333333339</v>
      </c>
      <c r="AA16" s="24">
        <f t="shared" si="53"/>
        <v>0.92421896996385078</v>
      </c>
      <c r="AB16" s="25"/>
    </row>
    <row r="17" spans="2:28" ht="18" x14ac:dyDescent="0.25">
      <c r="B17" s="3">
        <v>25</v>
      </c>
      <c r="C17" s="3">
        <v>57204</v>
      </c>
      <c r="D17" s="3">
        <v>472584</v>
      </c>
      <c r="E17" s="3">
        <v>72343</v>
      </c>
      <c r="F17" s="8">
        <f t="shared" si="39"/>
        <v>602131</v>
      </c>
      <c r="G17" s="22">
        <f t="shared" si="40"/>
        <v>601973.3125</v>
      </c>
      <c r="H17" s="7">
        <f t="shared" si="41"/>
        <v>601999.5625</v>
      </c>
      <c r="I17" s="3">
        <v>205052</v>
      </c>
      <c r="J17" s="6">
        <f t="shared" si="42"/>
        <v>62</v>
      </c>
      <c r="K17" s="6">
        <f t="shared" si="42"/>
        <v>126</v>
      </c>
      <c r="L17" s="6">
        <f t="shared" si="42"/>
        <v>73</v>
      </c>
      <c r="M17" s="6">
        <f t="shared" si="43"/>
        <v>106</v>
      </c>
      <c r="N17" s="5">
        <f t="shared" si="24"/>
        <v>60.5</v>
      </c>
      <c r="O17" s="23">
        <f t="shared" si="44"/>
        <v>73</v>
      </c>
      <c r="P17" s="5">
        <f t="shared" si="45"/>
        <v>-12.5</v>
      </c>
      <c r="Q17" s="5">
        <f t="shared" si="46"/>
        <v>26.25</v>
      </c>
      <c r="R17" s="7">
        <f t="shared" si="28"/>
        <v>366.66666666666669</v>
      </c>
      <c r="S17" s="6">
        <f t="shared" si="47"/>
        <v>261</v>
      </c>
      <c r="T17" s="7">
        <f t="shared" si="48"/>
        <v>105.66666666666669</v>
      </c>
      <c r="U17" s="7">
        <f t="shared" si="49"/>
        <v>1512.5</v>
      </c>
      <c r="V17" s="7">
        <f t="shared" si="49"/>
        <v>852</v>
      </c>
      <c r="W17" s="7">
        <f t="shared" si="50"/>
        <v>660.5</v>
      </c>
      <c r="X17" s="7">
        <f t="shared" si="51"/>
        <v>9166.6666666666679</v>
      </c>
      <c r="Y17" s="7">
        <f t="shared" si="51"/>
        <v>4230</v>
      </c>
      <c r="Z17" s="7">
        <f t="shared" si="52"/>
        <v>4936.6666666666679</v>
      </c>
      <c r="AA17" s="24">
        <f t="shared" si="53"/>
        <v>0.92650525435110698</v>
      </c>
      <c r="AB17" s="25"/>
    </row>
    <row r="18" spans="2:28" ht="18" x14ac:dyDescent="0.25">
      <c r="B18" s="3">
        <v>24</v>
      </c>
      <c r="C18" s="3">
        <f>C19+42</f>
        <v>57142</v>
      </c>
      <c r="D18" s="3">
        <f>D19+132</f>
        <v>472458</v>
      </c>
      <c r="E18" s="3">
        <f>E19+76</f>
        <v>72270</v>
      </c>
      <c r="F18" s="8">
        <f t="shared" si="39"/>
        <v>601870</v>
      </c>
      <c r="G18" s="22">
        <f t="shared" si="40"/>
        <v>601718.95833333337</v>
      </c>
      <c r="H18" s="7">
        <f t="shared" si="41"/>
        <v>601746.45833333337</v>
      </c>
      <c r="I18" s="3">
        <f>I19+117</f>
        <v>204946</v>
      </c>
      <c r="J18" s="6">
        <f t="shared" si="42"/>
        <v>42</v>
      </c>
      <c r="K18" s="6">
        <f t="shared" si="42"/>
        <v>132</v>
      </c>
      <c r="L18" s="6">
        <f t="shared" si="42"/>
        <v>76</v>
      </c>
      <c r="M18" s="6">
        <f t="shared" si="43"/>
        <v>117</v>
      </c>
      <c r="N18" s="5">
        <f t="shared" si="24"/>
        <v>60.5</v>
      </c>
      <c r="O18" s="23">
        <f t="shared" si="44"/>
        <v>76</v>
      </c>
      <c r="P18" s="5">
        <f t="shared" si="45"/>
        <v>-15.5</v>
      </c>
      <c r="Q18" s="5">
        <f t="shared" si="46"/>
        <v>27.5</v>
      </c>
      <c r="R18" s="7">
        <f t="shared" si="28"/>
        <v>366.66666666666669</v>
      </c>
      <c r="S18" s="6">
        <f t="shared" si="47"/>
        <v>250</v>
      </c>
      <c r="T18" s="7">
        <f t="shared" si="48"/>
        <v>116.66666666666669</v>
      </c>
      <c r="U18" s="7">
        <f t="shared" si="49"/>
        <v>1452</v>
      </c>
      <c r="V18" s="7">
        <f t="shared" si="49"/>
        <v>779</v>
      </c>
      <c r="W18" s="7">
        <f t="shared" si="50"/>
        <v>673</v>
      </c>
      <c r="X18" s="7">
        <f t="shared" si="51"/>
        <v>8800.0000000000018</v>
      </c>
      <c r="Y18" s="7">
        <f t="shared" si="51"/>
        <v>3969</v>
      </c>
      <c r="Z18" s="7">
        <f t="shared" si="52"/>
        <v>4831.0000000000018</v>
      </c>
      <c r="AA18" s="24">
        <f t="shared" si="53"/>
        <v>0.90571982084010449</v>
      </c>
      <c r="AB18" s="25"/>
    </row>
    <row r="19" spans="2:28" ht="18" x14ac:dyDescent="0.25">
      <c r="B19" s="3">
        <v>23</v>
      </c>
      <c r="C19" s="3">
        <f t="shared" ref="C19" si="55">C20+27</f>
        <v>57100</v>
      </c>
      <c r="D19" s="3">
        <f t="shared" ref="D19" si="56">D20+120</f>
        <v>472326</v>
      </c>
      <c r="E19" s="3">
        <f>E20+25</f>
        <v>72194</v>
      </c>
      <c r="F19" s="8">
        <f t="shared" si="39"/>
        <v>601620</v>
      </c>
      <c r="G19" s="22">
        <f t="shared" si="40"/>
        <v>601516.08333333337</v>
      </c>
      <c r="H19" s="7">
        <f t="shared" si="41"/>
        <v>601541.08333333337</v>
      </c>
      <c r="I19" s="3">
        <f>I20+62</f>
        <v>204829</v>
      </c>
      <c r="J19" s="6">
        <f t="shared" si="42"/>
        <v>27</v>
      </c>
      <c r="K19" s="6">
        <f t="shared" si="42"/>
        <v>120</v>
      </c>
      <c r="L19" s="6">
        <f t="shared" si="42"/>
        <v>25</v>
      </c>
      <c r="M19" s="6">
        <f t="shared" si="43"/>
        <v>62</v>
      </c>
      <c r="N19" s="5">
        <f t="shared" si="24"/>
        <v>60.5</v>
      </c>
      <c r="O19" s="3">
        <f t="shared" si="44"/>
        <v>25</v>
      </c>
      <c r="P19" s="5">
        <f t="shared" si="45"/>
        <v>35.5</v>
      </c>
      <c r="Q19" s="5">
        <f t="shared" si="46"/>
        <v>25</v>
      </c>
      <c r="R19" s="7">
        <f t="shared" si="28"/>
        <v>366.66666666666669</v>
      </c>
      <c r="S19" s="6">
        <f t="shared" si="47"/>
        <v>172</v>
      </c>
      <c r="T19" s="7">
        <f t="shared" si="48"/>
        <v>194.66666666666669</v>
      </c>
      <c r="U19" s="7">
        <f t="shared" si="49"/>
        <v>1391.5</v>
      </c>
      <c r="V19" s="7">
        <f t="shared" si="49"/>
        <v>703</v>
      </c>
      <c r="W19" s="7">
        <f t="shared" si="50"/>
        <v>688.5</v>
      </c>
      <c r="X19" s="7">
        <f t="shared" si="51"/>
        <v>8433.3333333333358</v>
      </c>
      <c r="Y19" s="7">
        <f t="shared" si="51"/>
        <v>3719</v>
      </c>
      <c r="Z19" s="7">
        <f t="shared" si="52"/>
        <v>4714.3333333333358</v>
      </c>
      <c r="AA19" s="24">
        <f t="shared" si="53"/>
        <v>0.94074788403114795</v>
      </c>
      <c r="AB19" s="1"/>
    </row>
    <row r="20" spans="2:28" ht="18" x14ac:dyDescent="0.25">
      <c r="B20" s="3">
        <v>22</v>
      </c>
      <c r="C20" s="3">
        <f>C21+32</f>
        <v>57073</v>
      </c>
      <c r="D20" s="3">
        <f>D21+124</f>
        <v>472206</v>
      </c>
      <c r="E20" s="3">
        <f>E21+30</f>
        <v>72169</v>
      </c>
      <c r="F20" s="8">
        <f t="shared" si="39"/>
        <v>601448</v>
      </c>
      <c r="G20" s="22">
        <f t="shared" si="40"/>
        <v>601335.625</v>
      </c>
      <c r="H20" s="7">
        <f t="shared" si="41"/>
        <v>601361.45833333337</v>
      </c>
      <c r="I20" s="3">
        <f>I21+67</f>
        <v>204767</v>
      </c>
      <c r="J20" s="6">
        <f t="shared" si="42"/>
        <v>32</v>
      </c>
      <c r="K20" s="6">
        <f t="shared" si="42"/>
        <v>124</v>
      </c>
      <c r="L20" s="6">
        <f t="shared" si="42"/>
        <v>30</v>
      </c>
      <c r="M20" s="6">
        <f t="shared" si="43"/>
        <v>67</v>
      </c>
      <c r="N20" s="5">
        <f t="shared" si="24"/>
        <v>60.5</v>
      </c>
      <c r="O20" s="3">
        <f t="shared" si="44"/>
        <v>30</v>
      </c>
      <c r="P20" s="5">
        <f t="shared" si="45"/>
        <v>30.5</v>
      </c>
      <c r="Q20" s="5">
        <f t="shared" si="46"/>
        <v>25.833333333372138</v>
      </c>
      <c r="R20" s="7">
        <f t="shared" si="28"/>
        <v>366.66666666666669</v>
      </c>
      <c r="S20" s="6">
        <f t="shared" si="47"/>
        <v>186</v>
      </c>
      <c r="T20" s="7">
        <f t="shared" si="48"/>
        <v>180.66666666666669</v>
      </c>
      <c r="U20" s="7">
        <f t="shared" si="49"/>
        <v>1331</v>
      </c>
      <c r="V20" s="7">
        <f t="shared" si="49"/>
        <v>678</v>
      </c>
      <c r="W20" s="7">
        <f t="shared" si="50"/>
        <v>653</v>
      </c>
      <c r="X20" s="7">
        <f t="shared" si="51"/>
        <v>8066.6666666666688</v>
      </c>
      <c r="Y20" s="7">
        <f t="shared" si="51"/>
        <v>3547</v>
      </c>
      <c r="Z20" s="7">
        <f t="shared" si="52"/>
        <v>4519.6666666666688</v>
      </c>
      <c r="AA20" s="24">
        <f t="shared" si="53"/>
        <v>0.94082291367354653</v>
      </c>
      <c r="AB20" s="1"/>
    </row>
    <row r="21" spans="2:28" ht="18" x14ac:dyDescent="0.25">
      <c r="B21" s="3">
        <v>21</v>
      </c>
      <c r="C21" s="3">
        <f>C22+28</f>
        <v>57041</v>
      </c>
      <c r="D21" s="3">
        <f>D22+115</f>
        <v>472082</v>
      </c>
      <c r="E21" s="3">
        <f>E22+28</f>
        <v>72139</v>
      </c>
      <c r="F21" s="8">
        <f t="shared" si="39"/>
        <v>601262</v>
      </c>
      <c r="G21" s="22">
        <f t="shared" si="40"/>
        <v>601158.6875</v>
      </c>
      <c r="H21" s="7">
        <f t="shared" si="41"/>
        <v>601182.64583333337</v>
      </c>
      <c r="I21" s="3">
        <f>I22+63</f>
        <v>204700</v>
      </c>
      <c r="J21" s="6">
        <f t="shared" si="42"/>
        <v>28</v>
      </c>
      <c r="K21" s="6">
        <f t="shared" si="42"/>
        <v>115</v>
      </c>
      <c r="L21" s="6">
        <f t="shared" si="42"/>
        <v>28</v>
      </c>
      <c r="M21" s="6">
        <f t="shared" si="43"/>
        <v>63</v>
      </c>
      <c r="N21" s="5">
        <f t="shared" si="24"/>
        <v>60.5</v>
      </c>
      <c r="O21" s="3">
        <f t="shared" si="44"/>
        <v>28</v>
      </c>
      <c r="P21" s="5">
        <f t="shared" si="45"/>
        <v>32.5</v>
      </c>
      <c r="Q21" s="5">
        <f t="shared" si="46"/>
        <v>23.958333333372138</v>
      </c>
      <c r="R21" s="7">
        <f t="shared" si="28"/>
        <v>366.66666666666669</v>
      </c>
      <c r="S21" s="6">
        <f t="shared" si="47"/>
        <v>171</v>
      </c>
      <c r="T21" s="7">
        <f t="shared" si="48"/>
        <v>195.66666666666669</v>
      </c>
      <c r="U21" s="7">
        <f t="shared" si="49"/>
        <v>1270.5</v>
      </c>
      <c r="V21" s="7">
        <f t="shared" si="49"/>
        <v>648</v>
      </c>
      <c r="W21" s="7">
        <f t="shared" si="50"/>
        <v>622.5</v>
      </c>
      <c r="X21" s="7">
        <f t="shared" si="51"/>
        <v>7700.0000000000018</v>
      </c>
      <c r="Y21" s="7">
        <f t="shared" si="51"/>
        <v>3361</v>
      </c>
      <c r="Z21" s="7">
        <f t="shared" si="52"/>
        <v>4339.0000000000018</v>
      </c>
      <c r="AA21" s="24">
        <f t="shared" si="53"/>
        <v>0.93834311681711013</v>
      </c>
      <c r="AB21" s="1"/>
    </row>
    <row r="22" spans="2:28" ht="18" x14ac:dyDescent="0.25">
      <c r="B22" s="3">
        <v>20</v>
      </c>
      <c r="C22" s="3">
        <v>57013</v>
      </c>
      <c r="D22" s="3">
        <v>471967</v>
      </c>
      <c r="E22" s="3">
        <v>72111</v>
      </c>
      <c r="F22" s="8">
        <f t="shared" si="39"/>
        <v>601091</v>
      </c>
      <c r="G22" s="22">
        <f t="shared" si="40"/>
        <v>600990.10416666663</v>
      </c>
      <c r="H22" s="7">
        <f t="shared" si="41"/>
        <v>601014.47916666663</v>
      </c>
      <c r="I22" s="3">
        <v>204637</v>
      </c>
      <c r="J22" s="6">
        <f t="shared" si="42"/>
        <v>25</v>
      </c>
      <c r="K22" s="6">
        <f t="shared" si="42"/>
        <v>117</v>
      </c>
      <c r="L22" s="6">
        <f t="shared" si="42"/>
        <v>25</v>
      </c>
      <c r="M22" s="6">
        <f t="shared" si="43"/>
        <v>58</v>
      </c>
      <c r="N22" s="5">
        <f t="shared" si="24"/>
        <v>60.5</v>
      </c>
      <c r="O22" s="3">
        <f t="shared" si="44"/>
        <v>25</v>
      </c>
      <c r="P22" s="5">
        <f t="shared" si="45"/>
        <v>35.5</v>
      </c>
      <c r="Q22" s="5">
        <f t="shared" si="46"/>
        <v>24.375</v>
      </c>
      <c r="R22" s="7">
        <f t="shared" si="28"/>
        <v>366.66666666666669</v>
      </c>
      <c r="S22" s="6">
        <f t="shared" si="47"/>
        <v>167</v>
      </c>
      <c r="T22" s="7">
        <f t="shared" si="48"/>
        <v>199.66666666666669</v>
      </c>
      <c r="U22" s="7">
        <f t="shared" si="49"/>
        <v>1210</v>
      </c>
      <c r="V22" s="7">
        <f t="shared" si="49"/>
        <v>620</v>
      </c>
      <c r="W22" s="7">
        <f t="shared" si="50"/>
        <v>590</v>
      </c>
      <c r="X22" s="7">
        <f t="shared" si="51"/>
        <v>7333.3333333333348</v>
      </c>
      <c r="Y22" s="7">
        <f t="shared" si="51"/>
        <v>3190</v>
      </c>
      <c r="Z22" s="7">
        <f t="shared" si="52"/>
        <v>4143.3333333333348</v>
      </c>
      <c r="AA22" s="24">
        <f t="shared" si="53"/>
        <v>0.9446493175861671</v>
      </c>
      <c r="AB22" s="1"/>
    </row>
    <row r="23" spans="2:28" ht="18" x14ac:dyDescent="0.25">
      <c r="B23" s="3">
        <v>19</v>
      </c>
      <c r="C23" s="3">
        <f>C24+22</f>
        <v>56988</v>
      </c>
      <c r="D23" s="3">
        <f>D24+119</f>
        <v>471850</v>
      </c>
      <c r="E23" s="3">
        <f>E24+30</f>
        <v>72086</v>
      </c>
      <c r="F23" s="8">
        <f t="shared" si="39"/>
        <v>600924</v>
      </c>
      <c r="G23" s="22">
        <f t="shared" si="40"/>
        <v>600820.6875</v>
      </c>
      <c r="H23" s="7">
        <f t="shared" si="41"/>
        <v>600845.47916666663</v>
      </c>
      <c r="I23" s="3">
        <f>I24+59</f>
        <v>204579</v>
      </c>
      <c r="J23" s="6">
        <f t="shared" si="42"/>
        <v>22</v>
      </c>
      <c r="K23" s="6">
        <f t="shared" si="42"/>
        <v>119</v>
      </c>
      <c r="L23" s="6">
        <f t="shared" si="42"/>
        <v>30</v>
      </c>
      <c r="M23" s="6">
        <f t="shared" si="43"/>
        <v>59</v>
      </c>
      <c r="N23" s="5">
        <f t="shared" si="24"/>
        <v>60.5</v>
      </c>
      <c r="O23" s="3">
        <f t="shared" si="44"/>
        <v>30</v>
      </c>
      <c r="P23" s="5">
        <f t="shared" si="45"/>
        <v>30.5</v>
      </c>
      <c r="Q23" s="5">
        <f t="shared" si="46"/>
        <v>24.791666666627862</v>
      </c>
      <c r="R23" s="7">
        <f t="shared" si="28"/>
        <v>366.66666666666669</v>
      </c>
      <c r="S23" s="6">
        <f t="shared" si="47"/>
        <v>171</v>
      </c>
      <c r="T23" s="7">
        <f t="shared" si="48"/>
        <v>195.66666666666669</v>
      </c>
      <c r="U23" s="7">
        <f t="shared" si="49"/>
        <v>1149.5</v>
      </c>
      <c r="V23" s="7">
        <f t="shared" si="49"/>
        <v>595</v>
      </c>
      <c r="W23" s="7">
        <f t="shared" si="50"/>
        <v>554.5</v>
      </c>
      <c r="X23" s="7">
        <f t="shared" si="51"/>
        <v>6966.6666666666679</v>
      </c>
      <c r="Y23" s="7">
        <f t="shared" si="51"/>
        <v>3023</v>
      </c>
      <c r="Z23" s="7">
        <f t="shared" si="52"/>
        <v>3943.6666666666679</v>
      </c>
      <c r="AA23" s="24">
        <f t="shared" si="53"/>
        <v>0.94531421863075782</v>
      </c>
      <c r="AB23" s="1"/>
    </row>
    <row r="24" spans="2:28" ht="18" x14ac:dyDescent="0.25">
      <c r="B24" s="3">
        <v>18</v>
      </c>
      <c r="C24" s="3">
        <f>C25+25</f>
        <v>56966</v>
      </c>
      <c r="D24" s="3">
        <f>D25+122</f>
        <v>471731</v>
      </c>
      <c r="E24" s="3">
        <f>E25+27</f>
        <v>72056</v>
      </c>
      <c r="F24" s="9">
        <f>C24+D24+E24</f>
        <v>600753</v>
      </c>
      <c r="G24" s="22">
        <f t="shared" si="40"/>
        <v>600647.875</v>
      </c>
      <c r="H24" s="7">
        <f t="shared" si="41"/>
        <v>600673.29166666663</v>
      </c>
      <c r="I24" s="3">
        <f>I25+60</f>
        <v>204520</v>
      </c>
      <c r="J24" s="6">
        <f t="shared" si="42"/>
        <v>25</v>
      </c>
      <c r="K24" s="6">
        <f t="shared" si="42"/>
        <v>122</v>
      </c>
      <c r="L24" s="6">
        <f t="shared" si="42"/>
        <v>27</v>
      </c>
      <c r="M24" s="6">
        <f t="shared" si="43"/>
        <v>60</v>
      </c>
      <c r="N24" s="5">
        <f t="shared" si="24"/>
        <v>60.5</v>
      </c>
      <c r="O24" s="3">
        <f t="shared" si="44"/>
        <v>27</v>
      </c>
      <c r="P24" s="5">
        <f t="shared" si="45"/>
        <v>33.5</v>
      </c>
      <c r="Q24" s="5">
        <f t="shared" si="46"/>
        <v>25.416666666627862</v>
      </c>
      <c r="R24" s="7">
        <f t="shared" si="28"/>
        <v>366.66666666666669</v>
      </c>
      <c r="S24" s="6">
        <f t="shared" si="47"/>
        <v>174</v>
      </c>
      <c r="T24" s="7">
        <f t="shared" si="48"/>
        <v>192.66666666666669</v>
      </c>
      <c r="U24" s="7">
        <f t="shared" si="49"/>
        <v>1089</v>
      </c>
      <c r="V24" s="7">
        <f t="shared" si="49"/>
        <v>565</v>
      </c>
      <c r="W24" s="7">
        <f t="shared" si="50"/>
        <v>524</v>
      </c>
      <c r="X24" s="7">
        <f t="shared" si="51"/>
        <v>6600.0000000000009</v>
      </c>
      <c r="Y24" s="7">
        <f t="shared" si="51"/>
        <v>2852</v>
      </c>
      <c r="Z24" s="7">
        <f t="shared" si="52"/>
        <v>3748.0000000000009</v>
      </c>
      <c r="AA24" s="24">
        <f t="shared" si="53"/>
        <v>0.94537298162627215</v>
      </c>
      <c r="AB24" s="1"/>
    </row>
    <row r="25" spans="2:28" ht="18" x14ac:dyDescent="0.25">
      <c r="B25" s="3">
        <v>17</v>
      </c>
      <c r="C25" s="3">
        <v>56941</v>
      </c>
      <c r="D25" s="3">
        <v>471609</v>
      </c>
      <c r="E25" s="3">
        <v>72029</v>
      </c>
      <c r="F25" s="8">
        <f t="shared" si="39"/>
        <v>600579</v>
      </c>
      <c r="G25" s="22">
        <f t="shared" si="40"/>
        <v>600447.29166666663</v>
      </c>
      <c r="H25" s="7">
        <f t="shared" si="41"/>
        <v>600467.08333333326</v>
      </c>
      <c r="I25" s="3">
        <v>204460</v>
      </c>
      <c r="J25" s="6">
        <f t="shared" si="42"/>
        <v>62</v>
      </c>
      <c r="K25" s="6">
        <f t="shared" si="42"/>
        <v>95</v>
      </c>
      <c r="L25" s="6">
        <f t="shared" si="42"/>
        <v>61</v>
      </c>
      <c r="M25" s="7">
        <f t="shared" si="43"/>
        <v>89</v>
      </c>
      <c r="N25" s="5">
        <f t="shared" si="24"/>
        <v>60.5</v>
      </c>
      <c r="O25" s="3">
        <f t="shared" si="44"/>
        <v>61</v>
      </c>
      <c r="P25" s="5">
        <f t="shared" si="45"/>
        <v>-0.5</v>
      </c>
      <c r="Q25" s="5">
        <f t="shared" si="46"/>
        <v>19.791666666627862</v>
      </c>
      <c r="R25" s="7">
        <f t="shared" si="28"/>
        <v>366.66666666666669</v>
      </c>
      <c r="S25" s="6">
        <f t="shared" si="47"/>
        <v>218</v>
      </c>
      <c r="T25" s="7">
        <f t="shared" si="48"/>
        <v>148.66666666666669</v>
      </c>
      <c r="U25" s="7">
        <f t="shared" si="49"/>
        <v>1028.5</v>
      </c>
      <c r="V25" s="6">
        <f t="shared" si="49"/>
        <v>538</v>
      </c>
      <c r="W25" s="7">
        <f t="shared" si="50"/>
        <v>490.5</v>
      </c>
      <c r="X25" s="7">
        <f t="shared" si="51"/>
        <v>6233.3333333333339</v>
      </c>
      <c r="Y25" s="7">
        <f t="shared" si="51"/>
        <v>2678</v>
      </c>
      <c r="Z25" s="7">
        <f t="shared" si="52"/>
        <v>3555.3333333333339</v>
      </c>
      <c r="AA25" s="24">
        <f t="shared" si="53"/>
        <v>0.92581731676990231</v>
      </c>
      <c r="AB25" s="1"/>
    </row>
    <row r="26" spans="2:28" ht="18" x14ac:dyDescent="0.25">
      <c r="B26" s="3">
        <v>16</v>
      </c>
      <c r="C26" s="3">
        <f>C27+51</f>
        <v>56879</v>
      </c>
      <c r="D26" s="3">
        <f>D27+87</f>
        <v>471514</v>
      </c>
      <c r="E26" s="3">
        <f>E27+39</f>
        <v>71968</v>
      </c>
      <c r="F26" s="8">
        <f t="shared" si="39"/>
        <v>600361</v>
      </c>
      <c r="G26" s="22">
        <f t="shared" si="40"/>
        <v>600254.0625</v>
      </c>
      <c r="H26" s="7">
        <f t="shared" si="41"/>
        <v>600272.1875</v>
      </c>
      <c r="I26" s="3">
        <f>I27+66</f>
        <v>204371</v>
      </c>
      <c r="J26" s="6">
        <f t="shared" si="42"/>
        <v>51</v>
      </c>
      <c r="K26" s="6">
        <f t="shared" si="42"/>
        <v>87</v>
      </c>
      <c r="L26" s="6">
        <f t="shared" si="42"/>
        <v>39</v>
      </c>
      <c r="M26" s="7">
        <f t="shared" si="43"/>
        <v>66</v>
      </c>
      <c r="N26" s="5">
        <f t="shared" si="24"/>
        <v>60.5</v>
      </c>
      <c r="O26" s="3">
        <f t="shared" si="44"/>
        <v>39</v>
      </c>
      <c r="P26" s="5">
        <f t="shared" si="45"/>
        <v>21.5</v>
      </c>
      <c r="Q26" s="5">
        <f t="shared" si="46"/>
        <v>18.125</v>
      </c>
      <c r="R26" s="7">
        <f t="shared" si="28"/>
        <v>366.66666666666669</v>
      </c>
      <c r="S26" s="6">
        <f t="shared" si="47"/>
        <v>177</v>
      </c>
      <c r="T26" s="7">
        <f t="shared" si="48"/>
        <v>189.66666666666669</v>
      </c>
      <c r="U26" s="7">
        <f t="shared" si="49"/>
        <v>968</v>
      </c>
      <c r="V26" s="6">
        <f t="shared" si="49"/>
        <v>477</v>
      </c>
      <c r="W26" s="7">
        <f t="shared" si="50"/>
        <v>491</v>
      </c>
      <c r="X26" s="7">
        <f t="shared" si="51"/>
        <v>5866.666666666667</v>
      </c>
      <c r="Y26" s="7">
        <f t="shared" si="51"/>
        <v>2460</v>
      </c>
      <c r="Z26" s="7">
        <f t="shared" si="52"/>
        <v>3406.666666666667</v>
      </c>
      <c r="AA26" s="24">
        <f t="shared" si="53"/>
        <v>0.93698020478631905</v>
      </c>
      <c r="AB26" s="1"/>
    </row>
    <row r="27" spans="2:28" ht="18" x14ac:dyDescent="0.25">
      <c r="B27" s="3">
        <v>15</v>
      </c>
      <c r="C27" s="3">
        <f>C28+54</f>
        <v>56828</v>
      </c>
      <c r="D27" s="3">
        <f>D28+84</f>
        <v>471427</v>
      </c>
      <c r="E27" s="3">
        <f>E28+33</f>
        <v>71929</v>
      </c>
      <c r="F27" s="8">
        <f t="shared" si="39"/>
        <v>600184</v>
      </c>
      <c r="G27" s="22">
        <f t="shared" si="40"/>
        <v>600080.6875</v>
      </c>
      <c r="H27" s="7">
        <f t="shared" si="41"/>
        <v>600098.1875</v>
      </c>
      <c r="I27" s="3">
        <f>I28+62</f>
        <v>204305</v>
      </c>
      <c r="J27" s="6">
        <f t="shared" si="42"/>
        <v>54</v>
      </c>
      <c r="K27" s="6">
        <f t="shared" si="42"/>
        <v>84</v>
      </c>
      <c r="L27" s="6">
        <f t="shared" si="42"/>
        <v>33</v>
      </c>
      <c r="M27" s="7">
        <f t="shared" si="43"/>
        <v>62</v>
      </c>
      <c r="N27" s="5">
        <f t="shared" si="24"/>
        <v>60.5</v>
      </c>
      <c r="O27" s="3">
        <f t="shared" si="44"/>
        <v>33</v>
      </c>
      <c r="P27" s="5">
        <f t="shared" si="45"/>
        <v>27.5</v>
      </c>
      <c r="Q27" s="5">
        <f t="shared" si="46"/>
        <v>17.5</v>
      </c>
      <c r="R27" s="7">
        <f t="shared" si="28"/>
        <v>366.66666666666669</v>
      </c>
      <c r="S27" s="6">
        <f t="shared" si="47"/>
        <v>171</v>
      </c>
      <c r="T27" s="7">
        <f t="shared" si="48"/>
        <v>195.66666666666669</v>
      </c>
      <c r="U27" s="7">
        <f t="shared" si="49"/>
        <v>907.5</v>
      </c>
      <c r="V27" s="6">
        <f t="shared" si="49"/>
        <v>438</v>
      </c>
      <c r="W27" s="7">
        <f t="shared" si="50"/>
        <v>469.5</v>
      </c>
      <c r="X27" s="7">
        <f t="shared" si="51"/>
        <v>5500</v>
      </c>
      <c r="Y27" s="7">
        <f t="shared" si="51"/>
        <v>2283</v>
      </c>
      <c r="Z27" s="7">
        <f t="shared" si="52"/>
        <v>3217</v>
      </c>
      <c r="AA27" s="24">
        <f t="shared" si="53"/>
        <v>0.94011404489545969</v>
      </c>
      <c r="AB27" s="1"/>
    </row>
    <row r="28" spans="2:28" ht="18" x14ac:dyDescent="0.25">
      <c r="B28" s="3">
        <v>14</v>
      </c>
      <c r="C28" s="3">
        <f>C29+50</f>
        <v>56774</v>
      </c>
      <c r="D28" s="3">
        <f>D29+81</f>
        <v>471343</v>
      </c>
      <c r="E28" s="3">
        <f>E29+30</f>
        <v>71896</v>
      </c>
      <c r="F28" s="8">
        <f t="shared" si="39"/>
        <v>600013</v>
      </c>
      <c r="G28" s="22">
        <f t="shared" si="40"/>
        <v>599915.72916666663</v>
      </c>
      <c r="H28" s="7">
        <f t="shared" si="41"/>
        <v>599932.60416666663</v>
      </c>
      <c r="I28" s="3">
        <f>I29+59</f>
        <v>204243</v>
      </c>
      <c r="J28" s="6">
        <f t="shared" si="42"/>
        <v>50</v>
      </c>
      <c r="K28" s="6">
        <f t="shared" si="42"/>
        <v>81</v>
      </c>
      <c r="L28" s="6">
        <f t="shared" si="42"/>
        <v>30</v>
      </c>
      <c r="M28" s="7">
        <f t="shared" si="43"/>
        <v>59</v>
      </c>
      <c r="N28" s="5">
        <f t="shared" si="24"/>
        <v>60.5</v>
      </c>
      <c r="O28" s="3">
        <f t="shared" si="44"/>
        <v>30</v>
      </c>
      <c r="P28" s="5">
        <f t="shared" si="45"/>
        <v>30.5</v>
      </c>
      <c r="Q28" s="5">
        <f t="shared" si="46"/>
        <v>16.875</v>
      </c>
      <c r="R28" s="7">
        <f t="shared" si="28"/>
        <v>366.66666666666669</v>
      </c>
      <c r="S28" s="6">
        <f t="shared" si="47"/>
        <v>161</v>
      </c>
      <c r="T28" s="7">
        <f t="shared" si="48"/>
        <v>205.66666666666669</v>
      </c>
      <c r="U28" s="7">
        <f t="shared" si="49"/>
        <v>847</v>
      </c>
      <c r="V28" s="6">
        <f t="shared" si="49"/>
        <v>405</v>
      </c>
      <c r="W28" s="7">
        <f t="shared" si="50"/>
        <v>442</v>
      </c>
      <c r="X28" s="7">
        <f t="shared" si="51"/>
        <v>5133.333333333333</v>
      </c>
      <c r="Y28" s="7">
        <f t="shared" si="51"/>
        <v>2112</v>
      </c>
      <c r="Z28" s="7">
        <f t="shared" si="52"/>
        <v>3021.333333333333</v>
      </c>
      <c r="AA28" s="24">
        <f t="shared" si="53"/>
        <v>0.93893913190484091</v>
      </c>
      <c r="AB28" s="1"/>
    </row>
    <row r="29" spans="2:28" ht="18" x14ac:dyDescent="0.25">
      <c r="B29" s="3">
        <v>13</v>
      </c>
      <c r="C29" s="3">
        <v>56724</v>
      </c>
      <c r="D29" s="3">
        <v>471262</v>
      </c>
      <c r="E29" s="3">
        <v>71866</v>
      </c>
      <c r="F29" s="8">
        <f t="shared" si="39"/>
        <v>599852</v>
      </c>
      <c r="G29" s="22">
        <f t="shared" si="40"/>
        <v>599761.375</v>
      </c>
      <c r="H29" s="7">
        <f t="shared" si="41"/>
        <v>599777.41666666663</v>
      </c>
      <c r="I29" s="3">
        <v>204184</v>
      </c>
      <c r="J29" s="6">
        <f t="shared" si="42"/>
        <v>47</v>
      </c>
      <c r="K29" s="6">
        <f t="shared" si="42"/>
        <v>77</v>
      </c>
      <c r="L29" s="6">
        <f t="shared" si="42"/>
        <v>26</v>
      </c>
      <c r="M29" s="6">
        <f t="shared" si="43"/>
        <v>65</v>
      </c>
      <c r="N29" s="5">
        <f t="shared" si="24"/>
        <v>60.5</v>
      </c>
      <c r="O29" s="3">
        <f t="shared" si="44"/>
        <v>26</v>
      </c>
      <c r="P29" s="5">
        <f t="shared" si="45"/>
        <v>34.5</v>
      </c>
      <c r="Q29" s="5">
        <f t="shared" si="46"/>
        <v>16.041666666627862</v>
      </c>
      <c r="R29" s="7">
        <f t="shared" si="28"/>
        <v>366.66666666666669</v>
      </c>
      <c r="S29" s="6">
        <f t="shared" si="47"/>
        <v>150</v>
      </c>
      <c r="T29" s="7">
        <f t="shared" si="48"/>
        <v>216.66666666666669</v>
      </c>
      <c r="U29" s="7">
        <f t="shared" si="49"/>
        <v>786.5</v>
      </c>
      <c r="V29" s="6">
        <f t="shared" si="49"/>
        <v>375</v>
      </c>
      <c r="W29" s="7">
        <f t="shared" si="50"/>
        <v>411.5</v>
      </c>
      <c r="X29" s="7">
        <f t="shared" si="51"/>
        <v>4766.6666666666661</v>
      </c>
      <c r="Y29" s="7">
        <f t="shared" si="51"/>
        <v>1951</v>
      </c>
      <c r="Z29" s="7">
        <f t="shared" si="52"/>
        <v>2815.6666666666661</v>
      </c>
      <c r="AA29" s="24">
        <f t="shared" si="53"/>
        <v>0.91755562530992407</v>
      </c>
      <c r="AB29" s="1"/>
    </row>
    <row r="30" spans="2:28" ht="18" x14ac:dyDescent="0.25">
      <c r="B30" s="3">
        <v>12</v>
      </c>
      <c r="C30" s="3">
        <f t="shared" ref="C30" si="57">C31+42</f>
        <v>56677</v>
      </c>
      <c r="D30" s="3">
        <f>D31+79</f>
        <v>471185</v>
      </c>
      <c r="E30" s="3">
        <f t="shared" ref="E30" si="58">E31+27</f>
        <v>71840</v>
      </c>
      <c r="F30" s="8">
        <f t="shared" si="39"/>
        <v>599702</v>
      </c>
      <c r="G30" s="22">
        <f t="shared" si="40"/>
        <v>599612.58333333337</v>
      </c>
      <c r="H30" s="7">
        <f t="shared" si="41"/>
        <v>599629.04166666674</v>
      </c>
      <c r="I30" s="3">
        <f t="shared" ref="I30" si="59">I31+56</f>
        <v>204119</v>
      </c>
      <c r="J30" s="6">
        <f t="shared" si="42"/>
        <v>42</v>
      </c>
      <c r="K30" s="6">
        <f t="shared" si="42"/>
        <v>79</v>
      </c>
      <c r="L30" s="6">
        <f t="shared" si="42"/>
        <v>27</v>
      </c>
      <c r="M30" s="6">
        <f t="shared" si="43"/>
        <v>56</v>
      </c>
      <c r="N30" s="5">
        <f t="shared" si="24"/>
        <v>60.5</v>
      </c>
      <c r="O30" s="3">
        <f t="shared" si="44"/>
        <v>27</v>
      </c>
      <c r="P30" s="5">
        <f t="shared" si="45"/>
        <v>33.5</v>
      </c>
      <c r="Q30" s="5">
        <f t="shared" si="46"/>
        <v>16.458333333372138</v>
      </c>
      <c r="R30" s="7">
        <f t="shared" si="28"/>
        <v>366.66666666666669</v>
      </c>
      <c r="S30" s="6">
        <f t="shared" si="47"/>
        <v>148</v>
      </c>
      <c r="T30" s="7">
        <f t="shared" si="48"/>
        <v>218.66666666666669</v>
      </c>
      <c r="U30" s="7">
        <f t="shared" si="49"/>
        <v>726</v>
      </c>
      <c r="V30" s="6">
        <f t="shared" si="49"/>
        <v>349</v>
      </c>
      <c r="W30" s="7">
        <f t="shared" si="50"/>
        <v>377</v>
      </c>
      <c r="X30" s="7">
        <f t="shared" si="51"/>
        <v>4399.9999999999991</v>
      </c>
      <c r="Y30" s="7">
        <f t="shared" si="51"/>
        <v>1801</v>
      </c>
      <c r="Z30" s="7">
        <f t="shared" si="52"/>
        <v>2598.9999999999991</v>
      </c>
      <c r="AA30" s="24">
        <f t="shared" si="53"/>
        <v>0.93528625745628358</v>
      </c>
      <c r="AB30" s="1"/>
    </row>
    <row r="31" spans="2:28" ht="18" x14ac:dyDescent="0.25">
      <c r="B31" s="3">
        <v>11</v>
      </c>
      <c r="C31" s="3">
        <f>C32+49</f>
        <v>56635</v>
      </c>
      <c r="D31" s="3">
        <f>D32+80</f>
        <v>471106</v>
      </c>
      <c r="E31" s="3">
        <f>E32+31</f>
        <v>71813</v>
      </c>
      <c r="F31" s="8">
        <f t="shared" si="39"/>
        <v>599554</v>
      </c>
      <c r="G31" s="22">
        <f t="shared" si="40"/>
        <v>599457.33333333337</v>
      </c>
      <c r="H31" s="7">
        <f t="shared" si="41"/>
        <v>599474</v>
      </c>
      <c r="I31" s="3">
        <f>I32+58</f>
        <v>204063</v>
      </c>
      <c r="J31" s="6">
        <f t="shared" si="42"/>
        <v>49</v>
      </c>
      <c r="K31" s="6">
        <f t="shared" si="42"/>
        <v>80</v>
      </c>
      <c r="L31" s="6">
        <f t="shared" si="42"/>
        <v>31</v>
      </c>
      <c r="M31" s="6">
        <f t="shared" si="43"/>
        <v>58</v>
      </c>
      <c r="N31" s="5">
        <f t="shared" si="24"/>
        <v>60.5</v>
      </c>
      <c r="O31" s="3">
        <f t="shared" si="44"/>
        <v>31</v>
      </c>
      <c r="P31" s="5">
        <f t="shared" si="45"/>
        <v>29.5</v>
      </c>
      <c r="Q31" s="5">
        <f t="shared" si="46"/>
        <v>16.666666666627862</v>
      </c>
      <c r="R31" s="7">
        <f t="shared" si="28"/>
        <v>366.66666666666669</v>
      </c>
      <c r="S31" s="6">
        <f t="shared" si="47"/>
        <v>160</v>
      </c>
      <c r="T31" s="7">
        <f t="shared" si="48"/>
        <v>206.66666666666669</v>
      </c>
      <c r="U31" s="7">
        <f t="shared" si="49"/>
        <v>665.5</v>
      </c>
      <c r="V31" s="6">
        <f t="shared" si="49"/>
        <v>322</v>
      </c>
      <c r="W31" s="7">
        <f t="shared" si="50"/>
        <v>343.5</v>
      </c>
      <c r="X31" s="7">
        <f t="shared" si="51"/>
        <v>4033.3333333333326</v>
      </c>
      <c r="Y31" s="7">
        <f t="shared" si="51"/>
        <v>1653</v>
      </c>
      <c r="Z31" s="7">
        <f t="shared" si="52"/>
        <v>2380.3333333333326</v>
      </c>
      <c r="AA31" s="24">
        <f t="shared" si="53"/>
        <v>0.94013606516248294</v>
      </c>
      <c r="AB31" s="1"/>
    </row>
    <row r="32" spans="2:28" ht="18" x14ac:dyDescent="0.25">
      <c r="B32" s="3">
        <v>10</v>
      </c>
      <c r="C32" s="3">
        <f>C33+33</f>
        <v>56586</v>
      </c>
      <c r="D32" s="3">
        <f>D33+73</f>
        <v>471026</v>
      </c>
      <c r="E32" s="3">
        <f>E33+21</f>
        <v>71782</v>
      </c>
      <c r="F32" s="8">
        <f t="shared" si="39"/>
        <v>599394</v>
      </c>
      <c r="G32" s="22">
        <f t="shared" si="40"/>
        <v>599317.27083333337</v>
      </c>
      <c r="H32" s="7">
        <f t="shared" si="41"/>
        <v>599332.47916666674</v>
      </c>
      <c r="I32" s="3">
        <f>I33+52</f>
        <v>204005</v>
      </c>
      <c r="J32" s="6">
        <f t="shared" si="42"/>
        <v>33</v>
      </c>
      <c r="K32" s="6">
        <f t="shared" si="42"/>
        <v>73</v>
      </c>
      <c r="L32" s="6">
        <f t="shared" si="42"/>
        <v>21</v>
      </c>
      <c r="M32" s="6">
        <f t="shared" si="43"/>
        <v>52</v>
      </c>
      <c r="N32" s="5">
        <f t="shared" si="24"/>
        <v>60.5</v>
      </c>
      <c r="O32" s="3">
        <f t="shared" si="44"/>
        <v>21</v>
      </c>
      <c r="P32" s="5">
        <f t="shared" si="45"/>
        <v>39.5</v>
      </c>
      <c r="Q32" s="5">
        <f t="shared" si="46"/>
        <v>15.208333333372138</v>
      </c>
      <c r="R32" s="7">
        <f t="shared" si="28"/>
        <v>366.66666666666669</v>
      </c>
      <c r="S32" s="6">
        <f t="shared" si="47"/>
        <v>127</v>
      </c>
      <c r="T32" s="7">
        <f t="shared" si="48"/>
        <v>239.66666666666669</v>
      </c>
      <c r="U32" s="7">
        <f t="shared" si="49"/>
        <v>605</v>
      </c>
      <c r="V32" s="6">
        <f t="shared" si="49"/>
        <v>291</v>
      </c>
      <c r="W32" s="7">
        <f t="shared" si="50"/>
        <v>314</v>
      </c>
      <c r="X32" s="7">
        <f t="shared" si="51"/>
        <v>3666.6666666666661</v>
      </c>
      <c r="Y32" s="7">
        <f t="shared" si="51"/>
        <v>1493</v>
      </c>
      <c r="Z32" s="7">
        <f t="shared" si="52"/>
        <v>2173.6666666666661</v>
      </c>
      <c r="AA32" s="24">
        <f t="shared" si="53"/>
        <v>0.92543083888625988</v>
      </c>
      <c r="AB32" s="1"/>
    </row>
    <row r="33" spans="2:28" ht="18" x14ac:dyDescent="0.25">
      <c r="B33" s="3">
        <v>9</v>
      </c>
      <c r="C33" s="3">
        <f>C34+36</f>
        <v>56553</v>
      </c>
      <c r="D33" s="3">
        <f>D34+77</f>
        <v>470953</v>
      </c>
      <c r="E33" s="3">
        <f>E34+25</f>
        <v>71761</v>
      </c>
      <c r="F33" s="8">
        <f t="shared" si="39"/>
        <v>599267</v>
      </c>
      <c r="G33" s="22">
        <f t="shared" si="40"/>
        <v>599183.625</v>
      </c>
      <c r="H33" s="7">
        <f t="shared" si="41"/>
        <v>599199.66666666663</v>
      </c>
      <c r="I33" s="3">
        <f>I34+57</f>
        <v>203953</v>
      </c>
      <c r="J33" s="6">
        <f t="shared" si="42"/>
        <v>36</v>
      </c>
      <c r="K33" s="6">
        <f t="shared" si="42"/>
        <v>77</v>
      </c>
      <c r="L33" s="6">
        <f t="shared" si="42"/>
        <v>25</v>
      </c>
      <c r="M33" s="6">
        <f t="shared" si="43"/>
        <v>57</v>
      </c>
      <c r="N33" s="5">
        <f t="shared" si="24"/>
        <v>60.5</v>
      </c>
      <c r="O33" s="3">
        <f t="shared" si="44"/>
        <v>25</v>
      </c>
      <c r="P33" s="5">
        <f t="shared" si="45"/>
        <v>35.5</v>
      </c>
      <c r="Q33" s="5">
        <f t="shared" si="46"/>
        <v>16.041666666627862</v>
      </c>
      <c r="R33" s="7">
        <f t="shared" si="28"/>
        <v>366.66666666666669</v>
      </c>
      <c r="S33" s="6">
        <f t="shared" si="47"/>
        <v>138</v>
      </c>
      <c r="T33" s="7">
        <f t="shared" si="48"/>
        <v>228.66666666666669</v>
      </c>
      <c r="U33" s="7">
        <f t="shared" si="49"/>
        <v>544.5</v>
      </c>
      <c r="V33" s="6">
        <f t="shared" si="49"/>
        <v>270</v>
      </c>
      <c r="W33" s="7">
        <f t="shared" si="50"/>
        <v>274.5</v>
      </c>
      <c r="X33" s="7">
        <f t="shared" si="51"/>
        <v>3299.9999999999995</v>
      </c>
      <c r="Y33" s="7">
        <f t="shared" si="51"/>
        <v>1366</v>
      </c>
      <c r="Z33" s="7">
        <f t="shared" si="52"/>
        <v>1933.9999999999995</v>
      </c>
      <c r="AA33" s="24">
        <f t="shared" si="53"/>
        <v>0.92426142649002496</v>
      </c>
      <c r="AB33" s="1"/>
    </row>
    <row r="34" spans="2:28" ht="18" x14ac:dyDescent="0.25">
      <c r="B34" s="3">
        <v>8</v>
      </c>
      <c r="C34" s="3">
        <f>C35+40</f>
        <v>56517</v>
      </c>
      <c r="D34" s="3">
        <f>D35+98</f>
        <v>470876</v>
      </c>
      <c r="E34" s="3">
        <f>E35+22</f>
        <v>71736</v>
      </c>
      <c r="F34" s="8">
        <f t="shared" si="39"/>
        <v>599129</v>
      </c>
      <c r="G34" s="22">
        <f t="shared" si="40"/>
        <v>599032.33333333337</v>
      </c>
      <c r="H34" s="7">
        <f t="shared" si="41"/>
        <v>599052.75</v>
      </c>
      <c r="I34" s="3">
        <f>I35+53</f>
        <v>203896</v>
      </c>
      <c r="J34" s="6">
        <f t="shared" si="42"/>
        <v>40</v>
      </c>
      <c r="K34" s="6">
        <f t="shared" si="42"/>
        <v>98</v>
      </c>
      <c r="L34" s="6">
        <f t="shared" si="42"/>
        <v>22</v>
      </c>
      <c r="M34" s="6">
        <f t="shared" si="43"/>
        <v>53</v>
      </c>
      <c r="N34" s="5">
        <f t="shared" si="24"/>
        <v>60.5</v>
      </c>
      <c r="O34" s="3">
        <f t="shared" si="44"/>
        <v>22</v>
      </c>
      <c r="P34" s="5">
        <f t="shared" si="45"/>
        <v>38.5</v>
      </c>
      <c r="Q34" s="5">
        <f t="shared" si="46"/>
        <v>20.416666666627862</v>
      </c>
      <c r="R34" s="7">
        <f t="shared" si="28"/>
        <v>366.66666666666669</v>
      </c>
      <c r="S34" s="6">
        <f t="shared" si="47"/>
        <v>160</v>
      </c>
      <c r="T34" s="7">
        <f t="shared" si="48"/>
        <v>206.66666666666669</v>
      </c>
      <c r="U34" s="7">
        <f t="shared" si="49"/>
        <v>484</v>
      </c>
      <c r="V34" s="6">
        <f t="shared" si="49"/>
        <v>245</v>
      </c>
      <c r="W34" s="7">
        <f t="shared" si="50"/>
        <v>239</v>
      </c>
      <c r="X34" s="7">
        <f t="shared" si="51"/>
        <v>2933.333333333333</v>
      </c>
      <c r="Y34" s="7">
        <f t="shared" si="51"/>
        <v>1228</v>
      </c>
      <c r="Z34" s="7">
        <f t="shared" si="52"/>
        <v>1705.333333333333</v>
      </c>
      <c r="AA34" s="24">
        <f t="shared" si="53"/>
        <v>0.9492749251893402</v>
      </c>
      <c r="AB34" s="1"/>
    </row>
    <row r="35" spans="2:28" ht="18" x14ac:dyDescent="0.25">
      <c r="B35" s="3">
        <v>7</v>
      </c>
      <c r="C35" s="3">
        <f>C36+42</f>
        <v>56477</v>
      </c>
      <c r="D35" s="3">
        <f>D36+95</f>
        <v>470778</v>
      </c>
      <c r="E35" s="3">
        <f>E36+27</f>
        <v>71714</v>
      </c>
      <c r="F35" s="8">
        <f t="shared" si="39"/>
        <v>598969</v>
      </c>
      <c r="G35" s="22">
        <f t="shared" si="40"/>
        <v>598869.91666666663</v>
      </c>
      <c r="H35" s="7">
        <f t="shared" si="41"/>
        <v>598889.70833333326</v>
      </c>
      <c r="I35" s="3">
        <f>I36+56</f>
        <v>203843</v>
      </c>
      <c r="J35" s="6">
        <f t="shared" si="42"/>
        <v>42</v>
      </c>
      <c r="K35" s="6">
        <f t="shared" si="42"/>
        <v>95</v>
      </c>
      <c r="L35" s="6">
        <f t="shared" si="42"/>
        <v>27</v>
      </c>
      <c r="M35" s="6">
        <f t="shared" si="43"/>
        <v>56</v>
      </c>
      <c r="N35" s="5">
        <f t="shared" si="24"/>
        <v>60.5</v>
      </c>
      <c r="O35" s="3">
        <f t="shared" si="44"/>
        <v>27</v>
      </c>
      <c r="P35" s="5">
        <f t="shared" si="45"/>
        <v>33.5</v>
      </c>
      <c r="Q35" s="5">
        <f t="shared" si="46"/>
        <v>19.791666666627862</v>
      </c>
      <c r="R35" s="7">
        <f t="shared" si="28"/>
        <v>366.66666666666669</v>
      </c>
      <c r="S35" s="6">
        <f t="shared" si="47"/>
        <v>164</v>
      </c>
      <c r="T35" s="7">
        <f t="shared" si="48"/>
        <v>202.66666666666669</v>
      </c>
      <c r="U35" s="7">
        <f t="shared" si="49"/>
        <v>423.5</v>
      </c>
      <c r="V35" s="6">
        <f t="shared" si="49"/>
        <v>223</v>
      </c>
      <c r="W35" s="7">
        <f t="shared" si="50"/>
        <v>200.5</v>
      </c>
      <c r="X35" s="7">
        <f t="shared" si="51"/>
        <v>2566.6666666666665</v>
      </c>
      <c r="Y35" s="7">
        <f t="shared" si="51"/>
        <v>1068</v>
      </c>
      <c r="Z35" s="7">
        <f t="shared" si="52"/>
        <v>1498.6666666666665</v>
      </c>
      <c r="AA35" s="24">
        <f t="shared" si="53"/>
        <v>0.94634985606799493</v>
      </c>
      <c r="AB35" s="1"/>
    </row>
    <row r="36" spans="2:28" ht="18" x14ac:dyDescent="0.25">
      <c r="B36" s="3">
        <v>6</v>
      </c>
      <c r="C36" s="3">
        <v>56435</v>
      </c>
      <c r="D36" s="3">
        <v>470683</v>
      </c>
      <c r="E36" s="3">
        <v>71687</v>
      </c>
      <c r="F36" s="8">
        <f t="shared" si="39"/>
        <v>598805</v>
      </c>
      <c r="G36" s="22">
        <f t="shared" si="40"/>
        <v>598721.625</v>
      </c>
      <c r="H36" s="7">
        <f t="shared" si="41"/>
        <v>598738.08333333337</v>
      </c>
      <c r="I36" s="3">
        <v>203787</v>
      </c>
      <c r="J36" s="6">
        <f t="shared" si="42"/>
        <v>31</v>
      </c>
      <c r="K36" s="6">
        <f t="shared" si="42"/>
        <v>79</v>
      </c>
      <c r="L36" s="6">
        <f t="shared" si="42"/>
        <v>28</v>
      </c>
      <c r="M36" s="6">
        <f t="shared" si="43"/>
        <v>59</v>
      </c>
      <c r="N36" s="5">
        <f t="shared" si="24"/>
        <v>60.5</v>
      </c>
      <c r="O36" s="3">
        <f t="shared" si="44"/>
        <v>28</v>
      </c>
      <c r="P36" s="5">
        <f t="shared" si="45"/>
        <v>32.5</v>
      </c>
      <c r="Q36" s="5">
        <f t="shared" si="46"/>
        <v>16.458333333372138</v>
      </c>
      <c r="R36" s="7">
        <f t="shared" si="28"/>
        <v>366.66666666666669</v>
      </c>
      <c r="S36" s="6">
        <f t="shared" si="47"/>
        <v>138</v>
      </c>
      <c r="T36" s="7">
        <f t="shared" si="48"/>
        <v>228.66666666666669</v>
      </c>
      <c r="U36" s="7">
        <f t="shared" si="49"/>
        <v>363</v>
      </c>
      <c r="V36" s="6">
        <f t="shared" si="49"/>
        <v>196</v>
      </c>
      <c r="W36" s="7">
        <f t="shared" si="50"/>
        <v>167</v>
      </c>
      <c r="X36" s="7">
        <f t="shared" si="51"/>
        <v>2200</v>
      </c>
      <c r="Y36" s="7">
        <f t="shared" si="51"/>
        <v>904</v>
      </c>
      <c r="Z36" s="7">
        <f t="shared" si="52"/>
        <v>1296</v>
      </c>
      <c r="AA36" s="24">
        <f t="shared" si="53"/>
        <v>0.91948931442082205</v>
      </c>
      <c r="AB36" s="1"/>
    </row>
    <row r="37" spans="2:28" ht="18" x14ac:dyDescent="0.25">
      <c r="B37" s="3">
        <v>5</v>
      </c>
      <c r="C37" s="3">
        <f>C38+42</f>
        <v>56404</v>
      </c>
      <c r="D37" s="3">
        <f>D38+84</f>
        <v>470604</v>
      </c>
      <c r="E37" s="3">
        <f>E38+39</f>
        <v>71659</v>
      </c>
      <c r="F37" s="8">
        <f t="shared" si="39"/>
        <v>598667</v>
      </c>
      <c r="G37" s="22">
        <f t="shared" si="40"/>
        <v>598567.3125</v>
      </c>
      <c r="H37" s="7">
        <f t="shared" si="41"/>
        <v>598584.8125</v>
      </c>
      <c r="I37" s="3">
        <f>I38+60</f>
        <v>203728</v>
      </c>
      <c r="J37" s="6">
        <f t="shared" si="42"/>
        <v>42</v>
      </c>
      <c r="K37" s="6">
        <f t="shared" si="42"/>
        <v>84</v>
      </c>
      <c r="L37" s="6">
        <f t="shared" si="42"/>
        <v>39</v>
      </c>
      <c r="M37" s="6">
        <f t="shared" si="43"/>
        <v>60</v>
      </c>
      <c r="N37" s="5">
        <f t="shared" si="24"/>
        <v>60.5</v>
      </c>
      <c r="O37" s="3">
        <f t="shared" si="44"/>
        <v>39</v>
      </c>
      <c r="P37" s="5">
        <f t="shared" si="45"/>
        <v>21.5</v>
      </c>
      <c r="Q37" s="5">
        <f t="shared" si="46"/>
        <v>17.5</v>
      </c>
      <c r="R37" s="7">
        <f t="shared" si="28"/>
        <v>366.66666666666669</v>
      </c>
      <c r="S37" s="6">
        <f t="shared" si="47"/>
        <v>165</v>
      </c>
      <c r="T37" s="7">
        <f t="shared" si="48"/>
        <v>201.66666666666669</v>
      </c>
      <c r="U37" s="7">
        <f t="shared" si="49"/>
        <v>302.5</v>
      </c>
      <c r="V37" s="6">
        <f t="shared" si="49"/>
        <v>168</v>
      </c>
      <c r="W37" s="7">
        <f t="shared" si="50"/>
        <v>134.5</v>
      </c>
      <c r="X37" s="7">
        <f t="shared" si="51"/>
        <v>1833.3333333333335</v>
      </c>
      <c r="Y37" s="7">
        <f t="shared" si="51"/>
        <v>766</v>
      </c>
      <c r="Z37" s="7">
        <f t="shared" si="52"/>
        <v>1067.3333333333335</v>
      </c>
      <c r="AA37" s="24">
        <f t="shared" si="53"/>
        <v>0.93979342348843709</v>
      </c>
      <c r="AB37" s="1"/>
    </row>
    <row r="38" spans="2:28" ht="18" x14ac:dyDescent="0.25">
      <c r="B38" s="3">
        <v>4</v>
      </c>
      <c r="C38" s="3">
        <v>56362</v>
      </c>
      <c r="D38" s="3">
        <v>470520</v>
      </c>
      <c r="E38" s="3">
        <v>71620</v>
      </c>
      <c r="F38" s="8">
        <f t="shared" si="39"/>
        <v>598502</v>
      </c>
      <c r="G38" s="22">
        <f t="shared" si="40"/>
        <v>598409.5625</v>
      </c>
      <c r="H38" s="7">
        <f t="shared" si="41"/>
        <v>598426.64583333337</v>
      </c>
      <c r="I38" s="3">
        <v>203668</v>
      </c>
      <c r="J38" s="6">
        <f t="shared" si="42"/>
        <v>36</v>
      </c>
      <c r="K38" s="6">
        <f t="shared" si="42"/>
        <v>82</v>
      </c>
      <c r="L38" s="6">
        <f t="shared" si="42"/>
        <v>35</v>
      </c>
      <c r="M38" s="6">
        <f t="shared" si="43"/>
        <v>55</v>
      </c>
      <c r="N38" s="5">
        <f t="shared" si="24"/>
        <v>60.5</v>
      </c>
      <c r="O38" s="3">
        <f t="shared" si="44"/>
        <v>35</v>
      </c>
      <c r="P38" s="5">
        <f t="shared" si="45"/>
        <v>25.5</v>
      </c>
      <c r="Q38" s="5">
        <f t="shared" si="46"/>
        <v>17.083333333372138</v>
      </c>
      <c r="R38" s="7">
        <f t="shared" si="28"/>
        <v>366.66666666666669</v>
      </c>
      <c r="S38" s="6">
        <f t="shared" si="47"/>
        <v>153</v>
      </c>
      <c r="T38" s="7">
        <f t="shared" si="48"/>
        <v>213.66666666666669</v>
      </c>
      <c r="U38" s="7">
        <f t="shared" si="49"/>
        <v>242</v>
      </c>
      <c r="V38" s="6">
        <f t="shared" si="49"/>
        <v>129</v>
      </c>
      <c r="W38" s="7">
        <f t="shared" si="50"/>
        <v>113</v>
      </c>
      <c r="X38" s="7">
        <f t="shared" si="51"/>
        <v>1466.6666666666667</v>
      </c>
      <c r="Y38" s="7">
        <f t="shared" si="51"/>
        <v>601</v>
      </c>
      <c r="Z38" s="7">
        <f t="shared" si="52"/>
        <v>865.66666666666674</v>
      </c>
      <c r="AA38" s="24">
        <f t="shared" si="53"/>
        <v>0.94104412558816941</v>
      </c>
      <c r="AB38" s="1"/>
    </row>
    <row r="39" spans="2:28" ht="18" x14ac:dyDescent="0.25">
      <c r="B39" s="3">
        <v>3</v>
      </c>
      <c r="C39" s="5">
        <f>C40+47</f>
        <v>56326</v>
      </c>
      <c r="D39" s="5">
        <f>D40+71</f>
        <v>470438</v>
      </c>
      <c r="E39" s="5">
        <f>E40+29</f>
        <v>71585</v>
      </c>
      <c r="F39" s="8">
        <f t="shared" si="39"/>
        <v>598349</v>
      </c>
      <c r="G39" s="22">
        <f t="shared" si="40"/>
        <v>598260.1875</v>
      </c>
      <c r="H39" s="7">
        <f t="shared" si="41"/>
        <v>598274.97916666663</v>
      </c>
      <c r="I39" s="5">
        <f>I40+52</f>
        <v>203613</v>
      </c>
      <c r="J39" s="6">
        <f t="shared" si="42"/>
        <v>47</v>
      </c>
      <c r="K39" s="6">
        <f t="shared" si="42"/>
        <v>71</v>
      </c>
      <c r="L39" s="6">
        <f t="shared" si="42"/>
        <v>29</v>
      </c>
      <c r="M39" s="6">
        <f t="shared" si="43"/>
        <v>52</v>
      </c>
      <c r="N39" s="5">
        <f t="shared" si="24"/>
        <v>60.5</v>
      </c>
      <c r="O39" s="3">
        <f t="shared" si="44"/>
        <v>29</v>
      </c>
      <c r="P39" s="5">
        <f t="shared" si="45"/>
        <v>31.5</v>
      </c>
      <c r="Q39" s="5">
        <f t="shared" si="46"/>
        <v>14.791666666627862</v>
      </c>
      <c r="R39" s="7">
        <f t="shared" si="28"/>
        <v>366.66666666666669</v>
      </c>
      <c r="S39" s="6">
        <f t="shared" si="47"/>
        <v>147</v>
      </c>
      <c r="T39" s="7">
        <f t="shared" si="48"/>
        <v>219.66666666666669</v>
      </c>
      <c r="U39" s="7">
        <f t="shared" si="49"/>
        <v>181.5</v>
      </c>
      <c r="V39" s="6">
        <f t="shared" si="49"/>
        <v>94</v>
      </c>
      <c r="W39" s="7">
        <f t="shared" si="50"/>
        <v>87.5</v>
      </c>
      <c r="X39" s="7">
        <f t="shared" si="51"/>
        <v>1100</v>
      </c>
      <c r="Y39" s="7">
        <f t="shared" si="51"/>
        <v>448</v>
      </c>
      <c r="Z39" s="7">
        <f t="shared" si="52"/>
        <v>652</v>
      </c>
      <c r="AA39" s="24">
        <f t="shared" si="53"/>
        <v>0.94275329658699181</v>
      </c>
      <c r="AB39" s="1"/>
    </row>
    <row r="40" spans="2:28" ht="18" x14ac:dyDescent="0.25">
      <c r="B40" s="3">
        <v>2</v>
      </c>
      <c r="C40" s="5">
        <f>C41+40</f>
        <v>56279</v>
      </c>
      <c r="D40" s="5">
        <f>D41+74</f>
        <v>470367</v>
      </c>
      <c r="E40" s="5">
        <f>E41+34</f>
        <v>71556</v>
      </c>
      <c r="F40" s="8">
        <f t="shared" si="39"/>
        <v>598202</v>
      </c>
      <c r="G40" s="22">
        <f t="shared" si="40"/>
        <v>598112.58333333337</v>
      </c>
      <c r="H40" s="7">
        <f t="shared" si="41"/>
        <v>598128</v>
      </c>
      <c r="I40" s="5">
        <f>I41+50</f>
        <v>203561</v>
      </c>
      <c r="J40" s="6">
        <f t="shared" si="42"/>
        <v>40</v>
      </c>
      <c r="K40" s="6">
        <f t="shared" si="42"/>
        <v>74</v>
      </c>
      <c r="L40" s="6">
        <f t="shared" si="42"/>
        <v>34</v>
      </c>
      <c r="M40" s="6">
        <f t="shared" si="43"/>
        <v>50</v>
      </c>
      <c r="N40" s="5">
        <f t="shared" si="24"/>
        <v>60.5</v>
      </c>
      <c r="O40" s="3">
        <f t="shared" si="44"/>
        <v>34</v>
      </c>
      <c r="P40" s="5">
        <f t="shared" si="45"/>
        <v>26.5</v>
      </c>
      <c r="Q40" s="5">
        <f t="shared" si="46"/>
        <v>15.416666666627862</v>
      </c>
      <c r="R40" s="7">
        <f>R41</f>
        <v>366.66666666666669</v>
      </c>
      <c r="S40" s="6">
        <f t="shared" si="47"/>
        <v>148</v>
      </c>
      <c r="T40" s="7">
        <f t="shared" si="48"/>
        <v>218.66666666666669</v>
      </c>
      <c r="U40" s="7">
        <f t="shared" si="49"/>
        <v>121</v>
      </c>
      <c r="V40" s="6">
        <f t="shared" si="49"/>
        <v>65</v>
      </c>
      <c r="W40" s="7">
        <f t="shared" si="50"/>
        <v>56</v>
      </c>
      <c r="X40" s="7">
        <f t="shared" si="51"/>
        <v>733.33333333333337</v>
      </c>
      <c r="Y40" s="7">
        <f t="shared" si="51"/>
        <v>301</v>
      </c>
      <c r="Z40" s="7">
        <f t="shared" si="52"/>
        <v>432.33333333333337</v>
      </c>
      <c r="AA40" s="24">
        <f t="shared" si="53"/>
        <v>0.94739525933663971</v>
      </c>
      <c r="AB40" s="1"/>
    </row>
    <row r="41" spans="2:28" ht="18.75" thickBot="1" x14ac:dyDescent="0.3">
      <c r="B41" s="3">
        <v>1</v>
      </c>
      <c r="C41" s="5">
        <f>C42+45</f>
        <v>56239</v>
      </c>
      <c r="D41" s="5">
        <f>D42+77</f>
        <v>470293</v>
      </c>
      <c r="E41" s="5">
        <f>E42+31</f>
        <v>71522</v>
      </c>
      <c r="F41" s="8">
        <f t="shared" si="39"/>
        <v>598054</v>
      </c>
      <c r="G41" s="22">
        <f>(C42+D42+E42)+((S41/24)*9.5)</f>
        <v>597961.5625</v>
      </c>
      <c r="H41" s="7">
        <f>G41+((K41/12)*2.5)</f>
        <v>597977.60416666663</v>
      </c>
      <c r="I41" s="5">
        <f>I42+53</f>
        <v>203511</v>
      </c>
      <c r="J41" s="6">
        <f t="shared" si="42"/>
        <v>45</v>
      </c>
      <c r="K41" s="6">
        <f t="shared" si="42"/>
        <v>77</v>
      </c>
      <c r="L41" s="6">
        <f t="shared" si="42"/>
        <v>31</v>
      </c>
      <c r="M41" s="6">
        <f t="shared" si="43"/>
        <v>53</v>
      </c>
      <c r="N41" s="43">
        <f>O6/30</f>
        <v>60.5</v>
      </c>
      <c r="O41" s="3">
        <f t="shared" si="44"/>
        <v>31</v>
      </c>
      <c r="P41" s="5">
        <f t="shared" si="45"/>
        <v>29.5</v>
      </c>
      <c r="Q41" s="5">
        <f t="shared" si="46"/>
        <v>16.041666666627862</v>
      </c>
      <c r="R41" s="45">
        <f>S6/30</f>
        <v>366.66666666666669</v>
      </c>
      <c r="S41" s="6">
        <f t="shared" si="47"/>
        <v>153</v>
      </c>
      <c r="T41" s="7">
        <f t="shared" si="48"/>
        <v>213.66666666666669</v>
      </c>
      <c r="U41" s="7">
        <f>N41</f>
        <v>60.5</v>
      </c>
      <c r="V41" s="6">
        <f>O41</f>
        <v>31</v>
      </c>
      <c r="W41" s="7">
        <f t="shared" si="50"/>
        <v>29.5</v>
      </c>
      <c r="X41" s="7">
        <f>R41</f>
        <v>366.66666666666669</v>
      </c>
      <c r="Y41" s="7">
        <f>S41</f>
        <v>153</v>
      </c>
      <c r="Z41" s="7">
        <f t="shared" si="52"/>
        <v>213.66666666666669</v>
      </c>
      <c r="AA41" s="24">
        <f t="shared" si="53"/>
        <v>0.94491262414403343</v>
      </c>
      <c r="AB41" s="1"/>
    </row>
    <row r="42" spans="2:28" ht="54.75" thickBot="1" x14ac:dyDescent="0.3">
      <c r="B42" s="33" t="s">
        <v>13</v>
      </c>
      <c r="C42" s="3">
        <v>56194</v>
      </c>
      <c r="D42" s="3">
        <v>470216</v>
      </c>
      <c r="E42" s="3">
        <v>71491</v>
      </c>
      <c r="F42" s="8">
        <v>597901</v>
      </c>
      <c r="G42" s="9">
        <v>597829.70833333337</v>
      </c>
      <c r="H42" s="9">
        <v>597840.95833333337</v>
      </c>
      <c r="I42" s="3">
        <v>203458</v>
      </c>
      <c r="J42" s="10"/>
      <c r="K42" s="10"/>
      <c r="L42" s="10"/>
      <c r="M42" s="46">
        <f>SUM(M12:M41)</f>
        <v>1922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76">
        <f>AVERAGE(AA11:AA41)</f>
        <v>0.93323534130727426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4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50" spans="26:27" ht="18" x14ac:dyDescent="0.25">
      <c r="Z50" s="10" t="s">
        <v>38</v>
      </c>
    </row>
    <row r="51" spans="26:27" ht="18" x14ac:dyDescent="0.25">
      <c r="Z51" s="10" t="s">
        <v>44</v>
      </c>
      <c r="AA51" s="10"/>
    </row>
    <row r="52" spans="26:27" ht="18" x14ac:dyDescent="0.25">
      <c r="Z52" s="10" t="s">
        <v>45</v>
      </c>
      <c r="AA52" s="10"/>
    </row>
    <row r="53" spans="26:27" ht="18" x14ac:dyDescent="0.25">
      <c r="Z53" s="10" t="s">
        <v>12</v>
      </c>
      <c r="AA53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B2:AB55"/>
  <sheetViews>
    <sheetView topLeftCell="K1" zoomScale="85" zoomScaleNormal="85" zoomScaleSheetLayoutView="95" workbookViewId="0">
      <pane ySplit="1" topLeftCell="A26" activePane="bottomLeft" state="frozen"/>
      <selection pane="bottomLeft" activeCell="Y48" sqref="Y48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2.140625" customWidth="1"/>
    <col min="5" max="5" width="11.42578125" customWidth="1"/>
    <col min="6" max="7" width="13" customWidth="1"/>
    <col min="8" max="8" width="12" customWidth="1"/>
    <col min="9" max="9" width="12.28515625" bestFit="1" customWidth="1"/>
    <col min="11" max="11" width="14" customWidth="1"/>
    <col min="16" max="16" width="13.42578125" bestFit="1" customWidth="1"/>
    <col min="17" max="17" width="13.140625" customWidth="1"/>
    <col min="18" max="18" width="11.42578125" style="16"/>
    <col min="19" max="19" width="13.28515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45444</v>
      </c>
    </row>
    <row r="5" spans="2:28" x14ac:dyDescent="0.25">
      <c r="C5" s="67" t="s">
        <v>37</v>
      </c>
      <c r="D5" s="67"/>
      <c r="E5" s="67"/>
      <c r="T5" s="52"/>
      <c r="U5" s="52" t="s">
        <v>42</v>
      </c>
      <c r="V5" s="52" t="s">
        <v>43</v>
      </c>
      <c r="W5" s="42"/>
    </row>
    <row r="6" spans="2:28" ht="15.75" x14ac:dyDescent="0.25">
      <c r="N6" s="13" t="s">
        <v>27</v>
      </c>
      <c r="O6" s="29">
        <f>S6*16.5%</f>
        <v>991.65000000000009</v>
      </c>
      <c r="P6" s="30" t="s">
        <v>26</v>
      </c>
      <c r="Q6" s="11">
        <f>(S6*8)/100</f>
        <v>480.8</v>
      </c>
      <c r="R6" s="17" t="s">
        <v>25</v>
      </c>
      <c r="S6" s="11">
        <v>6010</v>
      </c>
      <c r="T6" s="52" t="s">
        <v>41</v>
      </c>
      <c r="U6" s="52">
        <v>382.8</v>
      </c>
      <c r="V6" s="51">
        <f>U6/30</f>
        <v>12.76</v>
      </c>
    </row>
    <row r="7" spans="2:28" ht="46.5" customHeight="1" x14ac:dyDescent="0.25">
      <c r="B7" s="70" t="s">
        <v>24</v>
      </c>
      <c r="C7" s="68" t="s">
        <v>9</v>
      </c>
      <c r="D7" s="68"/>
      <c r="E7" s="68"/>
      <c r="F7" s="68"/>
      <c r="G7" s="68"/>
      <c r="H7" s="68"/>
      <c r="I7" s="68"/>
      <c r="J7" s="68" t="s">
        <v>23</v>
      </c>
      <c r="K7" s="68"/>
      <c r="L7" s="68"/>
      <c r="M7" s="68"/>
      <c r="N7" s="68" t="s">
        <v>22</v>
      </c>
      <c r="O7" s="68"/>
      <c r="P7" s="68"/>
      <c r="Q7" s="69" t="s">
        <v>21</v>
      </c>
      <c r="R7" s="68" t="s">
        <v>20</v>
      </c>
      <c r="S7" s="68"/>
      <c r="T7" s="68"/>
      <c r="U7" s="68" t="s">
        <v>10</v>
      </c>
      <c r="V7" s="68"/>
      <c r="W7" s="68"/>
      <c r="X7" s="68" t="s">
        <v>11</v>
      </c>
      <c r="Y7" s="68"/>
      <c r="Z7" s="68"/>
      <c r="AA7" s="68"/>
      <c r="AB7" s="69" t="s">
        <v>8</v>
      </c>
    </row>
    <row r="8" spans="2:28" ht="30" x14ac:dyDescent="0.25">
      <c r="B8" s="70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69"/>
      <c r="R8" s="18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69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19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20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s="65" customFormat="1" ht="18" x14ac:dyDescent="0.25">
      <c r="B11" s="56">
        <v>31</v>
      </c>
      <c r="C11" s="56"/>
      <c r="D11" s="56"/>
      <c r="E11" s="56"/>
      <c r="F11" s="58">
        <f t="shared" ref="F11" si="0">C11+D11+E11</f>
        <v>0</v>
      </c>
      <c r="G11" s="59">
        <f t="shared" ref="G11" si="1">(C12+D12+E12)+((S12/24)*3)</f>
        <v>1872866.5</v>
      </c>
      <c r="H11" s="57">
        <f t="shared" ref="H11" si="2">G11+((K11/12)*1.5)</f>
        <v>1693995.25</v>
      </c>
      <c r="I11" s="57"/>
      <c r="J11" s="60">
        <f t="shared" ref="J11:L11" si="3">C11-C12</f>
        <v>-149497</v>
      </c>
      <c r="K11" s="60">
        <f t="shared" si="3"/>
        <v>-1430970</v>
      </c>
      <c r="L11" s="60">
        <f t="shared" si="3"/>
        <v>-292389</v>
      </c>
      <c r="M11" s="60">
        <f t="shared" ref="M11" si="4">I11-I12</f>
        <v>-976816</v>
      </c>
      <c r="N11" s="61">
        <f t="shared" ref="N11" si="5">N12</f>
        <v>33.055</v>
      </c>
      <c r="O11" s="62">
        <f t="shared" ref="O11" si="6">L11</f>
        <v>-292389</v>
      </c>
      <c r="P11" s="61">
        <f t="shared" ref="P11" si="7">N11-O11</f>
        <v>292422.05499999999</v>
      </c>
      <c r="Q11" s="61">
        <f t="shared" ref="Q11" si="8">H11-G11</f>
        <v>-178871.25</v>
      </c>
      <c r="R11" s="66">
        <f t="shared" ref="R11" si="9">R12</f>
        <v>200.33333333333334</v>
      </c>
      <c r="S11" s="60">
        <f t="shared" ref="S11" si="10">J11+K11+L11</f>
        <v>-1872856</v>
      </c>
      <c r="T11" s="57">
        <f t="shared" ref="T11" si="11">R11-S11</f>
        <v>1873056.3333333333</v>
      </c>
      <c r="U11" s="57">
        <f t="shared" ref="U11:V11" si="12">U12+N11</f>
        <v>1024.7049999999992</v>
      </c>
      <c r="V11" s="57">
        <f t="shared" si="12"/>
        <v>-291896</v>
      </c>
      <c r="W11" s="57">
        <f t="shared" ref="W11" si="13">U11-V11</f>
        <v>292920.70500000002</v>
      </c>
      <c r="X11" s="57">
        <f t="shared" ref="X11:Y11" si="14">X12+R11</f>
        <v>6210.3333333333312</v>
      </c>
      <c r="Y11" s="57">
        <f t="shared" si="14"/>
        <v>-1870410</v>
      </c>
      <c r="Z11" s="57">
        <f t="shared" ref="Z11" si="15">X11-Y11</f>
        <v>1876620.3333333333</v>
      </c>
      <c r="AA11" s="63">
        <f t="shared" ref="AA11" si="16">COS(ATAN(M11/S11))</f>
        <v>0.8866481819201899</v>
      </c>
      <c r="AB11" s="64"/>
    </row>
    <row r="12" spans="2:28" ht="18" x14ac:dyDescent="0.25">
      <c r="B12" s="3">
        <v>30</v>
      </c>
      <c r="C12" s="3">
        <v>149497</v>
      </c>
      <c r="D12" s="3">
        <v>1430970</v>
      </c>
      <c r="E12" s="3">
        <v>292389</v>
      </c>
      <c r="F12" s="8">
        <f t="shared" ref="F12" si="17">C12+D12+E12</f>
        <v>1872856</v>
      </c>
      <c r="G12" s="22">
        <f t="shared" ref="G12" si="18">(C13+D13+E13)+((S13/24)*3)</f>
        <v>1872781.625</v>
      </c>
      <c r="H12" s="7">
        <f t="shared" ref="H12" si="19">G12+((K12/12)*1.5)</f>
        <v>1872785.25</v>
      </c>
      <c r="I12" s="7">
        <v>976816</v>
      </c>
      <c r="J12" s="6">
        <f t="shared" ref="J12" si="20">C12-C13</f>
        <v>39</v>
      </c>
      <c r="K12" s="6">
        <f t="shared" ref="K12" si="21">D12-D13</f>
        <v>29</v>
      </c>
      <c r="L12" s="6">
        <f t="shared" ref="L12" si="22">E12-E13</f>
        <v>16</v>
      </c>
      <c r="M12" s="6">
        <f t="shared" ref="M12" si="23">I12-I13</f>
        <v>33</v>
      </c>
      <c r="N12" s="5">
        <f t="shared" ref="N12:N40" si="24">N13</f>
        <v>33.055</v>
      </c>
      <c r="O12" s="23">
        <f t="shared" ref="O12" si="25">L12</f>
        <v>16</v>
      </c>
      <c r="P12" s="5">
        <f t="shared" ref="P12" si="26">N12-O12</f>
        <v>17.055</v>
      </c>
      <c r="Q12" s="5">
        <f t="shared" ref="Q12" si="27">H12-G12</f>
        <v>3.625</v>
      </c>
      <c r="R12" s="20">
        <f t="shared" ref="R12:R38" si="28">R13</f>
        <v>200.33333333333334</v>
      </c>
      <c r="S12" s="6">
        <f t="shared" ref="S12" si="29">J12+K12+L12</f>
        <v>84</v>
      </c>
      <c r="T12" s="7">
        <f t="shared" ref="T12" si="30">R12-S12</f>
        <v>116.33333333333334</v>
      </c>
      <c r="U12" s="7">
        <f t="shared" ref="U12" si="31">U13+N12</f>
        <v>991.6499999999993</v>
      </c>
      <c r="V12" s="7">
        <f t="shared" ref="V12" si="32">V13+O12</f>
        <v>493</v>
      </c>
      <c r="W12" s="7">
        <f t="shared" ref="W12" si="33">U12-V12</f>
        <v>498.6499999999993</v>
      </c>
      <c r="X12" s="7">
        <f t="shared" ref="X12" si="34">X13+R12</f>
        <v>6009.9999999999982</v>
      </c>
      <c r="Y12" s="7">
        <f t="shared" ref="Y12" si="35">Y13+S12</f>
        <v>2446</v>
      </c>
      <c r="Z12" s="7">
        <f t="shared" ref="Z12" si="36">X12-Y12</f>
        <v>3563.9999999999982</v>
      </c>
      <c r="AA12" s="24">
        <f t="shared" ref="AA12" si="37">COS(ATAN(M12/S12))</f>
        <v>0.93075149344034713</v>
      </c>
      <c r="AB12" s="25"/>
    </row>
    <row r="13" spans="2:28" ht="18" x14ac:dyDescent="0.25">
      <c r="B13" s="3">
        <v>29</v>
      </c>
      <c r="C13" s="3">
        <f>C14+35</f>
        <v>149458</v>
      </c>
      <c r="D13" s="3">
        <f>D14+21</f>
        <v>1430941</v>
      </c>
      <c r="E13" s="3">
        <f>E14+21</f>
        <v>292373</v>
      </c>
      <c r="F13" s="8">
        <f t="shared" ref="F13:F41" si="38">C13+D13+E13</f>
        <v>1872772</v>
      </c>
      <c r="G13" s="22">
        <f t="shared" ref="G13:G40" si="39">(C14+D14+E14)+((S14/24)*3)</f>
        <v>1872703</v>
      </c>
      <c r="H13" s="7">
        <f t="shared" ref="H13:H40" si="40">G13+((K13/12)*1.5)</f>
        <v>1872705.625</v>
      </c>
      <c r="I13" s="7">
        <f>I14+29</f>
        <v>976783</v>
      </c>
      <c r="J13" s="6">
        <f t="shared" ref="J13:L41" si="41">C13-C14</f>
        <v>35</v>
      </c>
      <c r="K13" s="6">
        <f t="shared" si="41"/>
        <v>21</v>
      </c>
      <c r="L13" s="6">
        <f t="shared" si="41"/>
        <v>21</v>
      </c>
      <c r="M13" s="6">
        <f t="shared" ref="M13:M41" si="42">I13-I14</f>
        <v>29</v>
      </c>
      <c r="N13" s="5">
        <f t="shared" si="24"/>
        <v>33.055</v>
      </c>
      <c r="O13" s="23">
        <f t="shared" ref="O13:O41" si="43">L13</f>
        <v>21</v>
      </c>
      <c r="P13" s="5">
        <f t="shared" ref="P13:P41" si="44">N13-O13</f>
        <v>12.055</v>
      </c>
      <c r="Q13" s="5">
        <f t="shared" ref="Q13:Q41" si="45">H13-G13</f>
        <v>2.625</v>
      </c>
      <c r="R13" s="20">
        <f t="shared" si="28"/>
        <v>200.33333333333334</v>
      </c>
      <c r="S13" s="6">
        <f t="shared" ref="S13:S41" si="46">J13+K13+L13</f>
        <v>77</v>
      </c>
      <c r="T13" s="7">
        <f t="shared" ref="T13:T41" si="47">R13-S13</f>
        <v>123.33333333333334</v>
      </c>
      <c r="U13" s="7">
        <f t="shared" ref="U13:V40" si="48">U14+N13</f>
        <v>958.59499999999935</v>
      </c>
      <c r="V13" s="7">
        <f t="shared" si="48"/>
        <v>477</v>
      </c>
      <c r="W13" s="7">
        <f t="shared" ref="W13:W41" si="49">U13-V13</f>
        <v>481.59499999999935</v>
      </c>
      <c r="X13" s="7">
        <f t="shared" ref="X13:Y40" si="50">X14+R13</f>
        <v>5809.6666666666652</v>
      </c>
      <c r="Y13" s="7">
        <f t="shared" si="50"/>
        <v>2362</v>
      </c>
      <c r="Z13" s="7">
        <f t="shared" ref="Z13:Z41" si="51">X13-Y13</f>
        <v>3447.6666666666652</v>
      </c>
      <c r="AA13" s="24">
        <f t="shared" ref="AA13:AA41" si="52">COS(ATAN(M13/S13))</f>
        <v>0.93582876641994939</v>
      </c>
      <c r="AB13" s="25"/>
    </row>
    <row r="14" spans="2:28" ht="18" x14ac:dyDescent="0.25">
      <c r="B14" s="3">
        <v>28</v>
      </c>
      <c r="C14" s="3">
        <f>C15+27</f>
        <v>149423</v>
      </c>
      <c r="D14" s="3">
        <f>D15+18</f>
        <v>1430920</v>
      </c>
      <c r="E14" s="3">
        <f>E15+19</f>
        <v>292352</v>
      </c>
      <c r="F14" s="8">
        <f t="shared" si="38"/>
        <v>1872695</v>
      </c>
      <c r="G14" s="22">
        <f t="shared" si="39"/>
        <v>1872639.125</v>
      </c>
      <c r="H14" s="7">
        <f t="shared" si="40"/>
        <v>1872641.375</v>
      </c>
      <c r="I14" s="7">
        <f>I15+34</f>
        <v>976754</v>
      </c>
      <c r="J14" s="7">
        <f>C14-C15</f>
        <v>27</v>
      </c>
      <c r="K14" s="6">
        <f t="shared" si="41"/>
        <v>18</v>
      </c>
      <c r="L14" s="6">
        <f t="shared" si="41"/>
        <v>19</v>
      </c>
      <c r="M14" s="6">
        <f t="shared" si="42"/>
        <v>34</v>
      </c>
      <c r="N14" s="5">
        <f t="shared" si="24"/>
        <v>33.055</v>
      </c>
      <c r="O14" s="23">
        <f t="shared" si="43"/>
        <v>19</v>
      </c>
      <c r="P14" s="5">
        <f t="shared" si="44"/>
        <v>14.055</v>
      </c>
      <c r="Q14" s="5">
        <f t="shared" si="45"/>
        <v>2.25</v>
      </c>
      <c r="R14" s="20">
        <f t="shared" si="28"/>
        <v>200.33333333333334</v>
      </c>
      <c r="S14" s="6">
        <f t="shared" si="46"/>
        <v>64</v>
      </c>
      <c r="T14" s="7">
        <f t="shared" si="47"/>
        <v>136.33333333333334</v>
      </c>
      <c r="U14" s="7">
        <f t="shared" si="48"/>
        <v>925.5399999999994</v>
      </c>
      <c r="V14" s="7">
        <f t="shared" si="48"/>
        <v>456</v>
      </c>
      <c r="W14" s="7">
        <f t="shared" si="49"/>
        <v>469.5399999999994</v>
      </c>
      <c r="X14" s="7">
        <f t="shared" si="50"/>
        <v>5609.3333333333321</v>
      </c>
      <c r="Y14" s="7">
        <f t="shared" si="50"/>
        <v>2285</v>
      </c>
      <c r="Z14" s="7">
        <f t="shared" si="51"/>
        <v>3324.3333333333321</v>
      </c>
      <c r="AA14" s="24">
        <f t="shared" si="52"/>
        <v>0.88311571945741052</v>
      </c>
      <c r="AB14" s="25"/>
    </row>
    <row r="15" spans="2:28" ht="18" x14ac:dyDescent="0.25">
      <c r="B15" s="3">
        <v>27</v>
      </c>
      <c r="C15" s="3">
        <f>C16+30</f>
        <v>149396</v>
      </c>
      <c r="D15" s="3">
        <f>D16+20</f>
        <v>1430902</v>
      </c>
      <c r="E15" s="3">
        <f>E16+15</f>
        <v>292333</v>
      </c>
      <c r="F15" s="8">
        <f t="shared" si="38"/>
        <v>1872631</v>
      </c>
      <c r="G15" s="22">
        <f>(C16+D16+E16)+((S16/24)*3)</f>
        <v>1872575.375</v>
      </c>
      <c r="H15" s="7">
        <f t="shared" si="40"/>
        <v>1872577.875</v>
      </c>
      <c r="I15" s="7">
        <f>I16+30</f>
        <v>976720</v>
      </c>
      <c r="J15" s="6">
        <f t="shared" si="41"/>
        <v>30</v>
      </c>
      <c r="K15" s="6">
        <f>D15-D16</f>
        <v>20</v>
      </c>
      <c r="L15" s="6">
        <f t="shared" si="41"/>
        <v>15</v>
      </c>
      <c r="M15" s="6">
        <f t="shared" si="42"/>
        <v>30</v>
      </c>
      <c r="N15" s="5">
        <f t="shared" si="24"/>
        <v>33.055</v>
      </c>
      <c r="O15" s="23">
        <f t="shared" si="43"/>
        <v>15</v>
      </c>
      <c r="P15" s="5">
        <f t="shared" si="44"/>
        <v>18.055</v>
      </c>
      <c r="Q15" s="5">
        <f t="shared" si="45"/>
        <v>2.5</v>
      </c>
      <c r="R15" s="20">
        <f t="shared" si="28"/>
        <v>200.33333333333334</v>
      </c>
      <c r="S15" s="6">
        <f t="shared" si="46"/>
        <v>65</v>
      </c>
      <c r="T15" s="7">
        <f t="shared" si="47"/>
        <v>135.33333333333334</v>
      </c>
      <c r="U15" s="7">
        <f t="shared" si="48"/>
        <v>892.48499999999945</v>
      </c>
      <c r="V15" s="7">
        <f t="shared" si="48"/>
        <v>437</v>
      </c>
      <c r="W15" s="7">
        <f t="shared" si="49"/>
        <v>455.48499999999945</v>
      </c>
      <c r="X15" s="7">
        <f t="shared" si="50"/>
        <v>5408.9999999999991</v>
      </c>
      <c r="Y15" s="7">
        <f t="shared" si="50"/>
        <v>2221</v>
      </c>
      <c r="Z15" s="7">
        <f t="shared" si="51"/>
        <v>3187.9999999999991</v>
      </c>
      <c r="AA15" s="24">
        <f t="shared" si="52"/>
        <v>0.90795938450045166</v>
      </c>
      <c r="AB15" s="25"/>
    </row>
    <row r="16" spans="2:28" ht="18" x14ac:dyDescent="0.25">
      <c r="B16" s="3">
        <v>26</v>
      </c>
      <c r="C16" s="3">
        <f>C17+33</f>
        <v>149366</v>
      </c>
      <c r="D16" s="3">
        <f>D17+25</f>
        <v>1430882</v>
      </c>
      <c r="E16" s="3">
        <f>E17+17</f>
        <v>292318</v>
      </c>
      <c r="F16" s="8">
        <f>C16+D16+E16</f>
        <v>1872566</v>
      </c>
      <c r="G16" s="22">
        <f>(C17+D17+E17)+((S17/24)*3)</f>
        <v>1872502.875</v>
      </c>
      <c r="H16" s="7">
        <f t="shared" si="40"/>
        <v>1872506</v>
      </c>
      <c r="I16" s="7">
        <f>I17+32</f>
        <v>976690</v>
      </c>
      <c r="J16" s="6">
        <f t="shared" si="41"/>
        <v>33</v>
      </c>
      <c r="K16" s="6">
        <f>D16-D17</f>
        <v>25</v>
      </c>
      <c r="L16" s="6">
        <f t="shared" si="41"/>
        <v>17</v>
      </c>
      <c r="M16" s="6">
        <f t="shared" si="42"/>
        <v>32</v>
      </c>
      <c r="N16" s="5">
        <f t="shared" si="24"/>
        <v>33.055</v>
      </c>
      <c r="O16" s="23">
        <f t="shared" si="43"/>
        <v>17</v>
      </c>
      <c r="P16" s="5">
        <f t="shared" si="44"/>
        <v>16.055</v>
      </c>
      <c r="Q16" s="5">
        <f t="shared" si="45"/>
        <v>3.125</v>
      </c>
      <c r="R16" s="20">
        <f t="shared" si="28"/>
        <v>200.33333333333334</v>
      </c>
      <c r="S16" s="6">
        <f t="shared" si="46"/>
        <v>75</v>
      </c>
      <c r="T16" s="7">
        <f t="shared" si="47"/>
        <v>125.33333333333334</v>
      </c>
      <c r="U16" s="7">
        <f t="shared" si="48"/>
        <v>859.4299999999995</v>
      </c>
      <c r="V16" s="7">
        <f t="shared" si="48"/>
        <v>422</v>
      </c>
      <c r="W16" s="7">
        <f t="shared" si="49"/>
        <v>437.4299999999995</v>
      </c>
      <c r="X16" s="7">
        <f t="shared" si="50"/>
        <v>5208.6666666666661</v>
      </c>
      <c r="Y16" s="7">
        <f t="shared" si="50"/>
        <v>2156</v>
      </c>
      <c r="Z16" s="7">
        <f t="shared" si="51"/>
        <v>3052.6666666666661</v>
      </c>
      <c r="AA16" s="24">
        <f t="shared" si="52"/>
        <v>0.91977816808074253</v>
      </c>
      <c r="AB16" s="25"/>
    </row>
    <row r="17" spans="2:28" ht="18" x14ac:dyDescent="0.25">
      <c r="B17" s="3">
        <v>25</v>
      </c>
      <c r="C17" s="3">
        <v>149333</v>
      </c>
      <c r="D17" s="3">
        <v>1430857</v>
      </c>
      <c r="E17" s="3">
        <v>292301</v>
      </c>
      <c r="F17" s="8">
        <f>C17+D17+E17</f>
        <v>1872491</v>
      </c>
      <c r="G17" s="22">
        <f>(C18+D18+E18)+((S18/24)*3)</f>
        <v>1872409.375</v>
      </c>
      <c r="H17" s="7">
        <f t="shared" si="40"/>
        <v>1872416.25</v>
      </c>
      <c r="I17" s="7">
        <v>976658</v>
      </c>
      <c r="J17" s="6">
        <f t="shared" si="41"/>
        <v>25</v>
      </c>
      <c r="K17" s="6">
        <f>D17-D18</f>
        <v>55</v>
      </c>
      <c r="L17" s="6">
        <f t="shared" si="41"/>
        <v>15</v>
      </c>
      <c r="M17" s="6">
        <f t="shared" si="42"/>
        <v>41</v>
      </c>
      <c r="N17" s="5">
        <f t="shared" si="24"/>
        <v>33.055</v>
      </c>
      <c r="O17" s="23">
        <f t="shared" si="43"/>
        <v>15</v>
      </c>
      <c r="P17" s="5">
        <f t="shared" si="44"/>
        <v>18.055</v>
      </c>
      <c r="Q17" s="5">
        <f t="shared" si="45"/>
        <v>6.875</v>
      </c>
      <c r="R17" s="20">
        <f t="shared" si="28"/>
        <v>200.33333333333334</v>
      </c>
      <c r="S17" s="6">
        <f t="shared" si="46"/>
        <v>95</v>
      </c>
      <c r="T17" s="7">
        <f t="shared" si="47"/>
        <v>105.33333333333334</v>
      </c>
      <c r="U17" s="7">
        <f t="shared" si="48"/>
        <v>826.37499999999955</v>
      </c>
      <c r="V17" s="7">
        <f t="shared" si="48"/>
        <v>405</v>
      </c>
      <c r="W17" s="7">
        <f t="shared" si="49"/>
        <v>421.37499999999955</v>
      </c>
      <c r="X17" s="7">
        <f t="shared" si="50"/>
        <v>5008.333333333333</v>
      </c>
      <c r="Y17" s="7">
        <f t="shared" si="50"/>
        <v>2081</v>
      </c>
      <c r="Z17" s="7">
        <f t="shared" si="51"/>
        <v>2927.333333333333</v>
      </c>
      <c r="AA17" s="24">
        <f t="shared" si="52"/>
        <v>0.91814227760212552</v>
      </c>
      <c r="AB17" s="25"/>
    </row>
    <row r="18" spans="2:28" ht="18" x14ac:dyDescent="0.25">
      <c r="B18" s="3">
        <v>24</v>
      </c>
      <c r="C18" s="3">
        <v>149308</v>
      </c>
      <c r="D18" s="3">
        <v>1430802</v>
      </c>
      <c r="E18" s="3">
        <v>292286</v>
      </c>
      <c r="F18" s="8">
        <f t="shared" si="38"/>
        <v>1872396</v>
      </c>
      <c r="G18" s="22">
        <f t="shared" si="39"/>
        <v>1872298</v>
      </c>
      <c r="H18" s="7">
        <f t="shared" si="40"/>
        <v>1872304.375</v>
      </c>
      <c r="I18" s="7">
        <v>976617</v>
      </c>
      <c r="J18" s="6">
        <f t="shared" si="41"/>
        <v>38</v>
      </c>
      <c r="K18" s="6">
        <f t="shared" si="41"/>
        <v>51</v>
      </c>
      <c r="L18" s="6">
        <f t="shared" si="41"/>
        <v>18</v>
      </c>
      <c r="M18" s="6">
        <f t="shared" si="42"/>
        <v>33</v>
      </c>
      <c r="N18" s="5">
        <f t="shared" si="24"/>
        <v>33.055</v>
      </c>
      <c r="O18" s="23">
        <f t="shared" si="43"/>
        <v>18</v>
      </c>
      <c r="P18" s="5">
        <f t="shared" si="44"/>
        <v>15.055</v>
      </c>
      <c r="Q18" s="5">
        <f t="shared" si="45"/>
        <v>6.375</v>
      </c>
      <c r="R18" s="20">
        <f t="shared" si="28"/>
        <v>200.33333333333334</v>
      </c>
      <c r="S18" s="6">
        <f t="shared" si="46"/>
        <v>107</v>
      </c>
      <c r="T18" s="7">
        <f t="shared" si="47"/>
        <v>93.333333333333343</v>
      </c>
      <c r="U18" s="7">
        <f t="shared" si="48"/>
        <v>793.3199999999996</v>
      </c>
      <c r="V18" s="7">
        <f t="shared" si="48"/>
        <v>390</v>
      </c>
      <c r="W18" s="7">
        <f t="shared" si="49"/>
        <v>403.3199999999996</v>
      </c>
      <c r="X18" s="7">
        <f t="shared" si="50"/>
        <v>4808</v>
      </c>
      <c r="Y18" s="7">
        <f t="shared" si="50"/>
        <v>1986</v>
      </c>
      <c r="Z18" s="7">
        <f t="shared" si="51"/>
        <v>2822</v>
      </c>
      <c r="AA18" s="24">
        <f t="shared" si="52"/>
        <v>0.95558570631418482</v>
      </c>
      <c r="AB18" s="25"/>
    </row>
    <row r="19" spans="2:28" ht="18" x14ac:dyDescent="0.25">
      <c r="B19" s="3">
        <v>23</v>
      </c>
      <c r="C19" s="3">
        <v>149270</v>
      </c>
      <c r="D19" s="3">
        <v>1430751</v>
      </c>
      <c r="E19" s="3">
        <v>292268</v>
      </c>
      <c r="F19" s="8">
        <f t="shared" si="38"/>
        <v>1872289</v>
      </c>
      <c r="G19" s="22">
        <f t="shared" si="39"/>
        <v>1872226.375</v>
      </c>
      <c r="H19" s="7">
        <f t="shared" si="40"/>
        <v>1872229.875</v>
      </c>
      <c r="I19" s="7">
        <f>I20+37</f>
        <v>976584</v>
      </c>
      <c r="J19" s="6">
        <f t="shared" si="41"/>
        <v>30</v>
      </c>
      <c r="K19" s="6">
        <f t="shared" si="41"/>
        <v>28</v>
      </c>
      <c r="L19" s="6">
        <f t="shared" si="41"/>
        <v>14</v>
      </c>
      <c r="M19" s="6">
        <f t="shared" si="42"/>
        <v>37</v>
      </c>
      <c r="N19" s="5">
        <f t="shared" si="24"/>
        <v>33.055</v>
      </c>
      <c r="O19" s="3">
        <f t="shared" si="43"/>
        <v>14</v>
      </c>
      <c r="P19" s="5">
        <f t="shared" si="44"/>
        <v>19.055</v>
      </c>
      <c r="Q19" s="5">
        <f t="shared" si="45"/>
        <v>3.5</v>
      </c>
      <c r="R19" s="20">
        <f t="shared" si="28"/>
        <v>200.33333333333334</v>
      </c>
      <c r="S19" s="6">
        <f t="shared" si="46"/>
        <v>72</v>
      </c>
      <c r="T19" s="7">
        <f t="shared" si="47"/>
        <v>128.33333333333334</v>
      </c>
      <c r="U19" s="7">
        <f t="shared" si="48"/>
        <v>760.26499999999965</v>
      </c>
      <c r="V19" s="7">
        <f t="shared" si="48"/>
        <v>372</v>
      </c>
      <c r="W19" s="7">
        <f t="shared" si="49"/>
        <v>388.26499999999965</v>
      </c>
      <c r="X19" s="7">
        <f t="shared" si="50"/>
        <v>4607.666666666667</v>
      </c>
      <c r="Y19" s="7">
        <f t="shared" si="50"/>
        <v>1879</v>
      </c>
      <c r="Z19" s="7">
        <f t="shared" si="51"/>
        <v>2728.666666666667</v>
      </c>
      <c r="AA19" s="24">
        <f t="shared" si="52"/>
        <v>0.88943130778842361</v>
      </c>
      <c r="AB19" s="1"/>
    </row>
    <row r="20" spans="2:28" ht="18" x14ac:dyDescent="0.25">
      <c r="B20" s="3">
        <v>22</v>
      </c>
      <c r="C20" s="3">
        <f>C21+31</f>
        <v>149240</v>
      </c>
      <c r="D20" s="3">
        <f>D21+29</f>
        <v>1430723</v>
      </c>
      <c r="E20" s="3">
        <f>E21+15</f>
        <v>292254</v>
      </c>
      <c r="F20" s="8">
        <f t="shared" si="38"/>
        <v>1872217</v>
      </c>
      <c r="G20" s="22">
        <f t="shared" si="39"/>
        <v>1872151.5</v>
      </c>
      <c r="H20" s="7">
        <f t="shared" si="40"/>
        <v>1872155.125</v>
      </c>
      <c r="I20" s="7">
        <f t="shared" ref="I20" si="53">I21+37</f>
        <v>976547</v>
      </c>
      <c r="J20" s="6">
        <f t="shared" si="41"/>
        <v>31</v>
      </c>
      <c r="K20" s="6">
        <f t="shared" si="41"/>
        <v>29</v>
      </c>
      <c r="L20" s="6">
        <f t="shared" si="41"/>
        <v>15</v>
      </c>
      <c r="M20" s="6">
        <f t="shared" si="42"/>
        <v>37</v>
      </c>
      <c r="N20" s="5">
        <f t="shared" si="24"/>
        <v>33.055</v>
      </c>
      <c r="O20" s="3">
        <f t="shared" si="43"/>
        <v>15</v>
      </c>
      <c r="P20" s="5">
        <f t="shared" si="44"/>
        <v>18.055</v>
      </c>
      <c r="Q20" s="5">
        <f t="shared" si="45"/>
        <v>3.625</v>
      </c>
      <c r="R20" s="20">
        <f t="shared" si="28"/>
        <v>200.33333333333334</v>
      </c>
      <c r="S20" s="6">
        <f t="shared" si="46"/>
        <v>75</v>
      </c>
      <c r="T20" s="7">
        <f t="shared" si="47"/>
        <v>125.33333333333334</v>
      </c>
      <c r="U20" s="7">
        <f t="shared" si="48"/>
        <v>727.2099999999997</v>
      </c>
      <c r="V20" s="7">
        <f t="shared" si="48"/>
        <v>358</v>
      </c>
      <c r="W20" s="7">
        <f t="shared" si="49"/>
        <v>369.2099999999997</v>
      </c>
      <c r="X20" s="7">
        <f t="shared" si="50"/>
        <v>4407.3333333333339</v>
      </c>
      <c r="Y20" s="7">
        <f t="shared" si="50"/>
        <v>1807</v>
      </c>
      <c r="Z20" s="7">
        <f t="shared" si="51"/>
        <v>2600.3333333333339</v>
      </c>
      <c r="AA20" s="24">
        <f t="shared" si="52"/>
        <v>0.89680588477502454</v>
      </c>
      <c r="AB20" s="1"/>
    </row>
    <row r="21" spans="2:28" ht="18" x14ac:dyDescent="0.25">
      <c r="B21" s="3">
        <v>21</v>
      </c>
      <c r="C21" s="3">
        <f>C22+34</f>
        <v>149209</v>
      </c>
      <c r="D21" s="3">
        <f>D22+26</f>
        <v>1430694</v>
      </c>
      <c r="E21" s="3">
        <f>E22+16</f>
        <v>292239</v>
      </c>
      <c r="F21" s="8">
        <f t="shared" si="38"/>
        <v>1872142</v>
      </c>
      <c r="G21" s="22">
        <f t="shared" si="39"/>
        <v>1872075.625</v>
      </c>
      <c r="H21" s="7">
        <f t="shared" si="40"/>
        <v>1872078.875</v>
      </c>
      <c r="I21" s="7">
        <f>I22+39</f>
        <v>976510</v>
      </c>
      <c r="J21" s="6">
        <f t="shared" si="41"/>
        <v>34</v>
      </c>
      <c r="K21" s="6">
        <f t="shared" si="41"/>
        <v>26</v>
      </c>
      <c r="L21" s="6">
        <f t="shared" si="41"/>
        <v>16</v>
      </c>
      <c r="M21" s="6">
        <f t="shared" si="42"/>
        <v>39</v>
      </c>
      <c r="N21" s="5">
        <f t="shared" si="24"/>
        <v>33.055</v>
      </c>
      <c r="O21" s="3">
        <f t="shared" si="43"/>
        <v>16</v>
      </c>
      <c r="P21" s="5">
        <f t="shared" si="44"/>
        <v>17.055</v>
      </c>
      <c r="Q21" s="5">
        <f t="shared" si="45"/>
        <v>3.25</v>
      </c>
      <c r="R21" s="20">
        <f t="shared" si="28"/>
        <v>200.33333333333334</v>
      </c>
      <c r="S21" s="6">
        <f t="shared" si="46"/>
        <v>76</v>
      </c>
      <c r="T21" s="7">
        <f t="shared" si="47"/>
        <v>124.33333333333334</v>
      </c>
      <c r="U21" s="7">
        <f t="shared" si="48"/>
        <v>694.15499999999975</v>
      </c>
      <c r="V21" s="7">
        <f t="shared" si="48"/>
        <v>343</v>
      </c>
      <c r="W21" s="7">
        <f t="shared" si="49"/>
        <v>351.15499999999975</v>
      </c>
      <c r="X21" s="7">
        <f t="shared" si="50"/>
        <v>4207.0000000000009</v>
      </c>
      <c r="Y21" s="7">
        <f t="shared" si="50"/>
        <v>1732</v>
      </c>
      <c r="Z21" s="7">
        <f t="shared" si="51"/>
        <v>2475.0000000000009</v>
      </c>
      <c r="AA21" s="24">
        <f t="shared" si="52"/>
        <v>0.88969555163117353</v>
      </c>
      <c r="AB21" s="1"/>
    </row>
    <row r="22" spans="2:28" ht="18" x14ac:dyDescent="0.25">
      <c r="B22" s="3">
        <v>20</v>
      </c>
      <c r="C22" s="3">
        <v>149175</v>
      </c>
      <c r="D22" s="3">
        <v>1430668</v>
      </c>
      <c r="E22" s="3">
        <v>292223</v>
      </c>
      <c r="F22" s="9">
        <f>C22+D22+E22</f>
        <v>1872066</v>
      </c>
      <c r="G22" s="22">
        <f t="shared" si="39"/>
        <v>1871999.875</v>
      </c>
      <c r="H22" s="7">
        <f t="shared" si="40"/>
        <v>1872002.875</v>
      </c>
      <c r="I22" s="7">
        <v>976471</v>
      </c>
      <c r="J22" s="6">
        <f t="shared" si="41"/>
        <v>36</v>
      </c>
      <c r="K22" s="6">
        <f t="shared" si="41"/>
        <v>24</v>
      </c>
      <c r="L22" s="6">
        <f t="shared" si="41"/>
        <v>17</v>
      </c>
      <c r="M22" s="6">
        <f t="shared" si="42"/>
        <v>38</v>
      </c>
      <c r="N22" s="5">
        <f t="shared" si="24"/>
        <v>33.055</v>
      </c>
      <c r="O22" s="3">
        <f t="shared" si="43"/>
        <v>17</v>
      </c>
      <c r="P22" s="5">
        <f t="shared" si="44"/>
        <v>16.055</v>
      </c>
      <c r="Q22" s="5">
        <f t="shared" si="45"/>
        <v>3</v>
      </c>
      <c r="R22" s="20">
        <f t="shared" si="28"/>
        <v>200.33333333333334</v>
      </c>
      <c r="S22" s="6">
        <f t="shared" si="46"/>
        <v>77</v>
      </c>
      <c r="T22" s="7">
        <f t="shared" si="47"/>
        <v>123.33333333333334</v>
      </c>
      <c r="U22" s="7">
        <f t="shared" si="48"/>
        <v>661.0999999999998</v>
      </c>
      <c r="V22" s="7">
        <f t="shared" si="48"/>
        <v>327</v>
      </c>
      <c r="W22" s="7">
        <f t="shared" si="49"/>
        <v>334.0999999999998</v>
      </c>
      <c r="X22" s="7">
        <f t="shared" si="50"/>
        <v>4006.6666666666679</v>
      </c>
      <c r="Y22" s="7">
        <f t="shared" si="50"/>
        <v>1656</v>
      </c>
      <c r="Z22" s="7">
        <f t="shared" si="51"/>
        <v>2350.6666666666679</v>
      </c>
      <c r="AA22" s="24">
        <f t="shared" si="52"/>
        <v>0.89674426568643462</v>
      </c>
      <c r="AB22" s="1"/>
    </row>
    <row r="23" spans="2:28" ht="18" x14ac:dyDescent="0.25">
      <c r="B23" s="3">
        <v>19</v>
      </c>
      <c r="C23" s="3">
        <v>149139</v>
      </c>
      <c r="D23" s="3">
        <v>1430644</v>
      </c>
      <c r="E23" s="3">
        <v>292206</v>
      </c>
      <c r="F23" s="8">
        <f t="shared" si="38"/>
        <v>1871989</v>
      </c>
      <c r="G23" s="22">
        <f t="shared" si="39"/>
        <v>1871915.125</v>
      </c>
      <c r="H23" s="7">
        <f t="shared" si="40"/>
        <v>1871920.25</v>
      </c>
      <c r="I23" s="7">
        <v>976433</v>
      </c>
      <c r="J23" s="6">
        <f t="shared" si="41"/>
        <v>32</v>
      </c>
      <c r="K23" s="6">
        <f t="shared" si="41"/>
        <v>41</v>
      </c>
      <c r="L23" s="6">
        <f t="shared" si="41"/>
        <v>14</v>
      </c>
      <c r="M23" s="6">
        <f t="shared" si="42"/>
        <v>40</v>
      </c>
      <c r="N23" s="5">
        <f t="shared" si="24"/>
        <v>33.055</v>
      </c>
      <c r="O23" s="3">
        <f t="shared" si="43"/>
        <v>14</v>
      </c>
      <c r="P23" s="5">
        <f t="shared" si="44"/>
        <v>19.055</v>
      </c>
      <c r="Q23" s="5">
        <f t="shared" si="45"/>
        <v>5.125</v>
      </c>
      <c r="R23" s="20">
        <f t="shared" si="28"/>
        <v>200.33333333333334</v>
      </c>
      <c r="S23" s="6">
        <f t="shared" si="46"/>
        <v>87</v>
      </c>
      <c r="T23" s="7">
        <f t="shared" si="47"/>
        <v>113.33333333333334</v>
      </c>
      <c r="U23" s="7">
        <f t="shared" si="48"/>
        <v>628.04499999999985</v>
      </c>
      <c r="V23" s="7">
        <f t="shared" si="48"/>
        <v>310</v>
      </c>
      <c r="W23" s="7">
        <f t="shared" si="49"/>
        <v>318.04499999999985</v>
      </c>
      <c r="X23" s="7">
        <f t="shared" si="50"/>
        <v>3806.3333333333344</v>
      </c>
      <c r="Y23" s="7">
        <f t="shared" si="50"/>
        <v>1579</v>
      </c>
      <c r="Z23" s="7">
        <f t="shared" si="51"/>
        <v>2227.3333333333344</v>
      </c>
      <c r="AA23" s="24">
        <f t="shared" si="52"/>
        <v>0.9085697352983414</v>
      </c>
      <c r="AB23" s="1"/>
    </row>
    <row r="24" spans="2:28" ht="18" x14ac:dyDescent="0.25">
      <c r="B24" s="3">
        <v>18</v>
      </c>
      <c r="C24" s="3">
        <v>149107</v>
      </c>
      <c r="D24" s="3">
        <v>1430603</v>
      </c>
      <c r="E24" s="3">
        <v>292192</v>
      </c>
      <c r="F24" s="8">
        <f t="shared" si="38"/>
        <v>1871902</v>
      </c>
      <c r="G24" s="22">
        <f t="shared" si="39"/>
        <v>1871810.125</v>
      </c>
      <c r="H24" s="7">
        <f t="shared" si="40"/>
        <v>1871817.125</v>
      </c>
      <c r="I24" s="7">
        <v>976393</v>
      </c>
      <c r="J24" s="6">
        <f t="shared" si="41"/>
        <v>35</v>
      </c>
      <c r="K24" s="6">
        <f t="shared" si="41"/>
        <v>56</v>
      </c>
      <c r="L24" s="6">
        <f t="shared" si="41"/>
        <v>14</v>
      </c>
      <c r="M24" s="6">
        <f t="shared" si="42"/>
        <v>48</v>
      </c>
      <c r="N24" s="5">
        <f t="shared" si="24"/>
        <v>33.055</v>
      </c>
      <c r="O24" s="3">
        <f t="shared" si="43"/>
        <v>14</v>
      </c>
      <c r="P24" s="5">
        <f t="shared" si="44"/>
        <v>19.055</v>
      </c>
      <c r="Q24" s="5">
        <f t="shared" si="45"/>
        <v>7</v>
      </c>
      <c r="R24" s="20">
        <f t="shared" si="28"/>
        <v>200.33333333333334</v>
      </c>
      <c r="S24" s="6">
        <f t="shared" si="46"/>
        <v>105</v>
      </c>
      <c r="T24" s="7">
        <f t="shared" si="47"/>
        <v>95.333333333333343</v>
      </c>
      <c r="U24" s="7">
        <f t="shared" si="48"/>
        <v>594.9899999999999</v>
      </c>
      <c r="V24" s="7">
        <f t="shared" si="48"/>
        <v>296</v>
      </c>
      <c r="W24" s="7">
        <f t="shared" si="49"/>
        <v>298.9899999999999</v>
      </c>
      <c r="X24" s="7">
        <f t="shared" si="50"/>
        <v>3606.0000000000009</v>
      </c>
      <c r="Y24" s="7">
        <f t="shared" si="50"/>
        <v>1492</v>
      </c>
      <c r="Z24" s="7">
        <f t="shared" si="51"/>
        <v>2114.0000000000009</v>
      </c>
      <c r="AA24" s="24">
        <f t="shared" si="52"/>
        <v>0.90947447558580008</v>
      </c>
      <c r="AB24" s="1"/>
    </row>
    <row r="25" spans="2:28" ht="18" x14ac:dyDescent="0.25">
      <c r="B25" s="3">
        <v>17</v>
      </c>
      <c r="C25" s="3">
        <v>149072</v>
      </c>
      <c r="D25" s="3">
        <v>1430547</v>
      </c>
      <c r="E25" s="3">
        <v>292178</v>
      </c>
      <c r="F25" s="8">
        <f t="shared" si="38"/>
        <v>1871797</v>
      </c>
      <c r="G25" s="22">
        <f t="shared" si="39"/>
        <v>1871700.125</v>
      </c>
      <c r="H25" s="7">
        <f t="shared" si="40"/>
        <v>1871707.125</v>
      </c>
      <c r="I25" s="7">
        <v>976345</v>
      </c>
      <c r="J25" s="6">
        <f t="shared" si="41"/>
        <v>30</v>
      </c>
      <c r="K25" s="6">
        <f t="shared" si="41"/>
        <v>56</v>
      </c>
      <c r="L25" s="6">
        <f t="shared" si="41"/>
        <v>19</v>
      </c>
      <c r="M25" s="7">
        <f t="shared" si="42"/>
        <v>48</v>
      </c>
      <c r="N25" s="5">
        <f t="shared" si="24"/>
        <v>33.055</v>
      </c>
      <c r="O25" s="3">
        <f t="shared" si="43"/>
        <v>19</v>
      </c>
      <c r="P25" s="5">
        <f t="shared" si="44"/>
        <v>14.055</v>
      </c>
      <c r="Q25" s="5">
        <f t="shared" si="45"/>
        <v>7</v>
      </c>
      <c r="R25" s="20">
        <f t="shared" si="28"/>
        <v>200.33333333333334</v>
      </c>
      <c r="S25" s="6">
        <f t="shared" si="46"/>
        <v>105</v>
      </c>
      <c r="T25" s="7">
        <f t="shared" si="47"/>
        <v>95.333333333333343</v>
      </c>
      <c r="U25" s="7">
        <f t="shared" si="48"/>
        <v>561.93499999999995</v>
      </c>
      <c r="V25" s="6">
        <f t="shared" si="48"/>
        <v>282</v>
      </c>
      <c r="W25" s="7">
        <f t="shared" si="49"/>
        <v>279.93499999999995</v>
      </c>
      <c r="X25" s="7">
        <f t="shared" si="50"/>
        <v>3405.6666666666674</v>
      </c>
      <c r="Y25" s="7">
        <f t="shared" si="50"/>
        <v>1387</v>
      </c>
      <c r="Z25" s="7">
        <f t="shared" si="51"/>
        <v>2018.6666666666674</v>
      </c>
      <c r="AA25" s="24">
        <f t="shared" si="52"/>
        <v>0.90947447558580008</v>
      </c>
      <c r="AB25" s="1"/>
    </row>
    <row r="26" spans="2:28" ht="18" x14ac:dyDescent="0.25">
      <c r="B26" s="3">
        <v>16</v>
      </c>
      <c r="C26" s="3">
        <v>149042</v>
      </c>
      <c r="D26" s="3">
        <v>1430491</v>
      </c>
      <c r="E26" s="3">
        <v>292159</v>
      </c>
      <c r="F26" s="8">
        <f t="shared" si="38"/>
        <v>1871692</v>
      </c>
      <c r="G26" s="22">
        <f t="shared" si="39"/>
        <v>1871635.125</v>
      </c>
      <c r="H26" s="7">
        <f t="shared" si="40"/>
        <v>1871636.875</v>
      </c>
      <c r="I26" s="7">
        <v>976297</v>
      </c>
      <c r="J26" s="6">
        <f t="shared" si="41"/>
        <v>33</v>
      </c>
      <c r="K26" s="6">
        <f t="shared" si="41"/>
        <v>14</v>
      </c>
      <c r="L26" s="6">
        <f t="shared" si="41"/>
        <v>18</v>
      </c>
      <c r="M26" s="7">
        <f t="shared" si="42"/>
        <v>31</v>
      </c>
      <c r="N26" s="5">
        <f t="shared" si="24"/>
        <v>33.055</v>
      </c>
      <c r="O26" s="3">
        <f t="shared" si="43"/>
        <v>18</v>
      </c>
      <c r="P26" s="5">
        <f t="shared" si="44"/>
        <v>15.055</v>
      </c>
      <c r="Q26" s="5">
        <f t="shared" si="45"/>
        <v>1.75</v>
      </c>
      <c r="R26" s="20">
        <f t="shared" si="28"/>
        <v>200.33333333333334</v>
      </c>
      <c r="S26" s="6">
        <f t="shared" si="46"/>
        <v>65</v>
      </c>
      <c r="T26" s="7">
        <f t="shared" si="47"/>
        <v>135.33333333333334</v>
      </c>
      <c r="U26" s="7">
        <f t="shared" si="48"/>
        <v>528.88</v>
      </c>
      <c r="V26" s="6">
        <f t="shared" si="48"/>
        <v>263</v>
      </c>
      <c r="W26" s="7">
        <f t="shared" si="49"/>
        <v>265.88</v>
      </c>
      <c r="X26" s="7">
        <f t="shared" si="50"/>
        <v>3205.3333333333339</v>
      </c>
      <c r="Y26" s="7">
        <f t="shared" si="50"/>
        <v>1282</v>
      </c>
      <c r="Z26" s="7">
        <f t="shared" si="51"/>
        <v>1923.3333333333339</v>
      </c>
      <c r="AA26" s="24">
        <f t="shared" si="52"/>
        <v>0.90260368120345091</v>
      </c>
      <c r="AB26" s="1"/>
    </row>
    <row r="27" spans="2:28" ht="18" x14ac:dyDescent="0.25">
      <c r="B27" s="3">
        <v>15</v>
      </c>
      <c r="C27" s="3">
        <f>C28+32</f>
        <v>149009</v>
      </c>
      <c r="D27" s="3">
        <f>D28+17</f>
        <v>1430477</v>
      </c>
      <c r="E27" s="3">
        <f>E28+16</f>
        <v>292141</v>
      </c>
      <c r="F27" s="8">
        <f t="shared" si="38"/>
        <v>1871627</v>
      </c>
      <c r="G27" s="22">
        <f t="shared" si="39"/>
        <v>1871570.625</v>
      </c>
      <c r="H27" s="7">
        <f t="shared" si="40"/>
        <v>1871572.75</v>
      </c>
      <c r="I27" s="7">
        <f t="shared" ref="I27" si="54">I28+32</f>
        <v>976266</v>
      </c>
      <c r="J27" s="6">
        <f t="shared" si="41"/>
        <v>32</v>
      </c>
      <c r="K27" s="6">
        <f t="shared" si="41"/>
        <v>17</v>
      </c>
      <c r="L27" s="6">
        <f t="shared" si="41"/>
        <v>16</v>
      </c>
      <c r="M27" s="7">
        <f t="shared" si="42"/>
        <v>32</v>
      </c>
      <c r="N27" s="5">
        <f t="shared" si="24"/>
        <v>33.055</v>
      </c>
      <c r="O27" s="3">
        <f t="shared" si="43"/>
        <v>16</v>
      </c>
      <c r="P27" s="5">
        <f t="shared" si="44"/>
        <v>17.055</v>
      </c>
      <c r="Q27" s="5">
        <f t="shared" si="45"/>
        <v>2.125</v>
      </c>
      <c r="R27" s="20">
        <f t="shared" si="28"/>
        <v>200.33333333333334</v>
      </c>
      <c r="S27" s="6">
        <f t="shared" si="46"/>
        <v>65</v>
      </c>
      <c r="T27" s="7">
        <f t="shared" si="47"/>
        <v>135.33333333333334</v>
      </c>
      <c r="U27" s="7">
        <f t="shared" si="48"/>
        <v>495.82500000000005</v>
      </c>
      <c r="V27" s="6">
        <f t="shared" si="48"/>
        <v>245</v>
      </c>
      <c r="W27" s="7">
        <f t="shared" si="49"/>
        <v>250.82500000000005</v>
      </c>
      <c r="X27" s="7">
        <f t="shared" si="50"/>
        <v>3005.0000000000005</v>
      </c>
      <c r="Y27" s="7">
        <f t="shared" si="50"/>
        <v>1217</v>
      </c>
      <c r="Z27" s="7">
        <f t="shared" si="51"/>
        <v>1788.0000000000005</v>
      </c>
      <c r="AA27" s="24">
        <f t="shared" si="52"/>
        <v>0.89717067604053891</v>
      </c>
      <c r="AB27" s="1"/>
    </row>
    <row r="28" spans="2:28" ht="18" x14ac:dyDescent="0.25">
      <c r="B28" s="3">
        <v>14</v>
      </c>
      <c r="C28" s="3">
        <f>C29+40</f>
        <v>148977</v>
      </c>
      <c r="D28" s="3">
        <f>D29+15</f>
        <v>1430460</v>
      </c>
      <c r="E28" s="3">
        <f>E29+14</f>
        <v>292125</v>
      </c>
      <c r="F28" s="8">
        <f>C28+D28+E28</f>
        <v>1871562</v>
      </c>
      <c r="G28" s="22">
        <f t="shared" si="39"/>
        <v>1871499.875</v>
      </c>
      <c r="H28" s="7">
        <f t="shared" si="40"/>
        <v>1871501.75</v>
      </c>
      <c r="I28" s="7">
        <f>I29+30</f>
        <v>976234</v>
      </c>
      <c r="J28" s="6">
        <f t="shared" si="41"/>
        <v>40</v>
      </c>
      <c r="K28" s="6">
        <f t="shared" ref="K28:L30" si="55">D28-D29</f>
        <v>15</v>
      </c>
      <c r="L28" s="6">
        <f t="shared" si="55"/>
        <v>14</v>
      </c>
      <c r="M28" s="7">
        <f t="shared" si="42"/>
        <v>30</v>
      </c>
      <c r="N28" s="5">
        <f t="shared" si="24"/>
        <v>33.055</v>
      </c>
      <c r="O28" s="3">
        <f t="shared" si="43"/>
        <v>14</v>
      </c>
      <c r="P28" s="5">
        <f t="shared" si="44"/>
        <v>19.055</v>
      </c>
      <c r="Q28" s="5">
        <f t="shared" si="45"/>
        <v>1.875</v>
      </c>
      <c r="R28" s="20">
        <f t="shared" si="28"/>
        <v>200.33333333333334</v>
      </c>
      <c r="S28" s="6">
        <f t="shared" si="46"/>
        <v>69</v>
      </c>
      <c r="T28" s="7">
        <f t="shared" si="47"/>
        <v>131.33333333333334</v>
      </c>
      <c r="U28" s="7">
        <f t="shared" si="48"/>
        <v>462.77000000000004</v>
      </c>
      <c r="V28" s="6">
        <f t="shared" si="48"/>
        <v>229</v>
      </c>
      <c r="W28" s="7">
        <f t="shared" si="49"/>
        <v>233.77000000000004</v>
      </c>
      <c r="X28" s="7">
        <f t="shared" si="50"/>
        <v>2804.666666666667</v>
      </c>
      <c r="Y28" s="7">
        <f t="shared" si="50"/>
        <v>1152</v>
      </c>
      <c r="Z28" s="7">
        <f t="shared" si="51"/>
        <v>1652.666666666667</v>
      </c>
      <c r="AA28" s="24">
        <f t="shared" si="52"/>
        <v>0.91707005625323501</v>
      </c>
      <c r="AB28" s="1"/>
    </row>
    <row r="29" spans="2:28" ht="18" x14ac:dyDescent="0.25">
      <c r="B29" s="3">
        <v>13</v>
      </c>
      <c r="C29" s="3">
        <v>148937</v>
      </c>
      <c r="D29" s="3">
        <v>1430445</v>
      </c>
      <c r="E29" s="3">
        <v>292111</v>
      </c>
      <c r="F29" s="8">
        <f>C29+D29+E29</f>
        <v>1871493</v>
      </c>
      <c r="G29" s="22">
        <f t="shared" si="39"/>
        <v>1871445.125</v>
      </c>
      <c r="H29" s="7">
        <f t="shared" si="40"/>
        <v>1871446.5</v>
      </c>
      <c r="I29" s="7">
        <f>I30+29</f>
        <v>976204</v>
      </c>
      <c r="J29" s="6">
        <f t="shared" si="41"/>
        <v>34</v>
      </c>
      <c r="K29" s="6">
        <f t="shared" si="55"/>
        <v>11</v>
      </c>
      <c r="L29" s="6">
        <f t="shared" si="55"/>
        <v>10</v>
      </c>
      <c r="M29" s="6">
        <f t="shared" si="42"/>
        <v>29</v>
      </c>
      <c r="N29" s="5">
        <f t="shared" si="24"/>
        <v>33.055</v>
      </c>
      <c r="O29" s="3">
        <f t="shared" si="43"/>
        <v>10</v>
      </c>
      <c r="P29" s="5">
        <f t="shared" si="44"/>
        <v>23.055</v>
      </c>
      <c r="Q29" s="5">
        <f t="shared" si="45"/>
        <v>1.375</v>
      </c>
      <c r="R29" s="20">
        <f t="shared" si="28"/>
        <v>200.33333333333334</v>
      </c>
      <c r="S29" s="6">
        <f t="shared" si="46"/>
        <v>55</v>
      </c>
      <c r="T29" s="7">
        <f t="shared" si="47"/>
        <v>145.33333333333334</v>
      </c>
      <c r="U29" s="7">
        <f t="shared" si="48"/>
        <v>429.71500000000003</v>
      </c>
      <c r="V29" s="6">
        <f t="shared" si="48"/>
        <v>215</v>
      </c>
      <c r="W29" s="7">
        <f t="shared" si="49"/>
        <v>214.71500000000003</v>
      </c>
      <c r="X29" s="7">
        <f t="shared" si="50"/>
        <v>2604.3333333333335</v>
      </c>
      <c r="Y29" s="7">
        <f t="shared" si="50"/>
        <v>1083</v>
      </c>
      <c r="Z29" s="7">
        <f t="shared" si="51"/>
        <v>1521.3333333333335</v>
      </c>
      <c r="AA29" s="24">
        <f t="shared" si="52"/>
        <v>0.88456910048529724</v>
      </c>
      <c r="AB29" s="1"/>
    </row>
    <row r="30" spans="2:28" ht="18" x14ac:dyDescent="0.25">
      <c r="B30" s="3">
        <v>12</v>
      </c>
      <c r="C30" s="3">
        <f>C31+30</f>
        <v>148903</v>
      </c>
      <c r="D30" s="3">
        <f>D31+16</f>
        <v>1430434</v>
      </c>
      <c r="E30" s="3">
        <f>E31+11</f>
        <v>292101</v>
      </c>
      <c r="F30" s="8">
        <f>C30+D30+E30</f>
        <v>1871438</v>
      </c>
      <c r="G30" s="22">
        <f t="shared" si="39"/>
        <v>1871391.75</v>
      </c>
      <c r="H30" s="7">
        <f t="shared" si="40"/>
        <v>1871393.75</v>
      </c>
      <c r="I30" s="7">
        <f>I31+32</f>
        <v>976175</v>
      </c>
      <c r="J30" s="6">
        <f t="shared" si="41"/>
        <v>30</v>
      </c>
      <c r="K30" s="6">
        <f t="shared" si="55"/>
        <v>16</v>
      </c>
      <c r="L30" s="6">
        <f t="shared" si="55"/>
        <v>11</v>
      </c>
      <c r="M30" s="6">
        <f t="shared" si="42"/>
        <v>32</v>
      </c>
      <c r="N30" s="5">
        <f t="shared" si="24"/>
        <v>33.055</v>
      </c>
      <c r="O30" s="3">
        <f t="shared" si="43"/>
        <v>11</v>
      </c>
      <c r="P30" s="5">
        <f t="shared" si="44"/>
        <v>22.055</v>
      </c>
      <c r="Q30" s="5">
        <f t="shared" si="45"/>
        <v>2</v>
      </c>
      <c r="R30" s="20">
        <f t="shared" si="28"/>
        <v>200.33333333333334</v>
      </c>
      <c r="S30" s="6">
        <f t="shared" si="46"/>
        <v>57</v>
      </c>
      <c r="T30" s="7">
        <f t="shared" si="47"/>
        <v>143.33333333333334</v>
      </c>
      <c r="U30" s="7">
        <f t="shared" si="48"/>
        <v>396.66</v>
      </c>
      <c r="V30" s="6">
        <f t="shared" si="48"/>
        <v>205</v>
      </c>
      <c r="W30" s="7">
        <f t="shared" si="49"/>
        <v>191.66000000000003</v>
      </c>
      <c r="X30" s="7">
        <f t="shared" si="50"/>
        <v>2404</v>
      </c>
      <c r="Y30" s="7">
        <f t="shared" si="50"/>
        <v>1028</v>
      </c>
      <c r="Z30" s="7">
        <f t="shared" si="51"/>
        <v>1376</v>
      </c>
      <c r="AA30" s="24">
        <f t="shared" si="52"/>
        <v>0.87198378538548127</v>
      </c>
      <c r="AB30" s="1"/>
    </row>
    <row r="31" spans="2:28" ht="18" x14ac:dyDescent="0.25">
      <c r="B31" s="3">
        <v>11</v>
      </c>
      <c r="C31" s="3">
        <v>148873</v>
      </c>
      <c r="D31" s="3">
        <v>1430418</v>
      </c>
      <c r="E31" s="3">
        <v>292090</v>
      </c>
      <c r="F31" s="8">
        <f t="shared" si="38"/>
        <v>1871381</v>
      </c>
      <c r="G31" s="22">
        <f t="shared" si="39"/>
        <v>1871304.5</v>
      </c>
      <c r="H31" s="7">
        <f t="shared" si="40"/>
        <v>1871308</v>
      </c>
      <c r="I31" s="7">
        <v>976143</v>
      </c>
      <c r="J31" s="6">
        <f t="shared" si="41"/>
        <v>43</v>
      </c>
      <c r="K31" s="6">
        <f t="shared" si="41"/>
        <v>28</v>
      </c>
      <c r="L31" s="6">
        <f t="shared" si="41"/>
        <v>15</v>
      </c>
      <c r="M31" s="6">
        <f t="shared" si="42"/>
        <v>34</v>
      </c>
      <c r="N31" s="5">
        <f t="shared" si="24"/>
        <v>33.055</v>
      </c>
      <c r="O31" s="3">
        <f t="shared" si="43"/>
        <v>15</v>
      </c>
      <c r="P31" s="5">
        <f t="shared" si="44"/>
        <v>18.055</v>
      </c>
      <c r="Q31" s="5">
        <f t="shared" si="45"/>
        <v>3.5</v>
      </c>
      <c r="R31" s="20">
        <f t="shared" si="28"/>
        <v>200.33333333333334</v>
      </c>
      <c r="S31" s="6">
        <f t="shared" si="46"/>
        <v>86</v>
      </c>
      <c r="T31" s="7">
        <f t="shared" si="47"/>
        <v>114.33333333333334</v>
      </c>
      <c r="U31" s="7">
        <f t="shared" si="48"/>
        <v>363.60500000000002</v>
      </c>
      <c r="V31" s="6">
        <f t="shared" si="48"/>
        <v>194</v>
      </c>
      <c r="W31" s="7">
        <f t="shared" si="49"/>
        <v>169.60500000000002</v>
      </c>
      <c r="X31" s="7">
        <f t="shared" si="50"/>
        <v>2203.6666666666665</v>
      </c>
      <c r="Y31" s="7">
        <f t="shared" si="50"/>
        <v>971</v>
      </c>
      <c r="Z31" s="7">
        <f t="shared" si="51"/>
        <v>1232.6666666666665</v>
      </c>
      <c r="AA31" s="24">
        <f t="shared" si="52"/>
        <v>0.9299607201739315</v>
      </c>
      <c r="AB31" s="1"/>
    </row>
    <row r="32" spans="2:28" ht="18" x14ac:dyDescent="0.25">
      <c r="B32" s="3">
        <v>10</v>
      </c>
      <c r="C32" s="3">
        <v>148830</v>
      </c>
      <c r="D32" s="3">
        <v>1430390</v>
      </c>
      <c r="E32" s="3">
        <v>292075</v>
      </c>
      <c r="F32" s="8">
        <f t="shared" si="38"/>
        <v>1871295</v>
      </c>
      <c r="G32" s="22">
        <f t="shared" si="39"/>
        <v>1871227.875</v>
      </c>
      <c r="H32" s="7">
        <f t="shared" si="40"/>
        <v>1871231</v>
      </c>
      <c r="I32" s="7">
        <v>976109</v>
      </c>
      <c r="J32" s="6">
        <f t="shared" si="41"/>
        <v>33</v>
      </c>
      <c r="K32" s="6">
        <f t="shared" si="41"/>
        <v>25</v>
      </c>
      <c r="L32" s="6">
        <f t="shared" si="41"/>
        <v>18</v>
      </c>
      <c r="M32" s="6">
        <f t="shared" si="42"/>
        <v>33</v>
      </c>
      <c r="N32" s="5">
        <f t="shared" si="24"/>
        <v>33.055</v>
      </c>
      <c r="O32" s="3">
        <f t="shared" si="43"/>
        <v>18</v>
      </c>
      <c r="P32" s="5">
        <f t="shared" si="44"/>
        <v>15.055</v>
      </c>
      <c r="Q32" s="5">
        <f t="shared" si="45"/>
        <v>3.125</v>
      </c>
      <c r="R32" s="20">
        <f t="shared" si="28"/>
        <v>200.33333333333334</v>
      </c>
      <c r="S32" s="6">
        <f t="shared" si="46"/>
        <v>76</v>
      </c>
      <c r="T32" s="7">
        <f t="shared" si="47"/>
        <v>124.33333333333334</v>
      </c>
      <c r="U32" s="7">
        <f t="shared" si="48"/>
        <v>330.55</v>
      </c>
      <c r="V32" s="6">
        <f t="shared" si="48"/>
        <v>179</v>
      </c>
      <c r="W32" s="7">
        <f t="shared" si="49"/>
        <v>151.55000000000001</v>
      </c>
      <c r="X32" s="7">
        <f t="shared" si="50"/>
        <v>2003.333333333333</v>
      </c>
      <c r="Y32" s="7">
        <f t="shared" si="50"/>
        <v>885</v>
      </c>
      <c r="Z32" s="7">
        <f t="shared" si="51"/>
        <v>1118.333333333333</v>
      </c>
      <c r="AA32" s="24">
        <f t="shared" si="52"/>
        <v>0.91726182978719839</v>
      </c>
      <c r="AB32" s="1"/>
    </row>
    <row r="33" spans="2:28" ht="18" x14ac:dyDescent="0.25">
      <c r="B33" s="3">
        <v>9</v>
      </c>
      <c r="C33" s="3">
        <v>148797</v>
      </c>
      <c r="D33" s="3">
        <v>1430365</v>
      </c>
      <c r="E33" s="3">
        <v>292057</v>
      </c>
      <c r="F33" s="8">
        <f t="shared" si="38"/>
        <v>1871219</v>
      </c>
      <c r="G33" s="22">
        <f t="shared" si="39"/>
        <v>1871157.375</v>
      </c>
      <c r="H33" s="7">
        <f t="shared" si="40"/>
        <v>1871160.125</v>
      </c>
      <c r="I33" s="7">
        <v>976076</v>
      </c>
      <c r="J33" s="6">
        <f t="shared" si="41"/>
        <v>29</v>
      </c>
      <c r="K33" s="6">
        <f t="shared" si="41"/>
        <v>22</v>
      </c>
      <c r="L33" s="6">
        <f t="shared" si="41"/>
        <v>20</v>
      </c>
      <c r="M33" s="6">
        <f t="shared" si="42"/>
        <v>25</v>
      </c>
      <c r="N33" s="5">
        <f t="shared" si="24"/>
        <v>33.055</v>
      </c>
      <c r="O33" s="3">
        <f t="shared" si="43"/>
        <v>20</v>
      </c>
      <c r="P33" s="5">
        <f t="shared" si="44"/>
        <v>13.055</v>
      </c>
      <c r="Q33" s="5">
        <f t="shared" si="45"/>
        <v>2.75</v>
      </c>
      <c r="R33" s="20">
        <f t="shared" si="28"/>
        <v>200.33333333333334</v>
      </c>
      <c r="S33" s="6">
        <f t="shared" si="46"/>
        <v>71</v>
      </c>
      <c r="T33" s="7">
        <f t="shared" si="47"/>
        <v>129.33333333333334</v>
      </c>
      <c r="U33" s="7">
        <f t="shared" si="48"/>
        <v>297.495</v>
      </c>
      <c r="V33" s="6">
        <f t="shared" si="48"/>
        <v>161</v>
      </c>
      <c r="W33" s="7">
        <f t="shared" si="49"/>
        <v>136.495</v>
      </c>
      <c r="X33" s="7">
        <f t="shared" si="50"/>
        <v>1802.9999999999998</v>
      </c>
      <c r="Y33" s="7">
        <f t="shared" si="50"/>
        <v>809</v>
      </c>
      <c r="Z33" s="7">
        <f t="shared" si="51"/>
        <v>993.99999999999977</v>
      </c>
      <c r="AA33" s="24">
        <f t="shared" si="52"/>
        <v>0.943235339163908</v>
      </c>
      <c r="AB33" s="1"/>
    </row>
    <row r="34" spans="2:28" ht="18" x14ac:dyDescent="0.25">
      <c r="B34" s="3">
        <v>8</v>
      </c>
      <c r="C34" s="3">
        <f>C35+37</f>
        <v>148768</v>
      </c>
      <c r="D34" s="3">
        <f>D35+24</f>
        <v>1430343</v>
      </c>
      <c r="E34" s="3">
        <f>E35+14</f>
        <v>292037</v>
      </c>
      <c r="F34" s="8">
        <f t="shared" si="38"/>
        <v>1871148</v>
      </c>
      <c r="G34" s="22">
        <f t="shared" si="39"/>
        <v>1871082.25</v>
      </c>
      <c r="H34" s="7">
        <f t="shared" si="40"/>
        <v>1871085.25</v>
      </c>
      <c r="I34" s="7">
        <f>I35+30</f>
        <v>976051</v>
      </c>
      <c r="J34" s="6">
        <f t="shared" si="41"/>
        <v>37</v>
      </c>
      <c r="K34" s="6">
        <f t="shared" si="41"/>
        <v>24</v>
      </c>
      <c r="L34" s="6">
        <f t="shared" si="41"/>
        <v>14</v>
      </c>
      <c r="M34" s="6">
        <f t="shared" si="42"/>
        <v>30</v>
      </c>
      <c r="N34" s="5">
        <f t="shared" si="24"/>
        <v>33.055</v>
      </c>
      <c r="O34" s="3">
        <f t="shared" si="43"/>
        <v>14</v>
      </c>
      <c r="P34" s="5">
        <f t="shared" si="44"/>
        <v>19.055</v>
      </c>
      <c r="Q34" s="5">
        <f t="shared" si="45"/>
        <v>3</v>
      </c>
      <c r="R34" s="20">
        <f t="shared" si="28"/>
        <v>200.33333333333334</v>
      </c>
      <c r="S34" s="6">
        <f t="shared" si="46"/>
        <v>75</v>
      </c>
      <c r="T34" s="7">
        <f t="shared" si="47"/>
        <v>125.33333333333334</v>
      </c>
      <c r="U34" s="7">
        <f t="shared" si="48"/>
        <v>264.44</v>
      </c>
      <c r="V34" s="6">
        <f t="shared" si="48"/>
        <v>141</v>
      </c>
      <c r="W34" s="7">
        <f t="shared" si="49"/>
        <v>123.44</v>
      </c>
      <c r="X34" s="7">
        <f t="shared" si="50"/>
        <v>1602.6666666666665</v>
      </c>
      <c r="Y34" s="7">
        <f t="shared" si="50"/>
        <v>738</v>
      </c>
      <c r="Z34" s="7">
        <f t="shared" si="51"/>
        <v>864.66666666666652</v>
      </c>
      <c r="AA34" s="24">
        <f t="shared" si="52"/>
        <v>0.9284766908852593</v>
      </c>
      <c r="AB34" s="1"/>
    </row>
    <row r="35" spans="2:28" ht="18" x14ac:dyDescent="0.25">
      <c r="B35" s="3">
        <v>7</v>
      </c>
      <c r="C35" s="3">
        <f>C36+30</f>
        <v>148731</v>
      </c>
      <c r="D35" s="3">
        <f>D36+27</f>
        <v>1430319</v>
      </c>
      <c r="E35" s="3">
        <f>E36+17</f>
        <v>292023</v>
      </c>
      <c r="F35" s="8">
        <f t="shared" si="38"/>
        <v>1871073</v>
      </c>
      <c r="G35" s="22">
        <f t="shared" si="39"/>
        <v>1871008.5</v>
      </c>
      <c r="H35" s="7">
        <f t="shared" si="40"/>
        <v>1871011.875</v>
      </c>
      <c r="I35" s="7">
        <f>I36+39</f>
        <v>976021</v>
      </c>
      <c r="J35" s="6">
        <f t="shared" si="41"/>
        <v>30</v>
      </c>
      <c r="K35" s="6">
        <f t="shared" si="41"/>
        <v>27</v>
      </c>
      <c r="L35" s="6">
        <f t="shared" si="41"/>
        <v>17</v>
      </c>
      <c r="M35" s="6">
        <f t="shared" si="42"/>
        <v>39</v>
      </c>
      <c r="N35" s="5">
        <f t="shared" si="24"/>
        <v>33.055</v>
      </c>
      <c r="O35" s="3">
        <f t="shared" si="43"/>
        <v>17</v>
      </c>
      <c r="P35" s="5">
        <f t="shared" si="44"/>
        <v>16.055</v>
      </c>
      <c r="Q35" s="5">
        <f t="shared" si="45"/>
        <v>3.375</v>
      </c>
      <c r="R35" s="20">
        <f t="shared" si="28"/>
        <v>200.33333333333334</v>
      </c>
      <c r="S35" s="6">
        <f t="shared" si="46"/>
        <v>74</v>
      </c>
      <c r="T35" s="7">
        <f t="shared" si="47"/>
        <v>126.33333333333334</v>
      </c>
      <c r="U35" s="7">
        <f t="shared" si="48"/>
        <v>231.38500000000002</v>
      </c>
      <c r="V35" s="6">
        <f t="shared" si="48"/>
        <v>127</v>
      </c>
      <c r="W35" s="7">
        <f t="shared" si="49"/>
        <v>104.38500000000002</v>
      </c>
      <c r="X35" s="7">
        <f t="shared" si="50"/>
        <v>1402.3333333333333</v>
      </c>
      <c r="Y35" s="7">
        <f t="shared" si="50"/>
        <v>663</v>
      </c>
      <c r="Z35" s="7">
        <f t="shared" si="51"/>
        <v>739.33333333333326</v>
      </c>
      <c r="AA35" s="24">
        <f t="shared" si="52"/>
        <v>0.88465876095733864</v>
      </c>
      <c r="AB35" s="1"/>
    </row>
    <row r="36" spans="2:28" ht="18" x14ac:dyDescent="0.25">
      <c r="B36" s="3">
        <v>6</v>
      </c>
      <c r="C36" s="3">
        <v>148701</v>
      </c>
      <c r="D36" s="3">
        <v>1430292</v>
      </c>
      <c r="E36" s="3">
        <v>292006</v>
      </c>
      <c r="F36" s="8">
        <f t="shared" si="38"/>
        <v>1870999</v>
      </c>
      <c r="G36" s="22">
        <f t="shared" si="39"/>
        <v>1870936.75</v>
      </c>
      <c r="H36" s="7">
        <f t="shared" si="40"/>
        <v>1870940</v>
      </c>
      <c r="I36" s="7">
        <v>975982</v>
      </c>
      <c r="J36" s="6">
        <f t="shared" si="41"/>
        <v>35</v>
      </c>
      <c r="K36" s="6">
        <f t="shared" si="41"/>
        <v>26</v>
      </c>
      <c r="L36" s="6">
        <f t="shared" si="41"/>
        <v>15</v>
      </c>
      <c r="M36" s="6">
        <f t="shared" si="42"/>
        <v>53</v>
      </c>
      <c r="N36" s="5">
        <f t="shared" si="24"/>
        <v>33.055</v>
      </c>
      <c r="O36" s="3">
        <f t="shared" si="43"/>
        <v>15</v>
      </c>
      <c r="P36" s="5">
        <f t="shared" si="44"/>
        <v>18.055</v>
      </c>
      <c r="Q36" s="5">
        <f t="shared" si="45"/>
        <v>3.25</v>
      </c>
      <c r="R36" s="20">
        <f t="shared" si="28"/>
        <v>200.33333333333334</v>
      </c>
      <c r="S36" s="6">
        <f t="shared" si="46"/>
        <v>76</v>
      </c>
      <c r="T36" s="7">
        <f t="shared" si="47"/>
        <v>124.33333333333334</v>
      </c>
      <c r="U36" s="7">
        <f t="shared" si="48"/>
        <v>198.33</v>
      </c>
      <c r="V36" s="6">
        <f t="shared" si="48"/>
        <v>110</v>
      </c>
      <c r="W36" s="7">
        <f t="shared" si="49"/>
        <v>88.330000000000013</v>
      </c>
      <c r="X36" s="7">
        <f t="shared" si="50"/>
        <v>1202</v>
      </c>
      <c r="Y36" s="7">
        <f t="shared" si="50"/>
        <v>589</v>
      </c>
      <c r="Z36" s="7">
        <f t="shared" si="51"/>
        <v>613</v>
      </c>
      <c r="AA36" s="24">
        <f t="shared" si="52"/>
        <v>0.82024471823160039</v>
      </c>
      <c r="AB36" s="1"/>
    </row>
    <row r="37" spans="2:28" ht="18" x14ac:dyDescent="0.25">
      <c r="B37" s="3">
        <v>5</v>
      </c>
      <c r="C37" s="5">
        <f>C38+40</f>
        <v>148666</v>
      </c>
      <c r="D37" s="5">
        <f>D38+49</f>
        <v>1430266</v>
      </c>
      <c r="E37" s="5">
        <f>E38+21</f>
        <v>291991</v>
      </c>
      <c r="F37" s="8">
        <f t="shared" si="38"/>
        <v>1870923</v>
      </c>
      <c r="G37" s="22">
        <f t="shared" si="39"/>
        <v>1870823.75</v>
      </c>
      <c r="H37" s="7">
        <f t="shared" si="40"/>
        <v>1870829.875</v>
      </c>
      <c r="I37" s="7">
        <f>I38+37</f>
        <v>975929</v>
      </c>
      <c r="J37" s="6">
        <f t="shared" si="41"/>
        <v>40</v>
      </c>
      <c r="K37" s="6">
        <f t="shared" si="41"/>
        <v>49</v>
      </c>
      <c r="L37" s="6">
        <f t="shared" si="41"/>
        <v>21</v>
      </c>
      <c r="M37" s="6">
        <f t="shared" si="42"/>
        <v>37</v>
      </c>
      <c r="N37" s="5">
        <f t="shared" si="24"/>
        <v>33.055</v>
      </c>
      <c r="O37" s="3">
        <f t="shared" si="43"/>
        <v>21</v>
      </c>
      <c r="P37" s="5">
        <f t="shared" si="44"/>
        <v>12.055</v>
      </c>
      <c r="Q37" s="5">
        <f t="shared" si="45"/>
        <v>6.125</v>
      </c>
      <c r="R37" s="20">
        <f t="shared" si="28"/>
        <v>200.33333333333334</v>
      </c>
      <c r="S37" s="6">
        <f t="shared" si="46"/>
        <v>110</v>
      </c>
      <c r="T37" s="7">
        <f t="shared" si="47"/>
        <v>90.333333333333343</v>
      </c>
      <c r="U37" s="7">
        <f t="shared" si="48"/>
        <v>165.27500000000001</v>
      </c>
      <c r="V37" s="6">
        <f t="shared" si="48"/>
        <v>95</v>
      </c>
      <c r="W37" s="7">
        <f t="shared" si="49"/>
        <v>70.275000000000006</v>
      </c>
      <c r="X37" s="7">
        <f t="shared" si="50"/>
        <v>1001.6666666666667</v>
      </c>
      <c r="Y37" s="7">
        <f t="shared" si="50"/>
        <v>513</v>
      </c>
      <c r="Z37" s="7">
        <f t="shared" si="51"/>
        <v>488.66666666666674</v>
      </c>
      <c r="AA37" s="24">
        <f t="shared" si="52"/>
        <v>0.94781812347567629</v>
      </c>
      <c r="AB37" s="1"/>
    </row>
    <row r="38" spans="2:28" ht="18" x14ac:dyDescent="0.25">
      <c r="B38" s="3">
        <v>4</v>
      </c>
      <c r="C38" s="5">
        <v>148626</v>
      </c>
      <c r="D38" s="5">
        <v>1430217</v>
      </c>
      <c r="E38" s="5">
        <v>291970</v>
      </c>
      <c r="F38" s="9">
        <f>C38+D38+E38</f>
        <v>1870813</v>
      </c>
      <c r="G38" s="22">
        <f t="shared" si="39"/>
        <v>1870740.75</v>
      </c>
      <c r="H38" s="7">
        <f t="shared" si="40"/>
        <v>1870745.75</v>
      </c>
      <c r="I38" s="7">
        <v>975892</v>
      </c>
      <c r="J38" s="6">
        <f t="shared" si="41"/>
        <v>31</v>
      </c>
      <c r="K38" s="6">
        <f t="shared" si="41"/>
        <v>40</v>
      </c>
      <c r="L38" s="6">
        <f t="shared" si="41"/>
        <v>15</v>
      </c>
      <c r="M38" s="6">
        <f t="shared" si="42"/>
        <v>22</v>
      </c>
      <c r="N38" s="5">
        <f t="shared" si="24"/>
        <v>33.055</v>
      </c>
      <c r="O38" s="3">
        <f t="shared" si="43"/>
        <v>15</v>
      </c>
      <c r="P38" s="5">
        <f t="shared" si="44"/>
        <v>18.055</v>
      </c>
      <c r="Q38" s="5">
        <f t="shared" si="45"/>
        <v>5</v>
      </c>
      <c r="R38" s="20">
        <f t="shared" si="28"/>
        <v>200.33333333333334</v>
      </c>
      <c r="S38" s="6">
        <f t="shared" si="46"/>
        <v>86</v>
      </c>
      <c r="T38" s="7">
        <f t="shared" si="47"/>
        <v>114.33333333333334</v>
      </c>
      <c r="U38" s="7">
        <f t="shared" si="48"/>
        <v>132.22</v>
      </c>
      <c r="V38" s="6">
        <f t="shared" si="48"/>
        <v>74</v>
      </c>
      <c r="W38" s="7">
        <f t="shared" si="49"/>
        <v>58.22</v>
      </c>
      <c r="X38" s="7">
        <f t="shared" si="50"/>
        <v>801.33333333333337</v>
      </c>
      <c r="Y38" s="7">
        <f t="shared" si="50"/>
        <v>403</v>
      </c>
      <c r="Z38" s="7">
        <f t="shared" si="51"/>
        <v>398.33333333333337</v>
      </c>
      <c r="AA38" s="24">
        <f t="shared" si="52"/>
        <v>0.96880270447756578</v>
      </c>
      <c r="AB38" s="1"/>
    </row>
    <row r="39" spans="2:28" ht="18" x14ac:dyDescent="0.25">
      <c r="B39" s="3">
        <v>3</v>
      </c>
      <c r="C39" s="5">
        <v>148595</v>
      </c>
      <c r="D39" s="5">
        <v>1430177</v>
      </c>
      <c r="E39" s="5">
        <v>291955</v>
      </c>
      <c r="F39" s="8">
        <f t="shared" si="38"/>
        <v>1870727</v>
      </c>
      <c r="G39" s="22">
        <f t="shared" si="39"/>
        <v>1870630.125</v>
      </c>
      <c r="H39" s="7">
        <f t="shared" si="40"/>
        <v>1870636</v>
      </c>
      <c r="I39" s="7">
        <v>975870</v>
      </c>
      <c r="J39" s="6">
        <f t="shared" si="41"/>
        <v>41</v>
      </c>
      <c r="K39" s="6">
        <f t="shared" si="41"/>
        <v>47</v>
      </c>
      <c r="L39" s="6">
        <f t="shared" si="41"/>
        <v>22</v>
      </c>
      <c r="M39" s="6">
        <f t="shared" si="42"/>
        <v>45</v>
      </c>
      <c r="N39" s="5">
        <f t="shared" si="24"/>
        <v>33.055</v>
      </c>
      <c r="O39" s="3">
        <f t="shared" si="43"/>
        <v>22</v>
      </c>
      <c r="P39" s="5">
        <f t="shared" si="44"/>
        <v>11.055</v>
      </c>
      <c r="Q39" s="5">
        <f t="shared" si="45"/>
        <v>5.875</v>
      </c>
      <c r="R39" s="20">
        <f>R40</f>
        <v>200.33333333333334</v>
      </c>
      <c r="S39" s="6">
        <f t="shared" si="46"/>
        <v>110</v>
      </c>
      <c r="T39" s="7">
        <f t="shared" si="47"/>
        <v>90.333333333333343</v>
      </c>
      <c r="U39" s="7">
        <f t="shared" si="48"/>
        <v>99.164999999999992</v>
      </c>
      <c r="V39" s="6">
        <f t="shared" si="48"/>
        <v>59</v>
      </c>
      <c r="W39" s="7">
        <f t="shared" si="49"/>
        <v>40.164999999999992</v>
      </c>
      <c r="X39" s="7">
        <f t="shared" si="50"/>
        <v>601</v>
      </c>
      <c r="Y39" s="7">
        <f t="shared" si="50"/>
        <v>317</v>
      </c>
      <c r="Z39" s="7">
        <f t="shared" si="51"/>
        <v>284</v>
      </c>
      <c r="AA39" s="24">
        <f t="shared" si="52"/>
        <v>0.92554695620567673</v>
      </c>
      <c r="AB39" s="1"/>
    </row>
    <row r="40" spans="2:28" ht="18" x14ac:dyDescent="0.25">
      <c r="B40" s="3">
        <v>2</v>
      </c>
      <c r="C40" s="7">
        <v>148554</v>
      </c>
      <c r="D40" s="7">
        <v>1430130</v>
      </c>
      <c r="E40" s="22">
        <v>291933</v>
      </c>
      <c r="F40" s="8">
        <f t="shared" si="38"/>
        <v>1870617</v>
      </c>
      <c r="G40" s="22">
        <f t="shared" si="39"/>
        <v>1870524.75</v>
      </c>
      <c r="H40" s="7">
        <f t="shared" si="40"/>
        <v>1870529.25</v>
      </c>
      <c r="I40" s="7">
        <v>975825</v>
      </c>
      <c r="J40" s="6">
        <f t="shared" si="41"/>
        <v>49</v>
      </c>
      <c r="K40" s="6">
        <f t="shared" si="41"/>
        <v>36</v>
      </c>
      <c r="L40" s="6">
        <f t="shared" si="41"/>
        <v>20</v>
      </c>
      <c r="M40" s="6">
        <f t="shared" si="42"/>
        <v>46</v>
      </c>
      <c r="N40" s="5">
        <f t="shared" si="24"/>
        <v>33.055</v>
      </c>
      <c r="O40" s="3">
        <f t="shared" si="43"/>
        <v>20</v>
      </c>
      <c r="P40" s="5">
        <f t="shared" si="44"/>
        <v>13.055</v>
      </c>
      <c r="Q40" s="5">
        <f t="shared" si="45"/>
        <v>4.5</v>
      </c>
      <c r="R40" s="20">
        <f>R41</f>
        <v>200.33333333333334</v>
      </c>
      <c r="S40" s="6">
        <f t="shared" si="46"/>
        <v>105</v>
      </c>
      <c r="T40" s="7">
        <f t="shared" si="47"/>
        <v>95.333333333333343</v>
      </c>
      <c r="U40" s="7">
        <f t="shared" si="48"/>
        <v>66.11</v>
      </c>
      <c r="V40" s="6">
        <f t="shared" si="48"/>
        <v>37</v>
      </c>
      <c r="W40" s="7">
        <f t="shared" si="49"/>
        <v>29.11</v>
      </c>
      <c r="X40" s="7">
        <f t="shared" si="50"/>
        <v>400.66666666666669</v>
      </c>
      <c r="Y40" s="7">
        <f t="shared" si="50"/>
        <v>207</v>
      </c>
      <c r="Z40" s="7">
        <f t="shared" si="51"/>
        <v>193.66666666666669</v>
      </c>
      <c r="AA40" s="24">
        <f t="shared" si="52"/>
        <v>0.91595701142841401</v>
      </c>
      <c r="AB40" s="1"/>
    </row>
    <row r="41" spans="2:28" ht="18.75" thickBot="1" x14ac:dyDescent="0.3">
      <c r="B41" s="3">
        <v>1</v>
      </c>
      <c r="C41" s="7">
        <v>148505</v>
      </c>
      <c r="D41" s="7">
        <v>1430094</v>
      </c>
      <c r="E41" s="22">
        <v>291913</v>
      </c>
      <c r="F41" s="8">
        <f t="shared" si="38"/>
        <v>1870512</v>
      </c>
      <c r="G41" s="22">
        <f>(C42+D42+E42)+((S42/24)*3)</f>
        <v>1870410</v>
      </c>
      <c r="H41" s="7">
        <f>G41+((K41/12)*1.5)</f>
        <v>1870414.625</v>
      </c>
      <c r="I41" s="7">
        <v>975779</v>
      </c>
      <c r="J41" s="6">
        <f t="shared" si="41"/>
        <v>48</v>
      </c>
      <c r="K41" s="6">
        <f t="shared" si="41"/>
        <v>37</v>
      </c>
      <c r="L41" s="6">
        <f t="shared" si="41"/>
        <v>17</v>
      </c>
      <c r="M41" s="6">
        <f t="shared" si="42"/>
        <v>58</v>
      </c>
      <c r="N41" s="43">
        <f>O6/30</f>
        <v>33.055</v>
      </c>
      <c r="O41" s="3">
        <f t="shared" si="43"/>
        <v>17</v>
      </c>
      <c r="P41" s="5">
        <f t="shared" si="44"/>
        <v>16.055</v>
      </c>
      <c r="Q41" s="5">
        <f t="shared" si="45"/>
        <v>4.625</v>
      </c>
      <c r="R41" s="47">
        <f>S6/30</f>
        <v>200.33333333333334</v>
      </c>
      <c r="S41" s="6">
        <f t="shared" si="46"/>
        <v>102</v>
      </c>
      <c r="T41" s="7">
        <f t="shared" si="47"/>
        <v>98.333333333333343</v>
      </c>
      <c r="U41" s="7">
        <f>N41</f>
        <v>33.055</v>
      </c>
      <c r="V41" s="6">
        <f>O41</f>
        <v>17</v>
      </c>
      <c r="W41" s="7">
        <f t="shared" si="49"/>
        <v>16.055</v>
      </c>
      <c r="X41" s="7">
        <f>R41</f>
        <v>200.33333333333334</v>
      </c>
      <c r="Y41" s="7">
        <f>S41</f>
        <v>102</v>
      </c>
      <c r="Z41" s="7">
        <f t="shared" si="51"/>
        <v>98.333333333333343</v>
      </c>
      <c r="AA41" s="24">
        <f t="shared" si="52"/>
        <v>0.8692901189279536</v>
      </c>
      <c r="AB41" s="1"/>
    </row>
    <row r="42" spans="2:28" ht="54.75" thickBot="1" x14ac:dyDescent="0.3">
      <c r="B42" s="33" t="s">
        <v>13</v>
      </c>
      <c r="C42" s="7">
        <v>148457</v>
      </c>
      <c r="D42" s="7">
        <v>1430057</v>
      </c>
      <c r="E42" s="7">
        <v>291896</v>
      </c>
      <c r="F42" s="54">
        <v>1870410</v>
      </c>
      <c r="G42" s="55">
        <v>1870290.625</v>
      </c>
      <c r="H42" s="20">
        <v>1870300.125</v>
      </c>
      <c r="I42" s="7">
        <v>975721</v>
      </c>
      <c r="J42" s="10"/>
      <c r="K42" s="10"/>
      <c r="L42" s="10"/>
      <c r="M42" s="46">
        <f>SUM(M12:M41)</f>
        <v>1095</v>
      </c>
      <c r="N42" s="10"/>
      <c r="O42" s="10"/>
      <c r="P42" s="10"/>
      <c r="Q42" s="10"/>
      <c r="R42" s="21"/>
      <c r="S42" s="10"/>
      <c r="T42" s="10"/>
      <c r="U42" s="10"/>
      <c r="V42" s="10"/>
      <c r="W42" s="10"/>
      <c r="X42" s="10"/>
      <c r="Y42" s="10"/>
      <c r="Z42" s="10"/>
      <c r="AA42" s="76">
        <f>AVERAGE(AA11:AA41)</f>
        <v>0.90847276345706196</v>
      </c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21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1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41"/>
      <c r="E45" s="10"/>
      <c r="F45" s="10"/>
      <c r="G45" s="10"/>
      <c r="H45" s="10" t="s">
        <v>40</v>
      </c>
      <c r="I45" s="10"/>
      <c r="J45" s="10"/>
      <c r="K45" s="10"/>
      <c r="L45" s="10"/>
      <c r="M45" s="10"/>
      <c r="N45" s="10"/>
      <c r="O45" s="10"/>
      <c r="P45" s="10"/>
      <c r="Q45" s="10"/>
      <c r="R45" s="21"/>
      <c r="S45" s="10"/>
      <c r="T45" s="10"/>
      <c r="U45" s="10"/>
      <c r="V45" s="10"/>
      <c r="W45" s="10"/>
      <c r="X45" s="10"/>
      <c r="Y45" s="10"/>
      <c r="Z45" s="10"/>
      <c r="AA45" s="10"/>
    </row>
    <row r="46" spans="2:28" x14ac:dyDescent="0.25">
      <c r="C46" s="35"/>
    </row>
    <row r="52" spans="26:27" ht="18" x14ac:dyDescent="0.25">
      <c r="Z52" s="10" t="s">
        <v>38</v>
      </c>
    </row>
    <row r="53" spans="26:27" ht="18" x14ac:dyDescent="0.25">
      <c r="Z53" s="10" t="s">
        <v>44</v>
      </c>
      <c r="AA53" s="10"/>
    </row>
    <row r="54" spans="26:27" ht="18" x14ac:dyDescent="0.25">
      <c r="Z54" s="10" t="s">
        <v>45</v>
      </c>
      <c r="AA54" s="10"/>
    </row>
    <row r="55" spans="26:27" ht="18" x14ac:dyDescent="0.25">
      <c r="Z55" s="10" t="s">
        <v>12</v>
      </c>
      <c r="AA55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Cocina C</vt:lpstr>
      <vt:lpstr>Ciencia A</vt:lpstr>
      <vt:lpstr>Preparatoria</vt:lpstr>
      <vt:lpstr>Sede Martí</vt:lpstr>
      <vt:lpstr>A.Cultural</vt:lpstr>
      <vt:lpstr>Laboratorios Tec.</vt:lpstr>
      <vt:lpstr>Sede Fajardo</vt:lpstr>
      <vt:lpstr>A.Cultural!Área_de_impresión</vt:lpstr>
      <vt:lpstr>'Ciencia A'!Área_de_impresión</vt:lpstr>
      <vt:lpstr>'Cocina C'!Área_de_impresión</vt:lpstr>
      <vt:lpstr>'Laboratorios Tec.'!Área_de_impresión</vt:lpstr>
      <vt:lpstr>Preparatoria!Área_de_impresión</vt:lpstr>
      <vt:lpstr>'Sede Fajardo'!Área_de_impresión</vt:lpstr>
      <vt:lpstr>'Sede Martí'!Área_de_impresión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Vives Cruz</dc:creator>
  <cp:lastModifiedBy>Mayelin Caballero Marrero</cp:lastModifiedBy>
  <cp:lastPrinted>2024-07-01T16:54:49Z</cp:lastPrinted>
  <dcterms:created xsi:type="dcterms:W3CDTF">2019-08-08T19:02:32Z</dcterms:created>
  <dcterms:modified xsi:type="dcterms:W3CDTF">2024-07-01T17:19:12Z</dcterms:modified>
</cp:coreProperties>
</file>