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20730" windowHeight="11160" tabRatio="778" activeTab="6"/>
  </bookViews>
  <sheets>
    <sheet name="Cocina C" sheetId="24" r:id="rId1"/>
    <sheet name="Ciencia A" sheetId="20" r:id="rId2"/>
    <sheet name="Preparatoria" sheetId="21" r:id="rId3"/>
    <sheet name="Sede Martí" sheetId="25" r:id="rId4"/>
    <sheet name="A.Cultural" sheetId="22" r:id="rId5"/>
    <sheet name="Laboratorios Tec." sheetId="23" r:id="rId6"/>
    <sheet name="Sede Fajardo" sheetId="26" r:id="rId7"/>
  </sheets>
  <definedNames>
    <definedName name="_xlnm.Print_Area" localSheetId="4">A.Cultural!$A$1:$AB$51</definedName>
    <definedName name="_xlnm.Print_Area" localSheetId="1">'Ciencia A'!$A$1:$AB$52</definedName>
    <definedName name="_xlnm.Print_Area" localSheetId="0">'Cocina C'!$A$1:$AB$51</definedName>
    <definedName name="_xlnm.Print_Area" localSheetId="5">'Laboratorios Tec.'!$A$1:$AB$54</definedName>
    <definedName name="_xlnm.Print_Area" localSheetId="2">Preparatoria!$A$1:$AB$54</definedName>
    <definedName name="_xlnm.Print_Area" localSheetId="6">'Sede Fajardo'!$A$1:$AB$55</definedName>
    <definedName name="_xlnm.Print_Area" localSheetId="3">'Sede Martí'!$A$1:$AB$51</definedName>
  </definedNames>
  <calcPr calcId="144525"/>
</workbook>
</file>

<file path=xl/calcChain.xml><?xml version="1.0" encoding="utf-8"?>
<calcChain xmlns="http://schemas.openxmlformats.org/spreadsheetml/2006/main">
  <c r="I24" i="25" l="1"/>
  <c r="I23" i="25"/>
  <c r="I22" i="25" s="1"/>
  <c r="I21" i="25" s="1"/>
  <c r="I28" i="25"/>
  <c r="I27" i="25"/>
  <c r="I26" i="25" s="1"/>
  <c r="I13" i="22" l="1"/>
  <c r="E12" i="22"/>
  <c r="E13" i="22"/>
  <c r="D13" i="22"/>
  <c r="C12" i="22"/>
  <c r="C13" i="22"/>
  <c r="I12" i="24"/>
  <c r="I13" i="24"/>
  <c r="E12" i="24"/>
  <c r="E13" i="24"/>
  <c r="D12" i="24"/>
  <c r="D13" i="24"/>
  <c r="C12" i="24"/>
  <c r="C13" i="24"/>
  <c r="I13" i="26" l="1"/>
  <c r="I12" i="26"/>
  <c r="D13" i="26"/>
  <c r="D12" i="26"/>
  <c r="C13" i="26"/>
  <c r="C12" i="26"/>
  <c r="I12" i="23"/>
  <c r="I13" i="23"/>
  <c r="E13" i="23"/>
  <c r="D13" i="23"/>
  <c r="D12" i="23"/>
  <c r="C13" i="23"/>
  <c r="C12" i="23"/>
  <c r="D12" i="25"/>
  <c r="D13" i="25"/>
  <c r="E12" i="25"/>
  <c r="E13" i="25"/>
  <c r="C13" i="25"/>
  <c r="C12" i="25"/>
  <c r="I17" i="21"/>
  <c r="I19" i="21"/>
  <c r="I18" i="21"/>
  <c r="I16" i="21" s="1"/>
  <c r="I15" i="21" s="1"/>
  <c r="I14" i="21" s="1"/>
  <c r="I13" i="21" s="1"/>
  <c r="I12" i="21" s="1"/>
  <c r="E12" i="21"/>
  <c r="E13" i="21"/>
  <c r="D12" i="21"/>
  <c r="D13" i="21"/>
  <c r="C12" i="21"/>
  <c r="C13" i="21"/>
  <c r="I12" i="20"/>
  <c r="I13" i="20"/>
  <c r="C12" i="20"/>
  <c r="C13" i="20"/>
  <c r="E13" i="20"/>
  <c r="I14" i="26" l="1"/>
  <c r="D14" i="26"/>
  <c r="C14" i="26"/>
  <c r="I17" i="26"/>
  <c r="I18" i="26"/>
  <c r="I19" i="26"/>
  <c r="E17" i="26"/>
  <c r="E18" i="26"/>
  <c r="D17" i="26"/>
  <c r="D18" i="26"/>
  <c r="C18" i="26"/>
  <c r="C17" i="26"/>
  <c r="I15" i="23"/>
  <c r="I16" i="23"/>
  <c r="I17" i="23"/>
  <c r="I18" i="23"/>
  <c r="I19" i="23"/>
  <c r="E15" i="23"/>
  <c r="E16" i="23"/>
  <c r="E17" i="23"/>
  <c r="E19" i="23"/>
  <c r="E18" i="23"/>
  <c r="D15" i="23"/>
  <c r="D16" i="23"/>
  <c r="D17" i="23"/>
  <c r="D18" i="23"/>
  <c r="D19" i="23"/>
  <c r="C15" i="23"/>
  <c r="C17" i="23"/>
  <c r="C18" i="23"/>
  <c r="C19" i="23"/>
  <c r="C16" i="23"/>
  <c r="I15" i="22"/>
  <c r="I16" i="22"/>
  <c r="I17" i="22"/>
  <c r="I18" i="22"/>
  <c r="E16" i="22"/>
  <c r="E17" i="22"/>
  <c r="E18" i="22"/>
  <c r="E19" i="22"/>
  <c r="D15" i="22"/>
  <c r="D16" i="22"/>
  <c r="D17" i="22"/>
  <c r="D18" i="22"/>
  <c r="D19" i="22"/>
  <c r="C15" i="22"/>
  <c r="C16" i="22"/>
  <c r="C17" i="22"/>
  <c r="C19" i="22"/>
  <c r="I19" i="22"/>
  <c r="E15" i="22"/>
  <c r="C18" i="22"/>
  <c r="E18" i="25"/>
  <c r="E19" i="25"/>
  <c r="E17" i="25"/>
  <c r="E16" i="25" s="1"/>
  <c r="E15" i="25" s="1"/>
  <c r="D18" i="25"/>
  <c r="D17" i="25"/>
  <c r="D16" i="25" s="1"/>
  <c r="D15" i="25" s="1"/>
  <c r="D19" i="25"/>
  <c r="C15" i="25"/>
  <c r="C16" i="25"/>
  <c r="C18" i="25"/>
  <c r="C19" i="25"/>
  <c r="C17" i="25"/>
  <c r="E15" i="21"/>
  <c r="E16" i="21"/>
  <c r="E17" i="21"/>
  <c r="E18" i="21"/>
  <c r="E19" i="21"/>
  <c r="D16" i="21"/>
  <c r="D17" i="21"/>
  <c r="D19" i="21"/>
  <c r="D18" i="21"/>
  <c r="D15" i="21" s="1"/>
  <c r="C15" i="21"/>
  <c r="C16" i="21"/>
  <c r="C17" i="21"/>
  <c r="C18" i="21"/>
  <c r="C19" i="21"/>
  <c r="I14" i="20"/>
  <c r="I16" i="20"/>
  <c r="I17" i="20"/>
  <c r="I18" i="20"/>
  <c r="I19" i="20"/>
  <c r="E14" i="20"/>
  <c r="D14" i="20"/>
  <c r="C14" i="20"/>
  <c r="C16" i="20"/>
  <c r="C17" i="20"/>
  <c r="C19" i="20"/>
  <c r="E16" i="20"/>
  <c r="E17" i="20"/>
  <c r="E18" i="20"/>
  <c r="E19" i="20"/>
  <c r="D16" i="20"/>
  <c r="D17" i="20"/>
  <c r="D18" i="20"/>
  <c r="D19" i="20"/>
  <c r="C18" i="20"/>
  <c r="I15" i="24"/>
  <c r="I16" i="24"/>
  <c r="I17" i="24"/>
  <c r="I18" i="24"/>
  <c r="E15" i="24"/>
  <c r="E16" i="24"/>
  <c r="E19" i="24"/>
  <c r="E14" i="24"/>
  <c r="E18" i="24"/>
  <c r="D16" i="24"/>
  <c r="D17" i="24"/>
  <c r="D18" i="24"/>
  <c r="D19" i="24"/>
  <c r="C15" i="24"/>
  <c r="C16" i="24"/>
  <c r="C17" i="24"/>
  <c r="C18" i="24"/>
  <c r="I19" i="24"/>
  <c r="E17" i="24"/>
  <c r="D15" i="24"/>
  <c r="C19" i="24"/>
  <c r="I24" i="26" l="1"/>
  <c r="I25" i="26"/>
  <c r="I26" i="26"/>
  <c r="I27" i="26"/>
  <c r="E25" i="26"/>
  <c r="E26" i="26"/>
  <c r="E24" i="26"/>
  <c r="D25" i="26"/>
  <c r="D24" i="26"/>
  <c r="D26" i="26"/>
  <c r="I21" i="23"/>
  <c r="I22" i="23"/>
  <c r="I23" i="23"/>
  <c r="I24" i="23"/>
  <c r="I25" i="23"/>
  <c r="I27" i="23"/>
  <c r="E22" i="23"/>
  <c r="E21" i="23" s="1"/>
  <c r="E23" i="23"/>
  <c r="E24" i="23"/>
  <c r="E25" i="23"/>
  <c r="E26" i="23"/>
  <c r="D22" i="23"/>
  <c r="D23" i="23"/>
  <c r="D24" i="23"/>
  <c r="D25" i="23"/>
  <c r="D26" i="23"/>
  <c r="D27" i="23"/>
  <c r="C21" i="23"/>
  <c r="C22" i="23"/>
  <c r="C23" i="23"/>
  <c r="C24" i="23"/>
  <c r="C25" i="23"/>
  <c r="C26" i="23"/>
  <c r="C27" i="23"/>
  <c r="I26" i="23"/>
  <c r="E27" i="23"/>
  <c r="I21" i="22"/>
  <c r="I22" i="22"/>
  <c r="I23" i="22"/>
  <c r="I25" i="22"/>
  <c r="I26" i="22"/>
  <c r="I27" i="22"/>
  <c r="E22" i="22"/>
  <c r="E23" i="22"/>
  <c r="E24" i="22"/>
  <c r="E25" i="22"/>
  <c r="E27" i="22"/>
  <c r="D21" i="22"/>
  <c r="D22" i="22"/>
  <c r="D23" i="22"/>
  <c r="D24" i="22"/>
  <c r="D26" i="22"/>
  <c r="D27" i="22"/>
  <c r="C21" i="22"/>
  <c r="C22" i="22"/>
  <c r="C23" i="22"/>
  <c r="C24" i="22"/>
  <c r="C26" i="22"/>
  <c r="C27" i="22"/>
  <c r="I24" i="22"/>
  <c r="E26" i="22"/>
  <c r="D25" i="22"/>
  <c r="C25" i="22"/>
  <c r="I21" i="24"/>
  <c r="I23" i="24"/>
  <c r="I24" i="24"/>
  <c r="I25" i="24"/>
  <c r="I27" i="24"/>
  <c r="I26" i="24" s="1"/>
  <c r="E21" i="24"/>
  <c r="E22" i="24"/>
  <c r="E23" i="24"/>
  <c r="E24" i="24"/>
  <c r="E26" i="24"/>
  <c r="E27" i="24"/>
  <c r="D21" i="24"/>
  <c r="D22" i="24"/>
  <c r="D23" i="24"/>
  <c r="D24" i="24"/>
  <c r="D26" i="24"/>
  <c r="D27" i="24"/>
  <c r="C21" i="24"/>
  <c r="C22" i="24"/>
  <c r="C23" i="24"/>
  <c r="C24" i="24"/>
  <c r="C26" i="24"/>
  <c r="C25" i="24" s="1"/>
  <c r="C27" i="24"/>
  <c r="E25" i="24"/>
  <c r="D25" i="24"/>
  <c r="I22" i="20"/>
  <c r="I23" i="20"/>
  <c r="I24" i="20"/>
  <c r="I26" i="20"/>
  <c r="I27" i="20"/>
  <c r="E21" i="20"/>
  <c r="E22" i="20"/>
  <c r="E23" i="20"/>
  <c r="E24" i="20"/>
  <c r="E25" i="20"/>
  <c r="E26" i="20"/>
  <c r="D22" i="20"/>
  <c r="D23" i="20"/>
  <c r="D24" i="20"/>
  <c r="D25" i="20"/>
  <c r="D26" i="20"/>
  <c r="D27" i="20"/>
  <c r="C21" i="20"/>
  <c r="C22" i="20"/>
  <c r="C23" i="20"/>
  <c r="C24" i="20"/>
  <c r="C26" i="20"/>
  <c r="C27" i="20"/>
  <c r="C25" i="20"/>
  <c r="E27" i="20"/>
  <c r="I25" i="20"/>
  <c r="I21" i="20" s="1"/>
  <c r="I22" i="21"/>
  <c r="I24" i="21"/>
  <c r="I26" i="21"/>
  <c r="E22" i="21"/>
  <c r="E24" i="21"/>
  <c r="E25" i="21"/>
  <c r="E26" i="21"/>
  <c r="D22" i="21"/>
  <c r="D23" i="21"/>
  <c r="D24" i="21"/>
  <c r="D25" i="21"/>
  <c r="D27" i="21"/>
  <c r="D26" i="21" s="1"/>
  <c r="C22" i="21"/>
  <c r="C24" i="21"/>
  <c r="C23" i="21" s="1"/>
  <c r="C25" i="21"/>
  <c r="C26" i="21"/>
  <c r="C27" i="21"/>
  <c r="I25" i="21"/>
  <c r="I23" i="21" s="1"/>
  <c r="I21" i="21" s="1"/>
  <c r="I27" i="21"/>
  <c r="E23" i="21"/>
  <c r="E27" i="21"/>
  <c r="E21" i="25"/>
  <c r="E22" i="25"/>
  <c r="E23" i="25"/>
  <c r="E24" i="25"/>
  <c r="E25" i="25"/>
  <c r="E26" i="25"/>
  <c r="E27" i="25"/>
  <c r="D26" i="25"/>
  <c r="D25" i="25" s="1"/>
  <c r="D24" i="25" s="1"/>
  <c r="D23" i="25" s="1"/>
  <c r="D22" i="25" s="1"/>
  <c r="D21" i="25" s="1"/>
  <c r="D27" i="25"/>
  <c r="C21" i="25"/>
  <c r="C22" i="25"/>
  <c r="C23" i="25"/>
  <c r="C25" i="25"/>
  <c r="C24" i="25" s="1"/>
  <c r="C26" i="25"/>
  <c r="C27" i="25"/>
  <c r="I25" i="25"/>
  <c r="I20" i="25" l="1"/>
  <c r="I19" i="25" s="1"/>
  <c r="I18" i="25" s="1"/>
  <c r="I17" i="25" s="1"/>
  <c r="I16" i="25" s="1"/>
  <c r="I15" i="25" s="1"/>
  <c r="I14" i="25" s="1"/>
  <c r="I13" i="25" s="1"/>
  <c r="I12" i="25" s="1"/>
  <c r="D21" i="23"/>
  <c r="E21" i="22"/>
  <c r="I22" i="24"/>
  <c r="D21" i="20"/>
  <c r="E21" i="21"/>
  <c r="D21" i="21"/>
  <c r="C21" i="21"/>
  <c r="I28" i="26"/>
  <c r="E28" i="26"/>
  <c r="D28" i="26"/>
  <c r="C28" i="26"/>
  <c r="I28" i="23"/>
  <c r="E28" i="23"/>
  <c r="D28" i="23"/>
  <c r="C28" i="23"/>
  <c r="I34" i="23"/>
  <c r="I33" i="23" s="1"/>
  <c r="I32" i="23" s="1"/>
  <c r="I31" i="23" s="1"/>
  <c r="I30" i="23" s="1"/>
  <c r="D34" i="23"/>
  <c r="D33" i="23" s="1"/>
  <c r="D32" i="23" s="1"/>
  <c r="D31" i="23" s="1"/>
  <c r="D30" i="23" s="1"/>
  <c r="E34" i="23"/>
  <c r="E33" i="23" s="1"/>
  <c r="E32" i="23" s="1"/>
  <c r="E31" i="23" s="1"/>
  <c r="E30" i="23" s="1"/>
  <c r="C34" i="23"/>
  <c r="C33" i="23" s="1"/>
  <c r="C32" i="23" s="1"/>
  <c r="C31" i="23" s="1"/>
  <c r="C30" i="23" s="1"/>
  <c r="I28" i="22"/>
  <c r="I34" i="22"/>
  <c r="I33" i="22" s="1"/>
  <c r="I32" i="22" s="1"/>
  <c r="E28" i="22"/>
  <c r="E33" i="22"/>
  <c r="E32" i="22" s="1"/>
  <c r="E31" i="22" s="1"/>
  <c r="E30" i="22" s="1"/>
  <c r="E34" i="22"/>
  <c r="D28" i="22"/>
  <c r="D34" i="22"/>
  <c r="D33" i="22" s="1"/>
  <c r="D32" i="22" s="1"/>
  <c r="D31" i="22" s="1"/>
  <c r="D30" i="22" s="1"/>
  <c r="C28" i="22"/>
  <c r="C34" i="22"/>
  <c r="C33" i="22" s="1"/>
  <c r="C32" i="22" s="1"/>
  <c r="C31" i="22" s="1"/>
  <c r="C30" i="22" s="1"/>
  <c r="I33" i="25"/>
  <c r="I32" i="25" s="1"/>
  <c r="I31" i="25" s="1"/>
  <c r="I30" i="25" s="1"/>
  <c r="I34" i="25"/>
  <c r="E28" i="25"/>
  <c r="E33" i="25"/>
  <c r="E34" i="25"/>
  <c r="E32" i="25"/>
  <c r="E31" i="25" s="1"/>
  <c r="E30" i="25" s="1"/>
  <c r="D28" i="25"/>
  <c r="D34" i="25"/>
  <c r="D33" i="25" s="1"/>
  <c r="D32" i="25" s="1"/>
  <c r="D31" i="25" s="1"/>
  <c r="D30" i="25" s="1"/>
  <c r="C28" i="25"/>
  <c r="C34" i="25"/>
  <c r="C33" i="25" s="1"/>
  <c r="C32" i="25" s="1"/>
  <c r="C31" i="25" s="1"/>
  <c r="C30" i="25" s="1"/>
  <c r="I28" i="21"/>
  <c r="E28" i="21"/>
  <c r="D28" i="21"/>
  <c r="C28" i="21"/>
  <c r="I34" i="20"/>
  <c r="I33" i="20" s="1"/>
  <c r="I32" i="20" s="1"/>
  <c r="I28" i="20"/>
  <c r="E28" i="20"/>
  <c r="D33" i="20"/>
  <c r="D32" i="20" s="1"/>
  <c r="D31" i="20" s="1"/>
  <c r="D30" i="20" s="1"/>
  <c r="D34" i="20"/>
  <c r="D28" i="20"/>
  <c r="C28" i="20"/>
  <c r="I28" i="24"/>
  <c r="E28" i="24"/>
  <c r="D28" i="24"/>
  <c r="C28" i="24"/>
  <c r="I34" i="21"/>
  <c r="I33" i="21" s="1"/>
  <c r="I32" i="21" s="1"/>
  <c r="I31" i="21" s="1"/>
  <c r="I30" i="21" s="1"/>
  <c r="E34" i="21"/>
  <c r="E33" i="21" s="1"/>
  <c r="E32" i="21" s="1"/>
  <c r="E31" i="21" s="1"/>
  <c r="E30" i="21" s="1"/>
  <c r="D33" i="21"/>
  <c r="D32" i="21" s="1"/>
  <c r="D31" i="21" s="1"/>
  <c r="D30" i="21" s="1"/>
  <c r="D34" i="21"/>
  <c r="C34" i="21"/>
  <c r="C33" i="21" s="1"/>
  <c r="C32" i="21" s="1"/>
  <c r="C31" i="21" s="1"/>
  <c r="C30" i="21" s="1"/>
  <c r="I31" i="22" l="1"/>
  <c r="I30" i="22" s="1"/>
  <c r="I31" i="20"/>
  <c r="I30" i="20" s="1"/>
  <c r="E34" i="20"/>
  <c r="E33" i="20" s="1"/>
  <c r="E32" i="20" s="1"/>
  <c r="E31" i="20" s="1"/>
  <c r="E30" i="20" s="1"/>
  <c r="C34" i="20"/>
  <c r="C33" i="20" s="1"/>
  <c r="C32" i="20" s="1"/>
  <c r="C31" i="20" s="1"/>
  <c r="C30" i="20" s="1"/>
  <c r="I34" i="24"/>
  <c r="I33" i="24" s="1"/>
  <c r="I32" i="24" s="1"/>
  <c r="I31" i="24" s="1"/>
  <c r="I30" i="24" s="1"/>
  <c r="E33" i="24"/>
  <c r="E34" i="24"/>
  <c r="D34" i="24"/>
  <c r="D33" i="24" s="1"/>
  <c r="D32" i="24" s="1"/>
  <c r="D31" i="24" s="1"/>
  <c r="D30" i="24" s="1"/>
  <c r="C34" i="24"/>
  <c r="E32" i="24"/>
  <c r="C33" i="24" l="1"/>
  <c r="C32" i="24" s="1"/>
  <c r="C31" i="24" s="1"/>
  <c r="C30" i="24" s="1"/>
  <c r="E31" i="24"/>
  <c r="E30" i="24" s="1"/>
  <c r="I41" i="26"/>
  <c r="I40" i="26" s="1"/>
  <c r="I39" i="26" s="1"/>
  <c r="I38" i="26" s="1"/>
  <c r="I37" i="26" s="1"/>
  <c r="I36" i="26" s="1"/>
  <c r="E41" i="26"/>
  <c r="E40" i="26" s="1"/>
  <c r="E39" i="26" s="1"/>
  <c r="E38" i="26" s="1"/>
  <c r="E37" i="26" s="1"/>
  <c r="E36" i="26" s="1"/>
  <c r="D41" i="26"/>
  <c r="D40" i="26" s="1"/>
  <c r="D39" i="26" s="1"/>
  <c r="D38" i="26" s="1"/>
  <c r="D37" i="26" s="1"/>
  <c r="D36" i="26" s="1"/>
  <c r="C41" i="26"/>
  <c r="C40" i="26"/>
  <c r="I41" i="22"/>
  <c r="I40" i="22" s="1"/>
  <c r="I39" i="22" s="1"/>
  <c r="I38" i="22" s="1"/>
  <c r="I37" i="22" s="1"/>
  <c r="I36" i="22" s="1"/>
  <c r="E41" i="22"/>
  <c r="E40" i="22" s="1"/>
  <c r="E39" i="22" s="1"/>
  <c r="E38" i="22" s="1"/>
  <c r="E37" i="22" s="1"/>
  <c r="E36" i="22" s="1"/>
  <c r="C41" i="22"/>
  <c r="C40" i="22" s="1"/>
  <c r="C39" i="22" s="1"/>
  <c r="C38" i="22" s="1"/>
  <c r="C37" i="22" s="1"/>
  <c r="C36" i="22" s="1"/>
  <c r="D41" i="22"/>
  <c r="D40" i="22" s="1"/>
  <c r="D39" i="22" s="1"/>
  <c r="D38" i="22" s="1"/>
  <c r="D37" i="22" s="1"/>
  <c r="D36" i="22" s="1"/>
  <c r="I41" i="23"/>
  <c r="I40" i="23" s="1"/>
  <c r="I39" i="23" s="1"/>
  <c r="I38" i="23" s="1"/>
  <c r="I37" i="23" s="1"/>
  <c r="I36" i="23" s="1"/>
  <c r="E41" i="23"/>
  <c r="E40" i="23" s="1"/>
  <c r="E39" i="23" s="1"/>
  <c r="E38" i="23" s="1"/>
  <c r="E37" i="23" s="1"/>
  <c r="E36" i="23" s="1"/>
  <c r="D41" i="23"/>
  <c r="D40" i="23" s="1"/>
  <c r="D39" i="23" s="1"/>
  <c r="D38" i="23" s="1"/>
  <c r="D37" i="23" s="1"/>
  <c r="D36" i="23" s="1"/>
  <c r="C41" i="23"/>
  <c r="C40" i="23" s="1"/>
  <c r="C39" i="23" s="1"/>
  <c r="C38" i="23" s="1"/>
  <c r="C37" i="23" s="1"/>
  <c r="C36" i="23" s="1"/>
  <c r="I41" i="25"/>
  <c r="I40" i="25" s="1"/>
  <c r="I39" i="25" s="1"/>
  <c r="I38" i="25" s="1"/>
  <c r="I37" i="25" s="1"/>
  <c r="I36" i="25" s="1"/>
  <c r="E41" i="25"/>
  <c r="E40" i="25" s="1"/>
  <c r="E39" i="25" s="1"/>
  <c r="E38" i="25" s="1"/>
  <c r="E37" i="25" s="1"/>
  <c r="E36" i="25" s="1"/>
  <c r="D41" i="25"/>
  <c r="D40" i="25" s="1"/>
  <c r="D39" i="25" s="1"/>
  <c r="D38" i="25" s="1"/>
  <c r="D37" i="25" s="1"/>
  <c r="D36" i="25" s="1"/>
  <c r="C41" i="25"/>
  <c r="C40" i="25" s="1"/>
  <c r="C39" i="25" s="1"/>
  <c r="C38" i="25" s="1"/>
  <c r="C37" i="25" s="1"/>
  <c r="C36" i="25" s="1"/>
  <c r="I41" i="21"/>
  <c r="I40" i="21" s="1"/>
  <c r="I39" i="21" s="1"/>
  <c r="I38" i="21" s="1"/>
  <c r="I37" i="21" s="1"/>
  <c r="I36" i="21" s="1"/>
  <c r="E41" i="21"/>
  <c r="E40" i="21" s="1"/>
  <c r="E39" i="21" s="1"/>
  <c r="E38" i="21" s="1"/>
  <c r="E37" i="21" s="1"/>
  <c r="E36" i="21" s="1"/>
  <c r="D41" i="21"/>
  <c r="D40" i="21" s="1"/>
  <c r="D39" i="21" s="1"/>
  <c r="D38" i="21" s="1"/>
  <c r="D37" i="21" s="1"/>
  <c r="D36" i="21" s="1"/>
  <c r="C41" i="21"/>
  <c r="C40" i="21" s="1"/>
  <c r="C39" i="21" s="1"/>
  <c r="C38" i="21" s="1"/>
  <c r="C37" i="21" s="1"/>
  <c r="C36" i="21" s="1"/>
  <c r="C39" i="26" l="1"/>
  <c r="C38" i="26" s="1"/>
  <c r="C37" i="26" s="1"/>
  <c r="C36" i="26" s="1"/>
  <c r="I41" i="20"/>
  <c r="I40" i="20" s="1"/>
  <c r="I39" i="20" s="1"/>
  <c r="I38" i="20" s="1"/>
  <c r="I37" i="20" s="1"/>
  <c r="I36" i="20" s="1"/>
  <c r="E41" i="20"/>
  <c r="E40" i="20" s="1"/>
  <c r="E39" i="20" s="1"/>
  <c r="E38" i="20" s="1"/>
  <c r="E37" i="20" s="1"/>
  <c r="E36" i="20" s="1"/>
  <c r="D41" i="20"/>
  <c r="D40" i="20" s="1"/>
  <c r="D39" i="20" s="1"/>
  <c r="D38" i="20" s="1"/>
  <c r="D37" i="20" s="1"/>
  <c r="D36" i="20" s="1"/>
  <c r="C41" i="20"/>
  <c r="C40" i="20" s="1"/>
  <c r="C39" i="20" s="1"/>
  <c r="C38" i="20" s="1"/>
  <c r="C37" i="20" s="1"/>
  <c r="C36" i="20" s="1"/>
  <c r="I41" i="24"/>
  <c r="I40" i="24" s="1"/>
  <c r="I39" i="24" s="1"/>
  <c r="I38" i="24" s="1"/>
  <c r="I37" i="24" s="1"/>
  <c r="I36" i="24" s="1"/>
  <c r="E41" i="24"/>
  <c r="E40" i="24" s="1"/>
  <c r="E39" i="24" s="1"/>
  <c r="E38" i="24" s="1"/>
  <c r="E37" i="24" s="1"/>
  <c r="E36" i="24" s="1"/>
  <c r="D41" i="24"/>
  <c r="D40" i="24" s="1"/>
  <c r="D39" i="24" s="1"/>
  <c r="D38" i="24" s="1"/>
  <c r="D37" i="24" s="1"/>
  <c r="D36" i="24" s="1"/>
  <c r="C41" i="24"/>
  <c r="C40" i="24" s="1"/>
  <c r="C39" i="24" s="1"/>
  <c r="C38" i="24" s="1"/>
  <c r="C37" i="24" s="1"/>
  <c r="C36" i="24" s="1"/>
  <c r="V6" i="26" l="1"/>
  <c r="R41" i="26"/>
  <c r="V6" i="21"/>
  <c r="V6" i="25"/>
  <c r="V6" i="22"/>
  <c r="V6" i="23"/>
  <c r="R41" i="23"/>
  <c r="R41" i="22"/>
  <c r="R41" i="25"/>
  <c r="R41" i="21"/>
  <c r="R41" i="20"/>
  <c r="R41" i="24"/>
  <c r="F14" i="22" l="1"/>
  <c r="M15" i="25" l="1"/>
  <c r="F12" i="26" l="1"/>
  <c r="L35" i="24" l="1"/>
  <c r="M11" i="24" l="1"/>
  <c r="L11" i="24"/>
  <c r="O11" i="24" s="1"/>
  <c r="K11" i="24"/>
  <c r="J11" i="24"/>
  <c r="F11" i="24"/>
  <c r="M11" i="20"/>
  <c r="L11" i="20"/>
  <c r="O11" i="20" s="1"/>
  <c r="K11" i="20"/>
  <c r="J11" i="20"/>
  <c r="F11" i="20"/>
  <c r="M11" i="21"/>
  <c r="L11" i="21"/>
  <c r="O11" i="21" s="1"/>
  <c r="K11" i="21"/>
  <c r="J11" i="21"/>
  <c r="F11" i="21"/>
  <c r="M11" i="25"/>
  <c r="L11" i="25"/>
  <c r="O11" i="25" s="1"/>
  <c r="K11" i="25"/>
  <c r="J11" i="25"/>
  <c r="F11" i="25"/>
  <c r="M11" i="22"/>
  <c r="L11" i="22"/>
  <c r="O11" i="22" s="1"/>
  <c r="K11" i="22"/>
  <c r="J11" i="22"/>
  <c r="F11" i="22"/>
  <c r="M11" i="23"/>
  <c r="L11" i="23"/>
  <c r="O11" i="23" s="1"/>
  <c r="K11" i="23"/>
  <c r="J11" i="23"/>
  <c r="F11" i="23"/>
  <c r="M11" i="26"/>
  <c r="L11" i="26"/>
  <c r="O11" i="26" s="1"/>
  <c r="K11" i="26"/>
  <c r="J11" i="26"/>
  <c r="F11" i="26"/>
  <c r="S11" i="26" l="1"/>
  <c r="AA11" i="26" s="1"/>
  <c r="S11" i="22"/>
  <c r="G11" i="22" s="1"/>
  <c r="H11" i="22" s="1"/>
  <c r="Q11" i="22" s="1"/>
  <c r="S11" i="21"/>
  <c r="G11" i="21" s="1"/>
  <c r="H11" i="21" s="1"/>
  <c r="Q11" i="21" s="1"/>
  <c r="S11" i="24"/>
  <c r="G11" i="24" s="1"/>
  <c r="H11" i="24" s="1"/>
  <c r="Q11" i="24" s="1"/>
  <c r="S11" i="23"/>
  <c r="G11" i="23" s="1"/>
  <c r="H11" i="23" s="1"/>
  <c r="Q11" i="23" s="1"/>
  <c r="S11" i="25"/>
  <c r="G11" i="25" s="1"/>
  <c r="S11" i="20"/>
  <c r="G11" i="20" s="1"/>
  <c r="H11" i="20" s="1"/>
  <c r="Q11" i="20" s="1"/>
  <c r="H11" i="25" l="1"/>
  <c r="AA11" i="22"/>
  <c r="AA11" i="20"/>
  <c r="AA11" i="24"/>
  <c r="AA11" i="21"/>
  <c r="AA11" i="23"/>
  <c r="AA11" i="25"/>
  <c r="F38" i="24"/>
  <c r="Q11" i="25" l="1"/>
  <c r="J12" i="26"/>
  <c r="K12" i="26"/>
  <c r="L12" i="26"/>
  <c r="O12" i="26" s="1"/>
  <c r="M12" i="26"/>
  <c r="F12" i="23"/>
  <c r="J12" i="23"/>
  <c r="K12" i="23"/>
  <c r="L12" i="23"/>
  <c r="O12" i="23" s="1"/>
  <c r="M12" i="23"/>
  <c r="F12" i="22"/>
  <c r="J12" i="22"/>
  <c r="K12" i="22"/>
  <c r="L12" i="22"/>
  <c r="O12" i="22" s="1"/>
  <c r="M12" i="22"/>
  <c r="F12" i="25"/>
  <c r="J12" i="25"/>
  <c r="K12" i="25"/>
  <c r="L12" i="25"/>
  <c r="O12" i="25" s="1"/>
  <c r="M12" i="25"/>
  <c r="F12" i="21"/>
  <c r="J12" i="21"/>
  <c r="K12" i="21"/>
  <c r="L12" i="21"/>
  <c r="O12" i="21" s="1"/>
  <c r="M12" i="21"/>
  <c r="V6" i="20"/>
  <c r="F12" i="24"/>
  <c r="J12" i="24"/>
  <c r="K12" i="24"/>
  <c r="L12" i="24"/>
  <c r="O12" i="24" s="1"/>
  <c r="M12" i="24"/>
  <c r="J12" i="20"/>
  <c r="K12" i="20"/>
  <c r="L12" i="20"/>
  <c r="O12" i="20" s="1"/>
  <c r="M12" i="20"/>
  <c r="F12" i="20"/>
  <c r="V6" i="24"/>
  <c r="S12" i="22" l="1"/>
  <c r="G12" i="22" s="1"/>
  <c r="H12" i="22" s="1"/>
  <c r="Q12" i="22" s="1"/>
  <c r="S12" i="26"/>
  <c r="S12" i="23"/>
  <c r="G12" i="23" s="1"/>
  <c r="H12" i="23" s="1"/>
  <c r="Q12" i="23" s="1"/>
  <c r="S12" i="25"/>
  <c r="S12" i="21"/>
  <c r="S12" i="20"/>
  <c r="G12" i="20" s="1"/>
  <c r="H12" i="20" s="1"/>
  <c r="Q12" i="20" s="1"/>
  <c r="S12" i="24"/>
  <c r="G12" i="25" l="1"/>
  <c r="AA12" i="20"/>
  <c r="AA12" i="22"/>
  <c r="AA12" i="26"/>
  <c r="G11" i="26"/>
  <c r="H11" i="26" s="1"/>
  <c r="Q11" i="26" s="1"/>
  <c r="AA12" i="24"/>
  <c r="G12" i="21"/>
  <c r="AA12" i="23"/>
  <c r="AA12" i="21"/>
  <c r="G12" i="24"/>
  <c r="AA12" i="25"/>
  <c r="F23" i="22"/>
  <c r="F23" i="24"/>
  <c r="H12" i="25" l="1"/>
  <c r="H12" i="24"/>
  <c r="H12" i="21"/>
  <c r="F26" i="24"/>
  <c r="Q12" i="25" l="1"/>
  <c r="Q12" i="24"/>
  <c r="Q12" i="21"/>
  <c r="F38" i="26"/>
  <c r="M38" i="22"/>
  <c r="F35" i="22" l="1"/>
  <c r="F16" i="25" l="1"/>
  <c r="J19" i="21" l="1"/>
  <c r="F18" i="22"/>
  <c r="F20" i="22" l="1"/>
  <c r="F19" i="22"/>
  <c r="K31" i="23"/>
  <c r="K32" i="23"/>
  <c r="K33" i="23"/>
  <c r="K34" i="23"/>
  <c r="K35" i="23"/>
  <c r="K36" i="23"/>
  <c r="K37" i="23"/>
  <c r="K38" i="23"/>
  <c r="K39" i="23"/>
  <c r="K40" i="23"/>
  <c r="K41" i="23"/>
  <c r="F22" i="26" l="1"/>
  <c r="J14" i="26" l="1"/>
  <c r="F24" i="23" l="1"/>
  <c r="F37" i="24" l="1"/>
  <c r="F39" i="24"/>
  <c r="F40" i="24"/>
  <c r="F41" i="24"/>
  <c r="F17" i="22" l="1"/>
  <c r="F27" i="20" l="1"/>
  <c r="M15" i="20" l="1"/>
  <c r="F13" i="20"/>
  <c r="F35" i="24" l="1"/>
  <c r="J16" i="25" l="1"/>
  <c r="K16" i="25"/>
  <c r="L16" i="25"/>
  <c r="O16" i="25" s="1"/>
  <c r="M16" i="25"/>
  <c r="J17" i="25"/>
  <c r="K17" i="25"/>
  <c r="L17" i="25"/>
  <c r="O17" i="25" s="1"/>
  <c r="M17" i="25"/>
  <c r="J18" i="25"/>
  <c r="K18" i="25"/>
  <c r="L18" i="25"/>
  <c r="O18" i="25" s="1"/>
  <c r="M18" i="25"/>
  <c r="J19" i="25"/>
  <c r="K19" i="25"/>
  <c r="L19" i="25"/>
  <c r="O19" i="25" s="1"/>
  <c r="M19" i="25"/>
  <c r="S17" i="25" l="1"/>
  <c r="S18" i="25"/>
  <c r="AA18" i="25" s="1"/>
  <c r="S19" i="25"/>
  <c r="AA19" i="25" s="1"/>
  <c r="S16" i="25"/>
  <c r="AA16" i="25" l="1"/>
  <c r="G16" i="25"/>
  <c r="AA17" i="25"/>
  <c r="G17" i="25"/>
  <c r="F17" i="25"/>
  <c r="F13" i="25"/>
  <c r="F14" i="25"/>
  <c r="F15" i="25"/>
  <c r="F19" i="25"/>
  <c r="H17" i="25" l="1"/>
  <c r="H16" i="25"/>
  <c r="F18" i="25"/>
  <c r="Q17" i="25" l="1"/>
  <c r="G41" i="26"/>
  <c r="F40" i="22" l="1"/>
  <c r="K37" i="22" l="1"/>
  <c r="K38" i="22"/>
  <c r="K39" i="22"/>
  <c r="L24" i="22" l="1"/>
  <c r="O24" i="22" s="1"/>
  <c r="L25" i="22"/>
  <c r="O25" i="22" s="1"/>
  <c r="L26" i="22"/>
  <c r="O26" i="22" s="1"/>
  <c r="K24" i="22"/>
  <c r="K25" i="22"/>
  <c r="K26" i="22"/>
  <c r="J23" i="22"/>
  <c r="J24" i="22"/>
  <c r="J25" i="22"/>
  <c r="J26" i="22"/>
  <c r="S25" i="22" l="1"/>
  <c r="S24" i="22"/>
  <c r="G24" i="22" l="1"/>
  <c r="H24" i="22" s="1"/>
  <c r="G25" i="22"/>
  <c r="H25" i="22" s="1"/>
  <c r="R40" i="26"/>
  <c r="R39" i="26" s="1"/>
  <c r="R38" i="26" s="1"/>
  <c r="R37" i="26" s="1"/>
  <c r="R36" i="26" s="1"/>
  <c r="R35" i="26" s="1"/>
  <c r="R34" i="26" s="1"/>
  <c r="R33" i="26" s="1"/>
  <c r="R32" i="26" s="1"/>
  <c r="R31" i="26" s="1"/>
  <c r="R30" i="26" s="1"/>
  <c r="R29" i="26" s="1"/>
  <c r="R28" i="26" s="1"/>
  <c r="R27" i="26" s="1"/>
  <c r="R26" i="26" s="1"/>
  <c r="R25" i="26" s="1"/>
  <c r="R24" i="26" s="1"/>
  <c r="R23" i="26" s="1"/>
  <c r="R22" i="26" s="1"/>
  <c r="R21" i="26" s="1"/>
  <c r="R20" i="26" s="1"/>
  <c r="R19" i="26" s="1"/>
  <c r="R18" i="26" s="1"/>
  <c r="R17" i="26" s="1"/>
  <c r="R16" i="26" s="1"/>
  <c r="R15" i="26" s="1"/>
  <c r="R14" i="26" s="1"/>
  <c r="R13" i="26" s="1"/>
  <c r="R12" i="26" s="1"/>
  <c r="R11" i="26" s="1"/>
  <c r="T11" i="26" s="1"/>
  <c r="T12" i="26" l="1"/>
  <c r="Q6" i="21"/>
  <c r="R40" i="23" l="1"/>
  <c r="R39" i="23" s="1"/>
  <c r="R38" i="23" s="1"/>
  <c r="R37" i="23" s="1"/>
  <c r="R36" i="23" s="1"/>
  <c r="R35" i="23" s="1"/>
  <c r="R34" i="23" s="1"/>
  <c r="R33" i="23" s="1"/>
  <c r="R32" i="23" s="1"/>
  <c r="R31" i="23" s="1"/>
  <c r="R30" i="23" s="1"/>
  <c r="R29" i="23" s="1"/>
  <c r="R28" i="23" s="1"/>
  <c r="R27" i="23" s="1"/>
  <c r="R26" i="23" s="1"/>
  <c r="R25" i="23" s="1"/>
  <c r="R24" i="23" s="1"/>
  <c r="R23" i="23" s="1"/>
  <c r="R22" i="23" s="1"/>
  <c r="R21" i="23" s="1"/>
  <c r="R20" i="23" s="1"/>
  <c r="R19" i="23" s="1"/>
  <c r="R18" i="23" s="1"/>
  <c r="R17" i="23" s="1"/>
  <c r="R16" i="23" s="1"/>
  <c r="R15" i="23" s="1"/>
  <c r="R14" i="23" s="1"/>
  <c r="R13" i="23" s="1"/>
  <c r="R12" i="23" s="1"/>
  <c r="R11" i="23" s="1"/>
  <c r="T11" i="23" s="1"/>
  <c r="T12" i="23" l="1"/>
  <c r="R40" i="20"/>
  <c r="R39" i="20" s="1"/>
  <c r="R38" i="20" s="1"/>
  <c r="R37" i="20" s="1"/>
  <c r="R36" i="20" s="1"/>
  <c r="R35" i="20" s="1"/>
  <c r="R34" i="20" s="1"/>
  <c r="R33" i="20" s="1"/>
  <c r="R32" i="20" s="1"/>
  <c r="R31" i="20" s="1"/>
  <c r="R30" i="20" s="1"/>
  <c r="R29" i="20" s="1"/>
  <c r="R28" i="20" s="1"/>
  <c r="R27" i="20" s="1"/>
  <c r="R26" i="20" s="1"/>
  <c r="R25" i="20" s="1"/>
  <c r="R24" i="20" s="1"/>
  <c r="R23" i="20" s="1"/>
  <c r="R22" i="20" s="1"/>
  <c r="R21" i="20" s="1"/>
  <c r="R20" i="20" s="1"/>
  <c r="R19" i="20" s="1"/>
  <c r="R18" i="20" s="1"/>
  <c r="R17" i="20" s="1"/>
  <c r="R16" i="20" s="1"/>
  <c r="R15" i="20" s="1"/>
  <c r="R14" i="20" s="1"/>
  <c r="R13" i="20" s="1"/>
  <c r="R12" i="20" s="1"/>
  <c r="R11" i="20" s="1"/>
  <c r="T11" i="20" s="1"/>
  <c r="N4" i="20"/>
  <c r="T12" i="20" l="1"/>
  <c r="F24" i="21"/>
  <c r="F24" i="22" l="1"/>
  <c r="F25" i="22"/>
  <c r="F26" i="22"/>
  <c r="F27" i="22"/>
  <c r="F14" i="26" l="1"/>
  <c r="Q6" i="22" l="1"/>
  <c r="J21" i="22" l="1"/>
  <c r="F27" i="23" l="1"/>
  <c r="F33" i="25" l="1"/>
  <c r="J31" i="22" l="1"/>
  <c r="X41" i="26" l="1"/>
  <c r="F28" i="26" l="1"/>
  <c r="F13" i="21" l="1"/>
  <c r="F14" i="21"/>
  <c r="F15" i="21"/>
  <c r="F16" i="21"/>
  <c r="F17" i="21"/>
  <c r="F18" i="21"/>
  <c r="F19" i="21"/>
  <c r="F20" i="21"/>
  <c r="F21" i="21"/>
  <c r="F22" i="21"/>
  <c r="F23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28" i="23" l="1"/>
  <c r="R40" i="25" l="1"/>
  <c r="R39" i="25" s="1"/>
  <c r="R38" i="25" s="1"/>
  <c r="R37" i="25" s="1"/>
  <c r="R36" i="25" s="1"/>
  <c r="R35" i="25" s="1"/>
  <c r="R34" i="25" s="1"/>
  <c r="R33" i="25" s="1"/>
  <c r="R32" i="25" s="1"/>
  <c r="R31" i="25" s="1"/>
  <c r="R30" i="25" s="1"/>
  <c r="R29" i="25" s="1"/>
  <c r="R28" i="25" s="1"/>
  <c r="R27" i="25" s="1"/>
  <c r="R26" i="25" s="1"/>
  <c r="R25" i="25" s="1"/>
  <c r="R24" i="25" s="1"/>
  <c r="R23" i="25" s="1"/>
  <c r="R22" i="25" s="1"/>
  <c r="R21" i="25" s="1"/>
  <c r="R20" i="25" s="1"/>
  <c r="R40" i="24"/>
  <c r="R39" i="24" s="1"/>
  <c r="R38" i="24" s="1"/>
  <c r="R37" i="24" s="1"/>
  <c r="R36" i="24" s="1"/>
  <c r="R35" i="24" s="1"/>
  <c r="R34" i="24" s="1"/>
  <c r="R33" i="24" s="1"/>
  <c r="R32" i="24" s="1"/>
  <c r="R31" i="24" s="1"/>
  <c r="R30" i="24" s="1"/>
  <c r="R29" i="24" s="1"/>
  <c r="R28" i="24" s="1"/>
  <c r="R27" i="24" s="1"/>
  <c r="R26" i="24" s="1"/>
  <c r="R25" i="24" s="1"/>
  <c r="R24" i="24" s="1"/>
  <c r="R23" i="24" s="1"/>
  <c r="R22" i="24" s="1"/>
  <c r="R21" i="24" s="1"/>
  <c r="R20" i="24" s="1"/>
  <c r="R19" i="24" s="1"/>
  <c r="R18" i="24" s="1"/>
  <c r="R17" i="24" s="1"/>
  <c r="R16" i="24" s="1"/>
  <c r="R40" i="22"/>
  <c r="R39" i="22" s="1"/>
  <c r="R38" i="22" s="1"/>
  <c r="R37" i="22" s="1"/>
  <c r="R36" i="22" s="1"/>
  <c r="R35" i="22" s="1"/>
  <c r="R34" i="22" s="1"/>
  <c r="R33" i="22" s="1"/>
  <c r="R32" i="22" s="1"/>
  <c r="R31" i="22" s="1"/>
  <c r="R30" i="22" s="1"/>
  <c r="R29" i="22" s="1"/>
  <c r="R28" i="22" s="1"/>
  <c r="R27" i="22" s="1"/>
  <c r="R26" i="22" s="1"/>
  <c r="R40" i="21"/>
  <c r="R39" i="21" s="1"/>
  <c r="R38" i="21" s="1"/>
  <c r="R37" i="21" s="1"/>
  <c r="R36" i="21" s="1"/>
  <c r="R35" i="21" s="1"/>
  <c r="R34" i="21" s="1"/>
  <c r="R33" i="21" s="1"/>
  <c r="R32" i="21" s="1"/>
  <c r="R31" i="21" s="1"/>
  <c r="R30" i="21" s="1"/>
  <c r="R29" i="21" s="1"/>
  <c r="R28" i="21" s="1"/>
  <c r="R27" i="21" s="1"/>
  <c r="R26" i="21" s="1"/>
  <c r="R25" i="21" s="1"/>
  <c r="R24" i="21" s="1"/>
  <c r="R23" i="21" s="1"/>
  <c r="R22" i="21" s="1"/>
  <c r="R21" i="21" s="1"/>
  <c r="R20" i="21" s="1"/>
  <c r="R19" i="21" s="1"/>
  <c r="R18" i="21" s="1"/>
  <c r="R17" i="21" s="1"/>
  <c r="R16" i="21" l="1"/>
  <c r="R15" i="21" s="1"/>
  <c r="R14" i="21" s="1"/>
  <c r="R13" i="21" s="1"/>
  <c r="R12" i="21" s="1"/>
  <c r="R11" i="21" s="1"/>
  <c r="T11" i="21" s="1"/>
  <c r="R15" i="24"/>
  <c r="R14" i="24" s="1"/>
  <c r="R13" i="24" s="1"/>
  <c r="R12" i="24" s="1"/>
  <c r="R11" i="24" s="1"/>
  <c r="T11" i="24" s="1"/>
  <c r="R19" i="25"/>
  <c r="R25" i="22"/>
  <c r="L22" i="22"/>
  <c r="F29" i="26"/>
  <c r="T12" i="24" l="1"/>
  <c r="T12" i="21"/>
  <c r="R18" i="25"/>
  <c r="T19" i="25"/>
  <c r="R24" i="22"/>
  <c r="T25" i="22"/>
  <c r="M37" i="20"/>
  <c r="M36" i="20"/>
  <c r="K37" i="20"/>
  <c r="J37" i="20"/>
  <c r="L37" i="20"/>
  <c r="R17" i="25" l="1"/>
  <c r="T18" i="25"/>
  <c r="R23" i="22"/>
  <c r="T24" i="22"/>
  <c r="F17" i="26"/>
  <c r="R16" i="25" l="1"/>
  <c r="T17" i="25"/>
  <c r="R22" i="22"/>
  <c r="R21" i="22" s="1"/>
  <c r="R20" i="22" s="1"/>
  <c r="R19" i="22" s="1"/>
  <c r="R18" i="22" s="1"/>
  <c r="R17" i="22" s="1"/>
  <c r="R16" i="22" s="1"/>
  <c r="R15" i="22" s="1"/>
  <c r="R14" i="22" s="1"/>
  <c r="R13" i="22" s="1"/>
  <c r="R12" i="22" s="1"/>
  <c r="R11" i="22" s="1"/>
  <c r="T11" i="22" s="1"/>
  <c r="O6" i="26"/>
  <c r="N41" i="26" s="1"/>
  <c r="O6" i="25"/>
  <c r="N41" i="25" s="1"/>
  <c r="O6" i="24"/>
  <c r="N41" i="24" s="1"/>
  <c r="O6" i="23"/>
  <c r="N41" i="23" s="1"/>
  <c r="O6" i="22"/>
  <c r="N41" i="22" s="1"/>
  <c r="O6" i="21"/>
  <c r="N41" i="21" s="1"/>
  <c r="O6" i="20"/>
  <c r="N41" i="20" s="1"/>
  <c r="U41" i="24" l="1"/>
  <c r="T12" i="22"/>
  <c r="T16" i="25"/>
  <c r="R15" i="25"/>
  <c r="R14" i="25" s="1"/>
  <c r="R13" i="25" s="1"/>
  <c r="R12" i="25" s="1"/>
  <c r="R11" i="25" s="1"/>
  <c r="T11" i="25" s="1"/>
  <c r="F33" i="22"/>
  <c r="T12" i="25" l="1"/>
  <c r="F22" i="20"/>
  <c r="F28" i="25" l="1"/>
  <c r="J16" i="20" l="1"/>
  <c r="J16" i="23" l="1"/>
  <c r="J17" i="23"/>
  <c r="M41" i="26" l="1"/>
  <c r="L41" i="26"/>
  <c r="O41" i="26" s="1"/>
  <c r="V41" i="26" s="1"/>
  <c r="K41" i="26"/>
  <c r="H41" i="26" s="1"/>
  <c r="J41" i="26"/>
  <c r="F41" i="26"/>
  <c r="M40" i="26"/>
  <c r="L40" i="26"/>
  <c r="O40" i="26" s="1"/>
  <c r="K40" i="26"/>
  <c r="J40" i="26"/>
  <c r="F40" i="26"/>
  <c r="M39" i="26"/>
  <c r="L39" i="26"/>
  <c r="O39" i="26" s="1"/>
  <c r="K39" i="26"/>
  <c r="J39" i="26"/>
  <c r="F39" i="26"/>
  <c r="M38" i="26"/>
  <c r="L38" i="26"/>
  <c r="O38" i="26" s="1"/>
  <c r="K38" i="26"/>
  <c r="J38" i="26"/>
  <c r="M37" i="26"/>
  <c r="L37" i="26"/>
  <c r="O37" i="26" s="1"/>
  <c r="K37" i="26"/>
  <c r="J37" i="26"/>
  <c r="F37" i="26"/>
  <c r="M36" i="26"/>
  <c r="L36" i="26"/>
  <c r="O36" i="26" s="1"/>
  <c r="K36" i="26"/>
  <c r="J36" i="26"/>
  <c r="F36" i="26"/>
  <c r="M35" i="26"/>
  <c r="L35" i="26"/>
  <c r="O35" i="26" s="1"/>
  <c r="K35" i="26"/>
  <c r="J35" i="26"/>
  <c r="F35" i="26"/>
  <c r="M34" i="26"/>
  <c r="L34" i="26"/>
  <c r="O34" i="26" s="1"/>
  <c r="K34" i="26"/>
  <c r="J34" i="26"/>
  <c r="F34" i="26"/>
  <c r="M33" i="26"/>
  <c r="L33" i="26"/>
  <c r="O33" i="26" s="1"/>
  <c r="K33" i="26"/>
  <c r="J33" i="26"/>
  <c r="F33" i="26"/>
  <c r="M32" i="26"/>
  <c r="L32" i="26"/>
  <c r="O32" i="26" s="1"/>
  <c r="K32" i="26"/>
  <c r="J32" i="26"/>
  <c r="F32" i="26"/>
  <c r="M31" i="26"/>
  <c r="L31" i="26"/>
  <c r="O31" i="26" s="1"/>
  <c r="K31" i="26"/>
  <c r="J31" i="26"/>
  <c r="F31" i="26"/>
  <c r="M30" i="26"/>
  <c r="L30" i="26"/>
  <c r="O30" i="26" s="1"/>
  <c r="K30" i="26"/>
  <c r="J30" i="26"/>
  <c r="F30" i="26"/>
  <c r="M29" i="26"/>
  <c r="L29" i="26"/>
  <c r="O29" i="26" s="1"/>
  <c r="K29" i="26"/>
  <c r="J29" i="26"/>
  <c r="M28" i="26"/>
  <c r="L28" i="26"/>
  <c r="O28" i="26" s="1"/>
  <c r="K28" i="26"/>
  <c r="J28" i="26"/>
  <c r="M27" i="26"/>
  <c r="L27" i="26"/>
  <c r="O27" i="26" s="1"/>
  <c r="K27" i="26"/>
  <c r="J27" i="26"/>
  <c r="F27" i="26"/>
  <c r="M26" i="26"/>
  <c r="L26" i="26"/>
  <c r="O26" i="26" s="1"/>
  <c r="K26" i="26"/>
  <c r="J26" i="26"/>
  <c r="F26" i="26"/>
  <c r="M25" i="26"/>
  <c r="L25" i="26"/>
  <c r="O25" i="26" s="1"/>
  <c r="K25" i="26"/>
  <c r="J25" i="26"/>
  <c r="F25" i="26"/>
  <c r="M24" i="26"/>
  <c r="L24" i="26"/>
  <c r="O24" i="26" s="1"/>
  <c r="K24" i="26"/>
  <c r="J24" i="26"/>
  <c r="F24" i="26"/>
  <c r="M23" i="26"/>
  <c r="L23" i="26"/>
  <c r="O23" i="26" s="1"/>
  <c r="K23" i="26"/>
  <c r="J23" i="26"/>
  <c r="F23" i="26"/>
  <c r="M22" i="26"/>
  <c r="L22" i="26"/>
  <c r="O22" i="26" s="1"/>
  <c r="K22" i="26"/>
  <c r="J22" i="26"/>
  <c r="M21" i="26"/>
  <c r="L21" i="26"/>
  <c r="O21" i="26" s="1"/>
  <c r="K21" i="26"/>
  <c r="J21" i="26"/>
  <c r="F21" i="26"/>
  <c r="M20" i="26"/>
  <c r="L20" i="26"/>
  <c r="O20" i="26" s="1"/>
  <c r="K20" i="26"/>
  <c r="J20" i="26"/>
  <c r="F20" i="26"/>
  <c r="M19" i="26"/>
  <c r="L19" i="26"/>
  <c r="O19" i="26" s="1"/>
  <c r="K19" i="26"/>
  <c r="J19" i="26"/>
  <c r="F19" i="26"/>
  <c r="M18" i="26"/>
  <c r="L18" i="26"/>
  <c r="O18" i="26" s="1"/>
  <c r="K18" i="26"/>
  <c r="J18" i="26"/>
  <c r="F18" i="26"/>
  <c r="M17" i="26"/>
  <c r="L17" i="26"/>
  <c r="O17" i="26" s="1"/>
  <c r="K17" i="26"/>
  <c r="J17" i="26"/>
  <c r="M16" i="26"/>
  <c r="L16" i="26"/>
  <c r="O16" i="26" s="1"/>
  <c r="K16" i="26"/>
  <c r="J16" i="26"/>
  <c r="F16" i="26"/>
  <c r="M15" i="26"/>
  <c r="L15" i="26"/>
  <c r="O15" i="26" s="1"/>
  <c r="K15" i="26"/>
  <c r="J15" i="26"/>
  <c r="F15" i="26"/>
  <c r="M14" i="26"/>
  <c r="L14" i="26"/>
  <c r="O14" i="26" s="1"/>
  <c r="K14" i="26"/>
  <c r="M13" i="26"/>
  <c r="L13" i="26"/>
  <c r="O13" i="26" s="1"/>
  <c r="K13" i="26"/>
  <c r="J13" i="26"/>
  <c r="F13" i="26"/>
  <c r="Q6" i="26"/>
  <c r="U41" i="26"/>
  <c r="X41" i="25"/>
  <c r="M41" i="25"/>
  <c r="L41" i="25"/>
  <c r="O41" i="25" s="1"/>
  <c r="V41" i="25" s="1"/>
  <c r="K41" i="25"/>
  <c r="J41" i="25"/>
  <c r="F41" i="25"/>
  <c r="M40" i="25"/>
  <c r="L40" i="25"/>
  <c r="O40" i="25" s="1"/>
  <c r="K40" i="25"/>
  <c r="J40" i="25"/>
  <c r="F40" i="25"/>
  <c r="M39" i="25"/>
  <c r="L39" i="25"/>
  <c r="O39" i="25" s="1"/>
  <c r="K39" i="25"/>
  <c r="J39" i="25"/>
  <c r="F39" i="25"/>
  <c r="M38" i="25"/>
  <c r="L38" i="25"/>
  <c r="O38" i="25" s="1"/>
  <c r="K38" i="25"/>
  <c r="J38" i="25"/>
  <c r="F38" i="25"/>
  <c r="M37" i="25"/>
  <c r="L37" i="25"/>
  <c r="O37" i="25" s="1"/>
  <c r="K37" i="25"/>
  <c r="J37" i="25"/>
  <c r="F37" i="25"/>
  <c r="M36" i="25"/>
  <c r="L36" i="25"/>
  <c r="O36" i="25" s="1"/>
  <c r="K36" i="25"/>
  <c r="J36" i="25"/>
  <c r="F36" i="25"/>
  <c r="M35" i="25"/>
  <c r="L35" i="25"/>
  <c r="O35" i="25" s="1"/>
  <c r="K35" i="25"/>
  <c r="J35" i="25"/>
  <c r="F35" i="25"/>
  <c r="M34" i="25"/>
  <c r="L34" i="25"/>
  <c r="O34" i="25" s="1"/>
  <c r="K34" i="25"/>
  <c r="J34" i="25"/>
  <c r="F34" i="25"/>
  <c r="M33" i="25"/>
  <c r="L33" i="25"/>
  <c r="O33" i="25" s="1"/>
  <c r="K33" i="25"/>
  <c r="J33" i="25"/>
  <c r="M32" i="25"/>
  <c r="L32" i="25"/>
  <c r="O32" i="25" s="1"/>
  <c r="K32" i="25"/>
  <c r="J32" i="25"/>
  <c r="F32" i="25"/>
  <c r="M31" i="25"/>
  <c r="L31" i="25"/>
  <c r="O31" i="25" s="1"/>
  <c r="K31" i="25"/>
  <c r="J31" i="25"/>
  <c r="F31" i="25"/>
  <c r="M30" i="25"/>
  <c r="L30" i="25"/>
  <c r="O30" i="25" s="1"/>
  <c r="K30" i="25"/>
  <c r="J30" i="25"/>
  <c r="F30" i="25"/>
  <c r="M29" i="25"/>
  <c r="L29" i="25"/>
  <c r="O29" i="25" s="1"/>
  <c r="K29" i="25"/>
  <c r="J29" i="25"/>
  <c r="F29" i="25"/>
  <c r="M28" i="25"/>
  <c r="L28" i="25"/>
  <c r="O28" i="25" s="1"/>
  <c r="K28" i="25"/>
  <c r="J28" i="25"/>
  <c r="M27" i="25"/>
  <c r="L27" i="25"/>
  <c r="O27" i="25" s="1"/>
  <c r="K27" i="25"/>
  <c r="J27" i="25"/>
  <c r="F27" i="25"/>
  <c r="M26" i="25"/>
  <c r="L26" i="25"/>
  <c r="O26" i="25" s="1"/>
  <c r="K26" i="25"/>
  <c r="J26" i="25"/>
  <c r="F26" i="25"/>
  <c r="M25" i="25"/>
  <c r="L25" i="25"/>
  <c r="O25" i="25" s="1"/>
  <c r="K25" i="25"/>
  <c r="J25" i="25"/>
  <c r="F25" i="25"/>
  <c r="M24" i="25"/>
  <c r="L24" i="25"/>
  <c r="O24" i="25" s="1"/>
  <c r="K24" i="25"/>
  <c r="J24" i="25"/>
  <c r="F24" i="25"/>
  <c r="M23" i="25"/>
  <c r="L23" i="25"/>
  <c r="O23" i="25" s="1"/>
  <c r="K23" i="25"/>
  <c r="J23" i="25"/>
  <c r="F23" i="25"/>
  <c r="M22" i="25"/>
  <c r="L22" i="25"/>
  <c r="O22" i="25" s="1"/>
  <c r="K22" i="25"/>
  <c r="J22" i="25"/>
  <c r="F22" i="25"/>
  <c r="L21" i="25"/>
  <c r="O21" i="25" s="1"/>
  <c r="K21" i="25"/>
  <c r="J21" i="25"/>
  <c r="F21" i="25"/>
  <c r="L20" i="25"/>
  <c r="O20" i="25" s="1"/>
  <c r="K20" i="25"/>
  <c r="J20" i="25"/>
  <c r="F20" i="25"/>
  <c r="L15" i="25"/>
  <c r="O15" i="25" s="1"/>
  <c r="K15" i="25"/>
  <c r="J15" i="25"/>
  <c r="M14" i="25"/>
  <c r="L14" i="25"/>
  <c r="O14" i="25" s="1"/>
  <c r="K14" i="25"/>
  <c r="J14" i="25"/>
  <c r="M13" i="25"/>
  <c r="L13" i="25"/>
  <c r="O13" i="25" s="1"/>
  <c r="K13" i="25"/>
  <c r="J13" i="25"/>
  <c r="Q6" i="25"/>
  <c r="L41" i="24"/>
  <c r="O41" i="24" s="1"/>
  <c r="V41" i="24" s="1"/>
  <c r="K41" i="24"/>
  <c r="J41" i="24"/>
  <c r="L40" i="24"/>
  <c r="O40" i="24" s="1"/>
  <c r="K40" i="24"/>
  <c r="J40" i="24"/>
  <c r="M39" i="24"/>
  <c r="L39" i="24"/>
  <c r="O39" i="24" s="1"/>
  <c r="K39" i="24"/>
  <c r="J39" i="24"/>
  <c r="M38" i="24"/>
  <c r="L38" i="24"/>
  <c r="O38" i="24" s="1"/>
  <c r="K38" i="24"/>
  <c r="J38" i="24"/>
  <c r="M37" i="24"/>
  <c r="L37" i="24"/>
  <c r="O37" i="24" s="1"/>
  <c r="K37" i="24"/>
  <c r="J37" i="24"/>
  <c r="M36" i="24"/>
  <c r="L36" i="24"/>
  <c r="O36" i="24" s="1"/>
  <c r="K36" i="24"/>
  <c r="J36" i="24"/>
  <c r="F36" i="24"/>
  <c r="M35" i="24"/>
  <c r="O35" i="24"/>
  <c r="K35" i="24"/>
  <c r="J35" i="24"/>
  <c r="M34" i="24"/>
  <c r="L34" i="24"/>
  <c r="O34" i="24" s="1"/>
  <c r="K34" i="24"/>
  <c r="J34" i="24"/>
  <c r="F34" i="24"/>
  <c r="M33" i="24"/>
  <c r="L33" i="24"/>
  <c r="O33" i="24" s="1"/>
  <c r="K33" i="24"/>
  <c r="J33" i="24"/>
  <c r="F33" i="24"/>
  <c r="M32" i="24"/>
  <c r="L32" i="24"/>
  <c r="O32" i="24" s="1"/>
  <c r="K32" i="24"/>
  <c r="J32" i="24"/>
  <c r="F32" i="24"/>
  <c r="M31" i="24"/>
  <c r="L31" i="24"/>
  <c r="O31" i="24" s="1"/>
  <c r="K31" i="24"/>
  <c r="J31" i="24"/>
  <c r="F31" i="24"/>
  <c r="M30" i="24"/>
  <c r="L30" i="24"/>
  <c r="O30" i="24" s="1"/>
  <c r="K30" i="24"/>
  <c r="J30" i="24"/>
  <c r="F30" i="24"/>
  <c r="M29" i="24"/>
  <c r="L29" i="24"/>
  <c r="O29" i="24" s="1"/>
  <c r="K29" i="24"/>
  <c r="J29" i="24"/>
  <c r="F29" i="24"/>
  <c r="M28" i="24"/>
  <c r="L28" i="24"/>
  <c r="O28" i="24" s="1"/>
  <c r="K28" i="24"/>
  <c r="J28" i="24"/>
  <c r="F28" i="24"/>
  <c r="M27" i="24"/>
  <c r="L27" i="24"/>
  <c r="O27" i="24" s="1"/>
  <c r="K27" i="24"/>
  <c r="J27" i="24"/>
  <c r="F27" i="24"/>
  <c r="M26" i="24"/>
  <c r="L26" i="24"/>
  <c r="O26" i="24" s="1"/>
  <c r="K26" i="24"/>
  <c r="J26" i="24"/>
  <c r="M25" i="24"/>
  <c r="L25" i="24"/>
  <c r="O25" i="24" s="1"/>
  <c r="K25" i="24"/>
  <c r="J25" i="24"/>
  <c r="F25" i="24"/>
  <c r="M24" i="24"/>
  <c r="L24" i="24"/>
  <c r="O24" i="24" s="1"/>
  <c r="K24" i="24"/>
  <c r="J24" i="24"/>
  <c r="F24" i="24"/>
  <c r="M23" i="24"/>
  <c r="L23" i="24"/>
  <c r="O23" i="24" s="1"/>
  <c r="K23" i="24"/>
  <c r="J23" i="24"/>
  <c r="M22" i="24"/>
  <c r="L22" i="24"/>
  <c r="O22" i="24" s="1"/>
  <c r="K22" i="24"/>
  <c r="J22" i="24"/>
  <c r="F22" i="24"/>
  <c r="M21" i="24"/>
  <c r="L21" i="24"/>
  <c r="O21" i="24" s="1"/>
  <c r="K21" i="24"/>
  <c r="J21" i="24"/>
  <c r="F21" i="24"/>
  <c r="M20" i="24"/>
  <c r="L20" i="24"/>
  <c r="O20" i="24" s="1"/>
  <c r="K20" i="24"/>
  <c r="J20" i="24"/>
  <c r="F20" i="24"/>
  <c r="M19" i="24"/>
  <c r="L19" i="24"/>
  <c r="O19" i="24" s="1"/>
  <c r="K19" i="24"/>
  <c r="J19" i="24"/>
  <c r="F19" i="24"/>
  <c r="M18" i="24"/>
  <c r="L18" i="24"/>
  <c r="O18" i="24" s="1"/>
  <c r="K18" i="24"/>
  <c r="J18" i="24"/>
  <c r="F18" i="24"/>
  <c r="M17" i="24"/>
  <c r="L17" i="24"/>
  <c r="O17" i="24" s="1"/>
  <c r="K17" i="24"/>
  <c r="J17" i="24"/>
  <c r="F17" i="24"/>
  <c r="M16" i="24"/>
  <c r="L16" i="24"/>
  <c r="O16" i="24" s="1"/>
  <c r="K16" i="24"/>
  <c r="J16" i="24"/>
  <c r="F16" i="24"/>
  <c r="M15" i="24"/>
  <c r="L15" i="24"/>
  <c r="O15" i="24" s="1"/>
  <c r="K15" i="24"/>
  <c r="J15" i="24"/>
  <c r="F15" i="24"/>
  <c r="M14" i="24"/>
  <c r="L14" i="24"/>
  <c r="O14" i="24" s="1"/>
  <c r="K14" i="24"/>
  <c r="J14" i="24"/>
  <c r="F14" i="24"/>
  <c r="M13" i="24"/>
  <c r="L13" i="24"/>
  <c r="O13" i="24" s="1"/>
  <c r="K13" i="24"/>
  <c r="J13" i="24"/>
  <c r="F13" i="24"/>
  <c r="Q6" i="24"/>
  <c r="M41" i="23"/>
  <c r="L41" i="23"/>
  <c r="O41" i="23" s="1"/>
  <c r="V41" i="23" s="1"/>
  <c r="J41" i="23"/>
  <c r="F41" i="23"/>
  <c r="M40" i="23"/>
  <c r="L40" i="23"/>
  <c r="O40" i="23" s="1"/>
  <c r="J40" i="23"/>
  <c r="F40" i="23"/>
  <c r="M39" i="23"/>
  <c r="L39" i="23"/>
  <c r="O39" i="23" s="1"/>
  <c r="J39" i="23"/>
  <c r="F39" i="23"/>
  <c r="M38" i="23"/>
  <c r="L38" i="23"/>
  <c r="O38" i="23" s="1"/>
  <c r="J38" i="23"/>
  <c r="F38" i="23"/>
  <c r="M37" i="23"/>
  <c r="L37" i="23"/>
  <c r="O37" i="23" s="1"/>
  <c r="J37" i="23"/>
  <c r="F37" i="23"/>
  <c r="M36" i="23"/>
  <c r="L36" i="23"/>
  <c r="O36" i="23" s="1"/>
  <c r="J36" i="23"/>
  <c r="F36" i="23"/>
  <c r="M35" i="23"/>
  <c r="L35" i="23"/>
  <c r="O35" i="23" s="1"/>
  <c r="J35" i="23"/>
  <c r="F35" i="23"/>
  <c r="M34" i="23"/>
  <c r="L34" i="23"/>
  <c r="O34" i="23" s="1"/>
  <c r="J34" i="23"/>
  <c r="F34" i="23"/>
  <c r="M33" i="23"/>
  <c r="L33" i="23"/>
  <c r="O33" i="23" s="1"/>
  <c r="J33" i="23"/>
  <c r="F33" i="23"/>
  <c r="M32" i="23"/>
  <c r="L32" i="23"/>
  <c r="O32" i="23" s="1"/>
  <c r="J32" i="23"/>
  <c r="F32" i="23"/>
  <c r="M31" i="23"/>
  <c r="L31" i="23"/>
  <c r="O31" i="23" s="1"/>
  <c r="J31" i="23"/>
  <c r="F31" i="23"/>
  <c r="M30" i="23"/>
  <c r="L30" i="23"/>
  <c r="O30" i="23" s="1"/>
  <c r="K30" i="23"/>
  <c r="J30" i="23"/>
  <c r="F30" i="23"/>
  <c r="M29" i="23"/>
  <c r="L29" i="23"/>
  <c r="O29" i="23" s="1"/>
  <c r="K29" i="23"/>
  <c r="J29" i="23"/>
  <c r="F29" i="23"/>
  <c r="M28" i="23"/>
  <c r="L28" i="23"/>
  <c r="O28" i="23" s="1"/>
  <c r="K28" i="23"/>
  <c r="J28" i="23"/>
  <c r="M27" i="23"/>
  <c r="L27" i="23"/>
  <c r="O27" i="23" s="1"/>
  <c r="K27" i="23"/>
  <c r="J27" i="23"/>
  <c r="M26" i="23"/>
  <c r="L26" i="23"/>
  <c r="O26" i="23" s="1"/>
  <c r="K26" i="23"/>
  <c r="J26" i="23"/>
  <c r="F26" i="23"/>
  <c r="M25" i="23"/>
  <c r="L25" i="23"/>
  <c r="O25" i="23" s="1"/>
  <c r="K25" i="23"/>
  <c r="J25" i="23"/>
  <c r="F25" i="23"/>
  <c r="M24" i="23"/>
  <c r="L24" i="23"/>
  <c r="O24" i="23" s="1"/>
  <c r="K24" i="23"/>
  <c r="J24" i="23"/>
  <c r="M23" i="23"/>
  <c r="L23" i="23"/>
  <c r="O23" i="23" s="1"/>
  <c r="K23" i="23"/>
  <c r="J23" i="23"/>
  <c r="F23" i="23"/>
  <c r="M22" i="23"/>
  <c r="L22" i="23"/>
  <c r="O22" i="23" s="1"/>
  <c r="K22" i="23"/>
  <c r="J22" i="23"/>
  <c r="F22" i="23"/>
  <c r="M21" i="23"/>
  <c r="L21" i="23"/>
  <c r="O21" i="23" s="1"/>
  <c r="K21" i="23"/>
  <c r="J21" i="23"/>
  <c r="F21" i="23"/>
  <c r="M20" i="23"/>
  <c r="L20" i="23"/>
  <c r="O20" i="23" s="1"/>
  <c r="K20" i="23"/>
  <c r="J20" i="23"/>
  <c r="F20" i="23"/>
  <c r="M19" i="23"/>
  <c r="L19" i="23"/>
  <c r="O19" i="23" s="1"/>
  <c r="K19" i="23"/>
  <c r="J19" i="23"/>
  <c r="F19" i="23"/>
  <c r="M18" i="23"/>
  <c r="L18" i="23"/>
  <c r="O18" i="23" s="1"/>
  <c r="K18" i="23"/>
  <c r="J18" i="23"/>
  <c r="F18" i="23"/>
  <c r="M17" i="23"/>
  <c r="L17" i="23"/>
  <c r="O17" i="23" s="1"/>
  <c r="K17" i="23"/>
  <c r="F17" i="23"/>
  <c r="M16" i="23"/>
  <c r="L16" i="23"/>
  <c r="O16" i="23" s="1"/>
  <c r="K16" i="23"/>
  <c r="F16" i="23"/>
  <c r="M15" i="23"/>
  <c r="L15" i="23"/>
  <c r="O15" i="23" s="1"/>
  <c r="K15" i="23"/>
  <c r="J15" i="23"/>
  <c r="F15" i="23"/>
  <c r="M14" i="23"/>
  <c r="L14" i="23"/>
  <c r="O14" i="23" s="1"/>
  <c r="K14" i="23"/>
  <c r="J14" i="23"/>
  <c r="F14" i="23"/>
  <c r="M13" i="23"/>
  <c r="L13" i="23"/>
  <c r="O13" i="23" s="1"/>
  <c r="K13" i="23"/>
  <c r="J13" i="23"/>
  <c r="F13" i="23"/>
  <c r="Q6" i="23"/>
  <c r="M41" i="22"/>
  <c r="L41" i="22"/>
  <c r="O41" i="22" s="1"/>
  <c r="V41" i="22" s="1"/>
  <c r="K41" i="22"/>
  <c r="J41" i="22"/>
  <c r="F41" i="22"/>
  <c r="M40" i="22"/>
  <c r="L40" i="22"/>
  <c r="O40" i="22" s="1"/>
  <c r="K40" i="22"/>
  <c r="J40" i="22"/>
  <c r="M39" i="22"/>
  <c r="L39" i="22"/>
  <c r="O39" i="22" s="1"/>
  <c r="J39" i="22"/>
  <c r="F39" i="22"/>
  <c r="L38" i="22"/>
  <c r="O38" i="22" s="1"/>
  <c r="J38" i="22"/>
  <c r="F38" i="22"/>
  <c r="M37" i="22"/>
  <c r="L37" i="22"/>
  <c r="O37" i="22" s="1"/>
  <c r="J37" i="22"/>
  <c r="F37" i="22"/>
  <c r="M36" i="22"/>
  <c r="L36" i="22"/>
  <c r="O36" i="22" s="1"/>
  <c r="K36" i="22"/>
  <c r="J36" i="22"/>
  <c r="F36" i="22"/>
  <c r="M35" i="22"/>
  <c r="L35" i="22"/>
  <c r="O35" i="22" s="1"/>
  <c r="K35" i="22"/>
  <c r="J35" i="22"/>
  <c r="M34" i="22"/>
  <c r="L34" i="22"/>
  <c r="O34" i="22" s="1"/>
  <c r="K34" i="22"/>
  <c r="J34" i="22"/>
  <c r="F34" i="22"/>
  <c r="M33" i="22"/>
  <c r="L33" i="22"/>
  <c r="O33" i="22" s="1"/>
  <c r="K33" i="22"/>
  <c r="J33" i="22"/>
  <c r="M32" i="22"/>
  <c r="L32" i="22"/>
  <c r="O32" i="22" s="1"/>
  <c r="K32" i="22"/>
  <c r="J32" i="22"/>
  <c r="F32" i="22"/>
  <c r="M31" i="22"/>
  <c r="L31" i="22"/>
  <c r="O31" i="22" s="1"/>
  <c r="K31" i="22"/>
  <c r="F31" i="22"/>
  <c r="M30" i="22"/>
  <c r="L30" i="22"/>
  <c r="O30" i="22" s="1"/>
  <c r="K30" i="22"/>
  <c r="J30" i="22"/>
  <c r="F30" i="22"/>
  <c r="M29" i="22"/>
  <c r="L29" i="22"/>
  <c r="O29" i="22" s="1"/>
  <c r="K29" i="22"/>
  <c r="J29" i="22"/>
  <c r="F29" i="22"/>
  <c r="M28" i="22"/>
  <c r="L28" i="22"/>
  <c r="O28" i="22" s="1"/>
  <c r="K28" i="22"/>
  <c r="J28" i="22"/>
  <c r="F28" i="22"/>
  <c r="M27" i="22"/>
  <c r="L27" i="22"/>
  <c r="O27" i="22" s="1"/>
  <c r="K27" i="22"/>
  <c r="J27" i="22"/>
  <c r="M26" i="22"/>
  <c r="M25" i="22"/>
  <c r="AA25" i="22" s="1"/>
  <c r="M24" i="22"/>
  <c r="AA24" i="22" s="1"/>
  <c r="M23" i="22"/>
  <c r="L23" i="22"/>
  <c r="O23" i="22" s="1"/>
  <c r="K23" i="22"/>
  <c r="M22" i="22"/>
  <c r="O22" i="22"/>
  <c r="K22" i="22"/>
  <c r="J22" i="22"/>
  <c r="F22" i="22"/>
  <c r="M21" i="22"/>
  <c r="L21" i="22"/>
  <c r="O21" i="22" s="1"/>
  <c r="K21" i="22"/>
  <c r="F21" i="22"/>
  <c r="M20" i="22"/>
  <c r="L20" i="22"/>
  <c r="O20" i="22" s="1"/>
  <c r="K20" i="22"/>
  <c r="J20" i="22"/>
  <c r="M19" i="22"/>
  <c r="L19" i="22"/>
  <c r="O19" i="22" s="1"/>
  <c r="K19" i="22"/>
  <c r="J19" i="22"/>
  <c r="M18" i="22"/>
  <c r="L18" i="22"/>
  <c r="O18" i="22" s="1"/>
  <c r="K18" i="22"/>
  <c r="J18" i="22"/>
  <c r="M17" i="22"/>
  <c r="L17" i="22"/>
  <c r="O17" i="22" s="1"/>
  <c r="K17" i="22"/>
  <c r="J17" i="22"/>
  <c r="M16" i="22"/>
  <c r="L16" i="22"/>
  <c r="O16" i="22" s="1"/>
  <c r="K16" i="22"/>
  <c r="J16" i="22"/>
  <c r="F16" i="22"/>
  <c r="M15" i="22"/>
  <c r="L15" i="22"/>
  <c r="O15" i="22" s="1"/>
  <c r="K15" i="22"/>
  <c r="J15" i="22"/>
  <c r="F15" i="22"/>
  <c r="M14" i="22"/>
  <c r="L14" i="22"/>
  <c r="O14" i="22" s="1"/>
  <c r="J14" i="22"/>
  <c r="M13" i="22"/>
  <c r="L13" i="22"/>
  <c r="O13" i="22" s="1"/>
  <c r="J13" i="22"/>
  <c r="F13" i="22"/>
  <c r="M41" i="21"/>
  <c r="L41" i="21"/>
  <c r="O41" i="21" s="1"/>
  <c r="V41" i="21" s="1"/>
  <c r="K41" i="21"/>
  <c r="J41" i="21"/>
  <c r="M40" i="21"/>
  <c r="L40" i="21"/>
  <c r="O40" i="21" s="1"/>
  <c r="K40" i="21"/>
  <c r="J40" i="21"/>
  <c r="M39" i="21"/>
  <c r="L39" i="21"/>
  <c r="O39" i="21" s="1"/>
  <c r="K39" i="21"/>
  <c r="J39" i="21"/>
  <c r="M38" i="21"/>
  <c r="L38" i="21"/>
  <c r="O38" i="21" s="1"/>
  <c r="K38" i="21"/>
  <c r="J38" i="21"/>
  <c r="M37" i="21"/>
  <c r="L37" i="21"/>
  <c r="O37" i="21" s="1"/>
  <c r="K37" i="21"/>
  <c r="J37" i="21"/>
  <c r="M36" i="21"/>
  <c r="L36" i="21"/>
  <c r="O36" i="21" s="1"/>
  <c r="K36" i="21"/>
  <c r="J36" i="21"/>
  <c r="M35" i="21"/>
  <c r="L35" i="21"/>
  <c r="O35" i="21" s="1"/>
  <c r="K35" i="21"/>
  <c r="J35" i="21"/>
  <c r="M34" i="21"/>
  <c r="L34" i="21"/>
  <c r="O34" i="21" s="1"/>
  <c r="K34" i="21"/>
  <c r="J34" i="21"/>
  <c r="M33" i="21"/>
  <c r="L33" i="21"/>
  <c r="O33" i="21" s="1"/>
  <c r="K33" i="21"/>
  <c r="J33" i="21"/>
  <c r="M32" i="21"/>
  <c r="L32" i="21"/>
  <c r="O32" i="21" s="1"/>
  <c r="K32" i="21"/>
  <c r="J32" i="21"/>
  <c r="M31" i="21"/>
  <c r="L31" i="21"/>
  <c r="O31" i="21" s="1"/>
  <c r="K31" i="21"/>
  <c r="J31" i="21"/>
  <c r="M30" i="21"/>
  <c r="L30" i="21"/>
  <c r="O30" i="21" s="1"/>
  <c r="K30" i="21"/>
  <c r="J30" i="21"/>
  <c r="M29" i="21"/>
  <c r="L29" i="21"/>
  <c r="O29" i="21" s="1"/>
  <c r="K29" i="21"/>
  <c r="J29" i="21"/>
  <c r="M28" i="21"/>
  <c r="L28" i="21"/>
  <c r="O28" i="21" s="1"/>
  <c r="K28" i="21"/>
  <c r="J28" i="21"/>
  <c r="M27" i="21"/>
  <c r="L27" i="21"/>
  <c r="O27" i="21" s="1"/>
  <c r="K27" i="21"/>
  <c r="J27" i="21"/>
  <c r="M26" i="21"/>
  <c r="L26" i="21"/>
  <c r="O26" i="21" s="1"/>
  <c r="K26" i="21"/>
  <c r="J26" i="21"/>
  <c r="M25" i="21"/>
  <c r="L25" i="21"/>
  <c r="O25" i="21" s="1"/>
  <c r="K25" i="21"/>
  <c r="J25" i="21"/>
  <c r="M24" i="21"/>
  <c r="L24" i="21"/>
  <c r="O24" i="21" s="1"/>
  <c r="K24" i="21"/>
  <c r="J24" i="21"/>
  <c r="M23" i="21"/>
  <c r="L23" i="21"/>
  <c r="O23" i="21" s="1"/>
  <c r="K23" i="21"/>
  <c r="J23" i="21"/>
  <c r="M22" i="21"/>
  <c r="L22" i="21"/>
  <c r="O22" i="21" s="1"/>
  <c r="K22" i="21"/>
  <c r="J22" i="21"/>
  <c r="M21" i="21"/>
  <c r="L21" i="21"/>
  <c r="O21" i="21" s="1"/>
  <c r="K21" i="21"/>
  <c r="J21" i="21"/>
  <c r="M20" i="21"/>
  <c r="L20" i="21"/>
  <c r="O20" i="21" s="1"/>
  <c r="K20" i="21"/>
  <c r="J20" i="21"/>
  <c r="M19" i="21"/>
  <c r="L19" i="21"/>
  <c r="O19" i="21" s="1"/>
  <c r="K19" i="21"/>
  <c r="M18" i="21"/>
  <c r="L18" i="21"/>
  <c r="O18" i="21" s="1"/>
  <c r="K18" i="21"/>
  <c r="J18" i="21"/>
  <c r="M17" i="21"/>
  <c r="L17" i="21"/>
  <c r="O17" i="21" s="1"/>
  <c r="K17" i="21"/>
  <c r="J17" i="21"/>
  <c r="M16" i="21"/>
  <c r="L16" i="21"/>
  <c r="O16" i="21" s="1"/>
  <c r="K16" i="21"/>
  <c r="J16" i="21"/>
  <c r="M15" i="21"/>
  <c r="L15" i="21"/>
  <c r="O15" i="21" s="1"/>
  <c r="K15" i="21"/>
  <c r="J15" i="21"/>
  <c r="M14" i="21"/>
  <c r="L14" i="21"/>
  <c r="O14" i="21" s="1"/>
  <c r="K14" i="21"/>
  <c r="J14" i="21"/>
  <c r="M13" i="21"/>
  <c r="L13" i="21"/>
  <c r="O13" i="21" s="1"/>
  <c r="K13" i="21"/>
  <c r="J13" i="21"/>
  <c r="M42" i="26" l="1"/>
  <c r="M42" i="23"/>
  <c r="M42" i="22"/>
  <c r="M42" i="21"/>
  <c r="S20" i="24"/>
  <c r="G20" i="24" s="1"/>
  <c r="S16" i="24"/>
  <c r="G16" i="24" s="1"/>
  <c r="S24" i="24"/>
  <c r="S28" i="24"/>
  <c r="S13" i="24"/>
  <c r="G13" i="24" s="1"/>
  <c r="S17" i="24"/>
  <c r="G17" i="24" s="1"/>
  <c r="S21" i="24"/>
  <c r="G21" i="24" s="1"/>
  <c r="S25" i="24"/>
  <c r="G25" i="24" s="1"/>
  <c r="S29" i="24"/>
  <c r="G29" i="24" s="1"/>
  <c r="S14" i="24"/>
  <c r="G14" i="24" s="1"/>
  <c r="S18" i="24"/>
  <c r="G18" i="24" s="1"/>
  <c r="S22" i="24"/>
  <c r="G22" i="24" s="1"/>
  <c r="S26" i="24"/>
  <c r="G26" i="24" s="1"/>
  <c r="S15" i="24"/>
  <c r="G15" i="24" s="1"/>
  <c r="S19" i="24"/>
  <c r="S23" i="24"/>
  <c r="S27" i="24"/>
  <c r="G27" i="24" s="1"/>
  <c r="S31" i="24"/>
  <c r="G31" i="24" s="1"/>
  <c r="S36" i="24"/>
  <c r="S37" i="24"/>
  <c r="G37" i="24" s="1"/>
  <c r="S38" i="24"/>
  <c r="G38" i="24" s="1"/>
  <c r="S39" i="24"/>
  <c r="G39" i="24" s="1"/>
  <c r="S40" i="24"/>
  <c r="G40" i="24" s="1"/>
  <c r="S41" i="24"/>
  <c r="G41" i="24" s="1"/>
  <c r="S32" i="24"/>
  <c r="S33" i="24"/>
  <c r="G33" i="24" s="1"/>
  <c r="S30" i="24"/>
  <c r="S34" i="24"/>
  <c r="G34" i="24" s="1"/>
  <c r="S35" i="24"/>
  <c r="G35" i="24" s="1"/>
  <c r="S23" i="22"/>
  <c r="S18" i="26"/>
  <c r="S17" i="23"/>
  <c r="G17" i="23" s="1"/>
  <c r="H17" i="23" s="1"/>
  <c r="S37" i="26"/>
  <c r="S39" i="23"/>
  <c r="G39" i="23" s="1"/>
  <c r="S19" i="26"/>
  <c r="S19" i="22"/>
  <c r="S31" i="23"/>
  <c r="G31" i="23" s="1"/>
  <c r="S33" i="25"/>
  <c r="G33" i="25" s="1"/>
  <c r="S33" i="21"/>
  <c r="G33" i="21" s="1"/>
  <c r="S34" i="22"/>
  <c r="G34" i="22" s="1"/>
  <c r="S36" i="21"/>
  <c r="S40" i="25"/>
  <c r="G40" i="25" s="1"/>
  <c r="H40" i="25" s="1"/>
  <c r="S40" i="21"/>
  <c r="G40" i="21" s="1"/>
  <c r="V40" i="26"/>
  <c r="V39" i="26" s="1"/>
  <c r="V38" i="26" s="1"/>
  <c r="V37" i="26" s="1"/>
  <c r="V36" i="26" s="1"/>
  <c r="V35" i="26" s="1"/>
  <c r="V34" i="26" s="1"/>
  <c r="V33" i="26" s="1"/>
  <c r="V32" i="26" s="1"/>
  <c r="V31" i="26" s="1"/>
  <c r="V30" i="26" s="1"/>
  <c r="V29" i="26" s="1"/>
  <c r="V28" i="26" s="1"/>
  <c r="V27" i="26" s="1"/>
  <c r="V26" i="26" s="1"/>
  <c r="V25" i="26" s="1"/>
  <c r="V24" i="26" s="1"/>
  <c r="V23" i="26" s="1"/>
  <c r="V22" i="26" s="1"/>
  <c r="V21" i="26" s="1"/>
  <c r="V20" i="26" s="1"/>
  <c r="V19" i="26" s="1"/>
  <c r="V18" i="26" s="1"/>
  <c r="V17" i="26" s="1"/>
  <c r="V16" i="26" s="1"/>
  <c r="V15" i="26" s="1"/>
  <c r="V14" i="26" s="1"/>
  <c r="V13" i="26" s="1"/>
  <c r="V12" i="26" s="1"/>
  <c r="V11" i="26" s="1"/>
  <c r="S27" i="26"/>
  <c r="G26" i="26" s="1"/>
  <c r="S41" i="26"/>
  <c r="G40" i="26" s="1"/>
  <c r="H40" i="26" s="1"/>
  <c r="S32" i="25"/>
  <c r="S36" i="23"/>
  <c r="G36" i="23" s="1"/>
  <c r="S34" i="23"/>
  <c r="S41" i="23"/>
  <c r="G41" i="23" s="1"/>
  <c r="H41" i="23" s="1"/>
  <c r="S35" i="22"/>
  <c r="G35" i="22" s="1"/>
  <c r="S40" i="22"/>
  <c r="G40" i="22" s="1"/>
  <c r="V40" i="22"/>
  <c r="V39" i="22" s="1"/>
  <c r="V38" i="22" s="1"/>
  <c r="V37" i="22" s="1"/>
  <c r="V36" i="22" s="1"/>
  <c r="V35" i="22" s="1"/>
  <c r="V34" i="22" s="1"/>
  <c r="V33" i="22" s="1"/>
  <c r="V32" i="22" s="1"/>
  <c r="V31" i="22" s="1"/>
  <c r="V30" i="22" s="1"/>
  <c r="V29" i="22" s="1"/>
  <c r="V28" i="22" s="1"/>
  <c r="V27" i="22" s="1"/>
  <c r="V26" i="22" s="1"/>
  <c r="V25" i="22" s="1"/>
  <c r="V24" i="22" s="1"/>
  <c r="V23" i="22" s="1"/>
  <c r="V22" i="22" s="1"/>
  <c r="V21" i="22" s="1"/>
  <c r="V20" i="22" s="1"/>
  <c r="V19" i="22" s="1"/>
  <c r="V18" i="22" s="1"/>
  <c r="V17" i="22" s="1"/>
  <c r="V16" i="22" s="1"/>
  <c r="V15" i="22" s="1"/>
  <c r="V14" i="22" s="1"/>
  <c r="V13" i="22" s="1"/>
  <c r="V12" i="22" s="1"/>
  <c r="V11" i="22" s="1"/>
  <c r="S36" i="22"/>
  <c r="S19" i="21"/>
  <c r="G19" i="21" s="1"/>
  <c r="S27" i="21"/>
  <c r="S37" i="21"/>
  <c r="G37" i="21" s="1"/>
  <c r="S13" i="21"/>
  <c r="G13" i="21" s="1"/>
  <c r="S35" i="21"/>
  <c r="G35" i="21" s="1"/>
  <c r="S14" i="23"/>
  <c r="G14" i="23" s="1"/>
  <c r="H14" i="23" s="1"/>
  <c r="S13" i="26"/>
  <c r="G12" i="26" s="1"/>
  <c r="H12" i="26" s="1"/>
  <c r="Q12" i="26" s="1"/>
  <c r="S13" i="25"/>
  <c r="S13" i="23"/>
  <c r="G13" i="23" s="1"/>
  <c r="H13" i="23" s="1"/>
  <c r="S14" i="26"/>
  <c r="S15" i="26"/>
  <c r="G14" i="26" s="1"/>
  <c r="S15" i="25"/>
  <c r="S16" i="23"/>
  <c r="G16" i="23" s="1"/>
  <c r="H16" i="23" s="1"/>
  <c r="S15" i="23"/>
  <c r="G15" i="23" s="1"/>
  <c r="H15" i="23" s="1"/>
  <c r="S15" i="22"/>
  <c r="G15" i="22" s="1"/>
  <c r="H15" i="22" s="1"/>
  <c r="S14" i="21"/>
  <c r="G14" i="21" s="1"/>
  <c r="S16" i="26"/>
  <c r="G15" i="26" s="1"/>
  <c r="S16" i="22"/>
  <c r="G16" i="22" s="1"/>
  <c r="H16" i="22" s="1"/>
  <c r="S16" i="21"/>
  <c r="G16" i="21" s="1"/>
  <c r="H16" i="21" s="1"/>
  <c r="S17" i="26"/>
  <c r="G16" i="26" s="1"/>
  <c r="S17" i="22"/>
  <c r="G17" i="22" s="1"/>
  <c r="H17" i="22" s="1"/>
  <c r="S17" i="21"/>
  <c r="G17" i="21" s="1"/>
  <c r="S20" i="22"/>
  <c r="S21" i="22"/>
  <c r="G21" i="22" s="1"/>
  <c r="S20" i="23"/>
  <c r="S20" i="26"/>
  <c r="G19" i="26" s="1"/>
  <c r="S18" i="22"/>
  <c r="G18" i="22" s="1"/>
  <c r="S18" i="21"/>
  <c r="S21" i="26"/>
  <c r="G20" i="26" s="1"/>
  <c r="S21" i="21"/>
  <c r="G21" i="21" s="1"/>
  <c r="S22" i="26"/>
  <c r="S22" i="25"/>
  <c r="G22" i="25" s="1"/>
  <c r="H22" i="25" s="1"/>
  <c r="S22" i="22"/>
  <c r="G22" i="22" s="1"/>
  <c r="H22" i="22" s="1"/>
  <c r="S24" i="26"/>
  <c r="S23" i="25"/>
  <c r="G23" i="25" s="1"/>
  <c r="H23" i="25" s="1"/>
  <c r="S23" i="23"/>
  <c r="S24" i="21"/>
  <c r="S23" i="21"/>
  <c r="S24" i="25"/>
  <c r="S25" i="26"/>
  <c r="S26" i="26"/>
  <c r="G25" i="26" s="1"/>
  <c r="H25" i="26" s="1"/>
  <c r="S27" i="25"/>
  <c r="G27" i="25" s="1"/>
  <c r="S28" i="25"/>
  <c r="S25" i="23"/>
  <c r="S26" i="23"/>
  <c r="G26" i="23" s="1"/>
  <c r="S28" i="22"/>
  <c r="G28" i="22" s="1"/>
  <c r="S28" i="21"/>
  <c r="S25" i="21"/>
  <c r="S29" i="26"/>
  <c r="S28" i="23"/>
  <c r="G28" i="23" s="1"/>
  <c r="S29" i="25"/>
  <c r="S29" i="22"/>
  <c r="G29" i="22" s="1"/>
  <c r="S29" i="21"/>
  <c r="G29" i="21" s="1"/>
  <c r="S32" i="26"/>
  <c r="S31" i="26"/>
  <c r="G30" i="26" s="1"/>
  <c r="S30" i="25"/>
  <c r="G30" i="25" s="1"/>
  <c r="S31" i="22"/>
  <c r="S32" i="21"/>
  <c r="S31" i="21"/>
  <c r="G31" i="21" s="1"/>
  <c r="H31" i="21" s="1"/>
  <c r="S30" i="21"/>
  <c r="G30" i="21" s="1"/>
  <c r="H30" i="21" s="1"/>
  <c r="S33" i="26"/>
  <c r="G32" i="26" s="1"/>
  <c r="H32" i="26" s="1"/>
  <c r="S35" i="26"/>
  <c r="G34" i="26" s="1"/>
  <c r="S38" i="26"/>
  <c r="G37" i="26" s="1"/>
  <c r="S40" i="26"/>
  <c r="G39" i="26" s="1"/>
  <c r="H39" i="26" s="1"/>
  <c r="S38" i="25"/>
  <c r="G38" i="25" s="1"/>
  <c r="H38" i="25" s="1"/>
  <c r="S34" i="25"/>
  <c r="S35" i="25"/>
  <c r="G35" i="25" s="1"/>
  <c r="H35" i="25" s="1"/>
  <c r="S39" i="25"/>
  <c r="G39" i="25" s="1"/>
  <c r="H39" i="25" s="1"/>
  <c r="S41" i="25"/>
  <c r="G41" i="25" s="1"/>
  <c r="S33" i="23"/>
  <c r="G33" i="23" s="1"/>
  <c r="S33" i="22"/>
  <c r="G33" i="22" s="1"/>
  <c r="S37" i="22"/>
  <c r="G37" i="22" s="1"/>
  <c r="S32" i="22"/>
  <c r="S39" i="22"/>
  <c r="S38" i="21"/>
  <c r="G38" i="21" s="1"/>
  <c r="V40" i="21"/>
  <c r="V39" i="21" s="1"/>
  <c r="V38" i="21" s="1"/>
  <c r="V37" i="21" s="1"/>
  <c r="V36" i="21" s="1"/>
  <c r="V35" i="21" s="1"/>
  <c r="V34" i="21" s="1"/>
  <c r="V33" i="21" s="1"/>
  <c r="V32" i="21" s="1"/>
  <c r="V31" i="21" s="1"/>
  <c r="V30" i="21" s="1"/>
  <c r="V29" i="21" s="1"/>
  <c r="V28" i="21" s="1"/>
  <c r="V27" i="21" s="1"/>
  <c r="V26" i="21" s="1"/>
  <c r="V25" i="21" s="1"/>
  <c r="V24" i="21" s="1"/>
  <c r="V23" i="21" s="1"/>
  <c r="V22" i="21" s="1"/>
  <c r="V21" i="21" s="1"/>
  <c r="V20" i="21" s="1"/>
  <c r="V19" i="21" s="1"/>
  <c r="V18" i="21" s="1"/>
  <c r="V17" i="21" s="1"/>
  <c r="N40" i="26"/>
  <c r="U40" i="26" s="1"/>
  <c r="S23" i="26"/>
  <c r="G22" i="26" s="1"/>
  <c r="S30" i="26"/>
  <c r="G29" i="26" s="1"/>
  <c r="H29" i="26" s="1"/>
  <c r="S28" i="26"/>
  <c r="S36" i="26"/>
  <c r="S39" i="26"/>
  <c r="G38" i="26" s="1"/>
  <c r="H38" i="26" s="1"/>
  <c r="W41" i="26"/>
  <c r="P41" i="26"/>
  <c r="S34" i="26"/>
  <c r="G33" i="26" s="1"/>
  <c r="H33" i="26" s="1"/>
  <c r="V40" i="25"/>
  <c r="V39" i="25" s="1"/>
  <c r="V38" i="25" s="1"/>
  <c r="V37" i="25" s="1"/>
  <c r="V36" i="25" s="1"/>
  <c r="V35" i="25" s="1"/>
  <c r="V34" i="25" s="1"/>
  <c r="V33" i="25" s="1"/>
  <c r="V32" i="25" s="1"/>
  <c r="V31" i="25" s="1"/>
  <c r="V30" i="25" s="1"/>
  <c r="V29" i="25" s="1"/>
  <c r="V28" i="25" s="1"/>
  <c r="V27" i="25" s="1"/>
  <c r="V26" i="25" s="1"/>
  <c r="V25" i="25" s="1"/>
  <c r="V24" i="25" s="1"/>
  <c r="V23" i="25" s="1"/>
  <c r="V22" i="25" s="1"/>
  <c r="V21" i="25" s="1"/>
  <c r="V20" i="25" s="1"/>
  <c r="N40" i="25"/>
  <c r="U41" i="25"/>
  <c r="P41" i="25"/>
  <c r="S14" i="25"/>
  <c r="G14" i="25" s="1"/>
  <c r="S31" i="25"/>
  <c r="G31" i="25" s="1"/>
  <c r="H31" i="25" s="1"/>
  <c r="S36" i="25"/>
  <c r="S20" i="25"/>
  <c r="S26" i="25"/>
  <c r="G26" i="25" s="1"/>
  <c r="H26" i="25" s="1"/>
  <c r="G19" i="25"/>
  <c r="S25" i="25"/>
  <c r="G18" i="25"/>
  <c r="X40" i="25"/>
  <c r="S21" i="25"/>
  <c r="G21" i="25" s="1"/>
  <c r="H21" i="25" s="1"/>
  <c r="S37" i="25"/>
  <c r="G37" i="25" s="1"/>
  <c r="V40" i="24"/>
  <c r="V39" i="24" s="1"/>
  <c r="V38" i="24" s="1"/>
  <c r="V37" i="24" s="1"/>
  <c r="V36" i="24" s="1"/>
  <c r="V35" i="24" s="1"/>
  <c r="V34" i="24" s="1"/>
  <c r="V33" i="24" s="1"/>
  <c r="V32" i="24" s="1"/>
  <c r="V31" i="24" s="1"/>
  <c r="V30" i="24" s="1"/>
  <c r="V29" i="24" s="1"/>
  <c r="V28" i="24" s="1"/>
  <c r="V27" i="24" s="1"/>
  <c r="V26" i="24" s="1"/>
  <c r="V25" i="24" s="1"/>
  <c r="V24" i="24" s="1"/>
  <c r="V23" i="24" s="1"/>
  <c r="V22" i="24" s="1"/>
  <c r="V21" i="24" s="1"/>
  <c r="V20" i="24" s="1"/>
  <c r="V19" i="24" s="1"/>
  <c r="V18" i="24" s="1"/>
  <c r="V17" i="24" s="1"/>
  <c r="V16" i="24" s="1"/>
  <c r="V15" i="24" s="1"/>
  <c r="V14" i="24" s="1"/>
  <c r="V13" i="24" s="1"/>
  <c r="V12" i="24" s="1"/>
  <c r="V11" i="24" s="1"/>
  <c r="P41" i="24"/>
  <c r="N40" i="24"/>
  <c r="X41" i="24"/>
  <c r="V40" i="23"/>
  <c r="V39" i="23" s="1"/>
  <c r="V38" i="23" s="1"/>
  <c r="V37" i="23" s="1"/>
  <c r="V36" i="23" s="1"/>
  <c r="V35" i="23" s="1"/>
  <c r="V34" i="23" s="1"/>
  <c r="V33" i="23" s="1"/>
  <c r="V32" i="23" s="1"/>
  <c r="V31" i="23" s="1"/>
  <c r="V30" i="23" s="1"/>
  <c r="V29" i="23" s="1"/>
  <c r="V28" i="23" s="1"/>
  <c r="V27" i="23" s="1"/>
  <c r="V26" i="23" s="1"/>
  <c r="V25" i="23" s="1"/>
  <c r="V24" i="23" s="1"/>
  <c r="V23" i="23" s="1"/>
  <c r="V22" i="23" s="1"/>
  <c r="V21" i="23" s="1"/>
  <c r="V20" i="23" s="1"/>
  <c r="V19" i="23" s="1"/>
  <c r="V18" i="23" s="1"/>
  <c r="V17" i="23" s="1"/>
  <c r="V16" i="23" s="1"/>
  <c r="V15" i="23" s="1"/>
  <c r="V14" i="23" s="1"/>
  <c r="V13" i="23" s="1"/>
  <c r="V12" i="23" s="1"/>
  <c r="V11" i="23" s="1"/>
  <c r="X41" i="23"/>
  <c r="X40" i="23" s="1"/>
  <c r="X39" i="23" s="1"/>
  <c r="U41" i="23"/>
  <c r="N40" i="23"/>
  <c r="P41" i="23"/>
  <c r="S19" i="23"/>
  <c r="S18" i="23"/>
  <c r="G18" i="23" s="1"/>
  <c r="H18" i="23" s="1"/>
  <c r="S24" i="23"/>
  <c r="S32" i="23"/>
  <c r="S22" i="23"/>
  <c r="G22" i="23" s="1"/>
  <c r="S40" i="23"/>
  <c r="G40" i="23" s="1"/>
  <c r="H40" i="23" s="1"/>
  <c r="S21" i="23"/>
  <c r="G21" i="23" s="1"/>
  <c r="S29" i="23"/>
  <c r="G29" i="23" s="1"/>
  <c r="S30" i="23"/>
  <c r="G30" i="23" s="1"/>
  <c r="S37" i="23"/>
  <c r="G37" i="23" s="1"/>
  <c r="S38" i="23"/>
  <c r="G38" i="23" s="1"/>
  <c r="S27" i="23"/>
  <c r="S35" i="23"/>
  <c r="G35" i="23" s="1"/>
  <c r="S41" i="22"/>
  <c r="G41" i="22" s="1"/>
  <c r="P41" i="22"/>
  <c r="N40" i="22"/>
  <c r="U41" i="22"/>
  <c r="S27" i="22"/>
  <c r="S26" i="22"/>
  <c r="G26" i="22" s="1"/>
  <c r="S30" i="22"/>
  <c r="X41" i="22"/>
  <c r="S39" i="21"/>
  <c r="G39" i="21" s="1"/>
  <c r="S41" i="21"/>
  <c r="G41" i="21" s="1"/>
  <c r="S15" i="21"/>
  <c r="G15" i="21" s="1"/>
  <c r="H15" i="21" s="1"/>
  <c r="S20" i="21"/>
  <c r="P41" i="21"/>
  <c r="U41" i="21"/>
  <c r="N40" i="21"/>
  <c r="S26" i="21"/>
  <c r="G26" i="21" s="1"/>
  <c r="X41" i="21"/>
  <c r="S22" i="21"/>
  <c r="G22" i="21" s="1"/>
  <c r="H22" i="21" s="1"/>
  <c r="S34" i="21"/>
  <c r="U41" i="20"/>
  <c r="Q6" i="20"/>
  <c r="J13" i="20"/>
  <c r="K13" i="20"/>
  <c r="L13" i="20"/>
  <c r="O13" i="20" s="1"/>
  <c r="M13" i="20"/>
  <c r="F14" i="20"/>
  <c r="J14" i="20"/>
  <c r="K14" i="20"/>
  <c r="L14" i="20"/>
  <c r="O14" i="20" s="1"/>
  <c r="M14" i="20"/>
  <c r="F15" i="20"/>
  <c r="J15" i="20"/>
  <c r="K15" i="20"/>
  <c r="L15" i="20"/>
  <c r="O15" i="20" s="1"/>
  <c r="F16" i="20"/>
  <c r="K16" i="20"/>
  <c r="L16" i="20"/>
  <c r="O16" i="20" s="1"/>
  <c r="M16" i="20"/>
  <c r="F17" i="20"/>
  <c r="J17" i="20"/>
  <c r="K17" i="20"/>
  <c r="L17" i="20"/>
  <c r="O17" i="20" s="1"/>
  <c r="M17" i="20"/>
  <c r="F18" i="20"/>
  <c r="J18" i="20"/>
  <c r="K18" i="20"/>
  <c r="L18" i="20"/>
  <c r="O18" i="20" s="1"/>
  <c r="M18" i="20"/>
  <c r="F19" i="20"/>
  <c r="J19" i="20"/>
  <c r="K19" i="20"/>
  <c r="L19" i="20"/>
  <c r="O19" i="20" s="1"/>
  <c r="M19" i="20"/>
  <c r="F20" i="20"/>
  <c r="J20" i="20"/>
  <c r="K20" i="20"/>
  <c r="L20" i="20"/>
  <c r="O20" i="20" s="1"/>
  <c r="M20" i="20"/>
  <c r="F21" i="20"/>
  <c r="J21" i="20"/>
  <c r="K21" i="20"/>
  <c r="L21" i="20"/>
  <c r="O21" i="20" s="1"/>
  <c r="M21" i="20"/>
  <c r="J22" i="20"/>
  <c r="K22" i="20"/>
  <c r="L22" i="20"/>
  <c r="O22" i="20" s="1"/>
  <c r="M22" i="20"/>
  <c r="F23" i="20"/>
  <c r="J23" i="20"/>
  <c r="K23" i="20"/>
  <c r="L23" i="20"/>
  <c r="O23" i="20" s="1"/>
  <c r="M23" i="20"/>
  <c r="F24" i="20"/>
  <c r="J24" i="20"/>
  <c r="K24" i="20"/>
  <c r="L24" i="20"/>
  <c r="O24" i="20" s="1"/>
  <c r="M24" i="20"/>
  <c r="F25" i="20"/>
  <c r="J25" i="20"/>
  <c r="K25" i="20"/>
  <c r="L25" i="20"/>
  <c r="O25" i="20" s="1"/>
  <c r="M25" i="20"/>
  <c r="F26" i="20"/>
  <c r="J26" i="20"/>
  <c r="K26" i="20"/>
  <c r="L26" i="20"/>
  <c r="O26" i="20" s="1"/>
  <c r="M26" i="20"/>
  <c r="J27" i="20"/>
  <c r="K27" i="20"/>
  <c r="L27" i="20"/>
  <c r="O27" i="20" s="1"/>
  <c r="M27" i="20"/>
  <c r="F28" i="20"/>
  <c r="J28" i="20"/>
  <c r="K28" i="20"/>
  <c r="L28" i="20"/>
  <c r="O28" i="20" s="1"/>
  <c r="M28" i="20"/>
  <c r="F29" i="20"/>
  <c r="J29" i="20"/>
  <c r="K29" i="20"/>
  <c r="L29" i="20"/>
  <c r="O29" i="20" s="1"/>
  <c r="M29" i="20"/>
  <c r="F30" i="20"/>
  <c r="J30" i="20"/>
  <c r="K30" i="20"/>
  <c r="L30" i="20"/>
  <c r="O30" i="20" s="1"/>
  <c r="M30" i="20"/>
  <c r="F31" i="20"/>
  <c r="J31" i="20"/>
  <c r="K31" i="20"/>
  <c r="L31" i="20"/>
  <c r="O31" i="20" s="1"/>
  <c r="M31" i="20"/>
  <c r="F32" i="20"/>
  <c r="J32" i="20"/>
  <c r="K32" i="20"/>
  <c r="L32" i="20"/>
  <c r="O32" i="20" s="1"/>
  <c r="M32" i="20"/>
  <c r="F33" i="20"/>
  <c r="J33" i="20"/>
  <c r="K33" i="20"/>
  <c r="L33" i="20"/>
  <c r="O33" i="20" s="1"/>
  <c r="M33" i="20"/>
  <c r="F34" i="20"/>
  <c r="J34" i="20"/>
  <c r="K34" i="20"/>
  <c r="L34" i="20"/>
  <c r="O34" i="20" s="1"/>
  <c r="M34" i="20"/>
  <c r="F35" i="20"/>
  <c r="J35" i="20"/>
  <c r="K35" i="20"/>
  <c r="L35" i="20"/>
  <c r="O35" i="20" s="1"/>
  <c r="M35" i="20"/>
  <c r="F36" i="20"/>
  <c r="J36" i="20"/>
  <c r="K36" i="20"/>
  <c r="L36" i="20"/>
  <c r="O36" i="20" s="1"/>
  <c r="F37" i="20"/>
  <c r="O37" i="20"/>
  <c r="F38" i="20"/>
  <c r="J38" i="20"/>
  <c r="K38" i="20"/>
  <c r="L38" i="20"/>
  <c r="O38" i="20" s="1"/>
  <c r="M38" i="20"/>
  <c r="F39" i="20"/>
  <c r="J39" i="20"/>
  <c r="K39" i="20"/>
  <c r="L39" i="20"/>
  <c r="O39" i="20" s="1"/>
  <c r="M39" i="20"/>
  <c r="F40" i="20"/>
  <c r="J40" i="20"/>
  <c r="K40" i="20"/>
  <c r="L40" i="20"/>
  <c r="O40" i="20" s="1"/>
  <c r="M40" i="20"/>
  <c r="F41" i="20"/>
  <c r="J41" i="20"/>
  <c r="K41" i="20"/>
  <c r="L41" i="20"/>
  <c r="O41" i="20" s="1"/>
  <c r="V41" i="20" s="1"/>
  <c r="M41" i="20"/>
  <c r="M42" i="20" l="1"/>
  <c r="G24" i="26"/>
  <c r="H24" i="26" s="1"/>
  <c r="AA25" i="26"/>
  <c r="G23" i="26"/>
  <c r="AA24" i="26"/>
  <c r="G24" i="23"/>
  <c r="H24" i="23" s="1"/>
  <c r="Q24" i="23" s="1"/>
  <c r="AA24" i="23"/>
  <c r="G23" i="23"/>
  <c r="H23" i="23" s="1"/>
  <c r="Q23" i="23" s="1"/>
  <c r="AA23" i="23"/>
  <c r="G23" i="22"/>
  <c r="H23" i="22" s="1"/>
  <c r="AA23" i="22"/>
  <c r="G25" i="25"/>
  <c r="H25" i="25" s="1"/>
  <c r="AA25" i="25"/>
  <c r="G24" i="25"/>
  <c r="H24" i="25" s="1"/>
  <c r="AA24" i="25"/>
  <c r="G24" i="21"/>
  <c r="H24" i="21" s="1"/>
  <c r="AA24" i="21"/>
  <c r="G23" i="21"/>
  <c r="H23" i="21" s="1"/>
  <c r="AA23" i="21"/>
  <c r="G24" i="24"/>
  <c r="H24" i="24" s="1"/>
  <c r="Q24" i="24" s="1"/>
  <c r="AA24" i="24"/>
  <c r="G23" i="24"/>
  <c r="AA23" i="24"/>
  <c r="H14" i="21"/>
  <c r="H13" i="21"/>
  <c r="H17" i="21"/>
  <c r="G18" i="21"/>
  <c r="H19" i="21"/>
  <c r="G13" i="25"/>
  <c r="H16" i="26"/>
  <c r="H15" i="26"/>
  <c r="H19" i="26"/>
  <c r="H14" i="26"/>
  <c r="G27" i="23"/>
  <c r="H27" i="23" s="1"/>
  <c r="H28" i="22"/>
  <c r="H29" i="22"/>
  <c r="G27" i="22"/>
  <c r="H26" i="22"/>
  <c r="H29" i="21"/>
  <c r="G27" i="21"/>
  <c r="H39" i="23"/>
  <c r="Q39" i="23" s="1"/>
  <c r="H36" i="23"/>
  <c r="Q36" i="23" s="1"/>
  <c r="H35" i="23"/>
  <c r="G34" i="23"/>
  <c r="H35" i="21"/>
  <c r="G34" i="21"/>
  <c r="G34" i="25"/>
  <c r="H15" i="24"/>
  <c r="Q15" i="24" s="1"/>
  <c r="H16" i="24"/>
  <c r="H17" i="24"/>
  <c r="H18" i="24"/>
  <c r="Q18" i="24" s="1"/>
  <c r="H21" i="24"/>
  <c r="Q21" i="24" s="1"/>
  <c r="H22" i="24"/>
  <c r="Q22" i="24" s="1"/>
  <c r="H23" i="24"/>
  <c r="Q23" i="24" s="1"/>
  <c r="H25" i="24"/>
  <c r="Q25" i="24" s="1"/>
  <c r="H26" i="24"/>
  <c r="H27" i="24"/>
  <c r="Q27" i="24" s="1"/>
  <c r="H34" i="24"/>
  <c r="H35" i="24"/>
  <c r="H14" i="24"/>
  <c r="Q14" i="24" s="1"/>
  <c r="H37" i="24"/>
  <c r="H38" i="24"/>
  <c r="H13" i="24"/>
  <c r="H39" i="24"/>
  <c r="H40" i="24"/>
  <c r="H41" i="24"/>
  <c r="H14" i="25"/>
  <c r="G18" i="26"/>
  <c r="H30" i="26"/>
  <c r="G31" i="26"/>
  <c r="G32" i="23"/>
  <c r="H32" i="23" s="1"/>
  <c r="G32" i="25"/>
  <c r="H33" i="25"/>
  <c r="H35" i="22"/>
  <c r="H34" i="22"/>
  <c r="G32" i="22"/>
  <c r="H33" i="22"/>
  <c r="H33" i="21"/>
  <c r="G32" i="21"/>
  <c r="G32" i="24"/>
  <c r="H33" i="24"/>
  <c r="G28" i="26"/>
  <c r="G29" i="25"/>
  <c r="H30" i="25"/>
  <c r="G30" i="22"/>
  <c r="H30" i="22" s="1"/>
  <c r="G30" i="24"/>
  <c r="H31" i="24"/>
  <c r="G31" i="22"/>
  <c r="G17" i="26"/>
  <c r="H22" i="23"/>
  <c r="Q22" i="23" s="1"/>
  <c r="G19" i="23"/>
  <c r="G19" i="24"/>
  <c r="H20" i="24"/>
  <c r="H18" i="22"/>
  <c r="G19" i="22"/>
  <c r="G20" i="23"/>
  <c r="H21" i="23"/>
  <c r="G20" i="22"/>
  <c r="H21" i="22"/>
  <c r="G25" i="23"/>
  <c r="H25" i="23" s="1"/>
  <c r="H26" i="21"/>
  <c r="G25" i="21"/>
  <c r="H37" i="23"/>
  <c r="H38" i="23"/>
  <c r="H21" i="21"/>
  <c r="G20" i="21"/>
  <c r="G20" i="25"/>
  <c r="H26" i="26"/>
  <c r="G27" i="26"/>
  <c r="G28" i="24"/>
  <c r="H29" i="24"/>
  <c r="G28" i="21"/>
  <c r="H27" i="25"/>
  <c r="G28" i="25"/>
  <c r="H37" i="26"/>
  <c r="G35" i="26"/>
  <c r="H34" i="26"/>
  <c r="G36" i="24"/>
  <c r="H37" i="25"/>
  <c r="G36" i="25"/>
  <c r="H37" i="22"/>
  <c r="G36" i="22"/>
  <c r="H41" i="21"/>
  <c r="H38" i="21"/>
  <c r="H39" i="21"/>
  <c r="H40" i="21"/>
  <c r="H37" i="21"/>
  <c r="G36" i="21"/>
  <c r="G36" i="26"/>
  <c r="H41" i="22"/>
  <c r="H40" i="22"/>
  <c r="G39" i="22"/>
  <c r="G15" i="25"/>
  <c r="V19" i="25"/>
  <c r="H18" i="25"/>
  <c r="H19" i="25"/>
  <c r="H30" i="23"/>
  <c r="H33" i="23"/>
  <c r="H31" i="23"/>
  <c r="Q31" i="23" s="1"/>
  <c r="H29" i="23"/>
  <c r="H28" i="23"/>
  <c r="H26" i="23"/>
  <c r="H41" i="25"/>
  <c r="G13" i="26"/>
  <c r="G21" i="26"/>
  <c r="H20" i="26"/>
  <c r="H22" i="26"/>
  <c r="H23" i="26"/>
  <c r="T23" i="22"/>
  <c r="Q26" i="25"/>
  <c r="Q31" i="25"/>
  <c r="Q35" i="25"/>
  <c r="Q38" i="25"/>
  <c r="Q39" i="25"/>
  <c r="T26" i="22"/>
  <c r="Q13" i="23"/>
  <c r="Q14" i="23"/>
  <c r="Q15" i="23"/>
  <c r="Q17" i="23"/>
  <c r="Q18" i="23"/>
  <c r="Q21" i="25"/>
  <c r="AA28" i="26"/>
  <c r="AA32" i="26"/>
  <c r="Y41" i="26"/>
  <c r="Y40" i="26" s="1"/>
  <c r="AA14" i="26"/>
  <c r="AA28" i="25"/>
  <c r="AA30" i="24"/>
  <c r="AA22" i="21"/>
  <c r="AA21" i="24"/>
  <c r="AA41" i="21"/>
  <c r="T41" i="22"/>
  <c r="T41" i="25"/>
  <c r="AA27" i="24"/>
  <c r="AA19" i="23"/>
  <c r="S27" i="20"/>
  <c r="G27" i="20" s="1"/>
  <c r="AA31" i="26"/>
  <c r="AA33" i="26"/>
  <c r="AA34" i="22"/>
  <c r="AA39" i="26"/>
  <c r="AA40" i="26"/>
  <c r="AA17" i="26"/>
  <c r="AA18" i="26"/>
  <c r="AA19" i="26"/>
  <c r="AA37" i="26"/>
  <c r="AA35" i="21"/>
  <c r="AA39" i="25"/>
  <c r="AA21" i="26"/>
  <c r="AA34" i="26"/>
  <c r="AA35" i="26"/>
  <c r="AA29" i="26"/>
  <c r="AA26" i="26"/>
  <c r="AA36" i="26"/>
  <c r="AA30" i="26"/>
  <c r="AA38" i="26"/>
  <c r="AA27" i="26"/>
  <c r="AA41" i="26"/>
  <c r="AA31" i="25"/>
  <c r="AA35" i="25"/>
  <c r="AA38" i="25"/>
  <c r="AA29" i="25"/>
  <c r="AA27" i="25"/>
  <c r="AA32" i="25"/>
  <c r="AA37" i="25"/>
  <c r="AA26" i="25"/>
  <c r="AA36" i="25"/>
  <c r="AA34" i="25"/>
  <c r="AA30" i="25"/>
  <c r="T40" i="25"/>
  <c r="AA40" i="25"/>
  <c r="AA33" i="25"/>
  <c r="AA41" i="25"/>
  <c r="AA38" i="24"/>
  <c r="AA35" i="24"/>
  <c r="AA32" i="24"/>
  <c r="AA28" i="24"/>
  <c r="AA37" i="24"/>
  <c r="AA36" i="24"/>
  <c r="AA39" i="24"/>
  <c r="AA33" i="24"/>
  <c r="AA31" i="24"/>
  <c r="AA29" i="24"/>
  <c r="AA25" i="24"/>
  <c r="AA34" i="24"/>
  <c r="AA26" i="24"/>
  <c r="AA35" i="23"/>
  <c r="AA38" i="23"/>
  <c r="AA30" i="23"/>
  <c r="AA25" i="23"/>
  <c r="AA34" i="23"/>
  <c r="AA31" i="23"/>
  <c r="AA39" i="23"/>
  <c r="AA27" i="23"/>
  <c r="AA37" i="23"/>
  <c r="AA29" i="23"/>
  <c r="AA40" i="23"/>
  <c r="AA32" i="23"/>
  <c r="AA33" i="23"/>
  <c r="AA28" i="23"/>
  <c r="AA26" i="23"/>
  <c r="AA36" i="23"/>
  <c r="AA41" i="23"/>
  <c r="AA30" i="22"/>
  <c r="AA27" i="22"/>
  <c r="AA32" i="22"/>
  <c r="AA33" i="22"/>
  <c r="AA31" i="22"/>
  <c r="AA28" i="22"/>
  <c r="AA35" i="22"/>
  <c r="AA26" i="22"/>
  <c r="AA39" i="22"/>
  <c r="AA37" i="22"/>
  <c r="AA29" i="22"/>
  <c r="AA36" i="22"/>
  <c r="AA40" i="22"/>
  <c r="AA41" i="22"/>
  <c r="AA34" i="21"/>
  <c r="AA30" i="21"/>
  <c r="AA32" i="21"/>
  <c r="AA28" i="21"/>
  <c r="AA27" i="21"/>
  <c r="AA36" i="21"/>
  <c r="AA26" i="21"/>
  <c r="AA39" i="21"/>
  <c r="AA38" i="21"/>
  <c r="AA31" i="21"/>
  <c r="AA29" i="21"/>
  <c r="AA25" i="21"/>
  <c r="AA37" i="21"/>
  <c r="AA40" i="21"/>
  <c r="AA33" i="21"/>
  <c r="AA13" i="26"/>
  <c r="AA14" i="25"/>
  <c r="AA13" i="25"/>
  <c r="AA13" i="24"/>
  <c r="AA14" i="24"/>
  <c r="AA13" i="23"/>
  <c r="AA14" i="23"/>
  <c r="AA15" i="26"/>
  <c r="AA15" i="25"/>
  <c r="AA15" i="24"/>
  <c r="AA15" i="23"/>
  <c r="AA15" i="22"/>
  <c r="AA16" i="26"/>
  <c r="AA14" i="21"/>
  <c r="AA13" i="21"/>
  <c r="AA16" i="24"/>
  <c r="AA17" i="24"/>
  <c r="AA18" i="24"/>
  <c r="AA16" i="23"/>
  <c r="AA17" i="23"/>
  <c r="AA18" i="23"/>
  <c r="AA16" i="22"/>
  <c r="AA17" i="22"/>
  <c r="AA18" i="22"/>
  <c r="AA15" i="21"/>
  <c r="AA16" i="21"/>
  <c r="AA17" i="21"/>
  <c r="AA18" i="21"/>
  <c r="AA19" i="24"/>
  <c r="AA19" i="22"/>
  <c r="AA19" i="21"/>
  <c r="AA20" i="26"/>
  <c r="AA20" i="24"/>
  <c r="AA20" i="23"/>
  <c r="AA20" i="22"/>
  <c r="AA20" i="21"/>
  <c r="AA21" i="23"/>
  <c r="AA21" i="22"/>
  <c r="AA21" i="21"/>
  <c r="AA23" i="26"/>
  <c r="AA22" i="26"/>
  <c r="AA23" i="25"/>
  <c r="AA22" i="25"/>
  <c r="AA22" i="24"/>
  <c r="AA22" i="23"/>
  <c r="AA22" i="22"/>
  <c r="S20" i="20"/>
  <c r="T39" i="23"/>
  <c r="P40" i="26"/>
  <c r="T40" i="22"/>
  <c r="T40" i="21"/>
  <c r="T40" i="26"/>
  <c r="Y41" i="24"/>
  <c r="T41" i="24"/>
  <c r="T40" i="23"/>
  <c r="T41" i="23"/>
  <c r="Y41" i="23"/>
  <c r="Y40" i="23" s="1"/>
  <c r="T41" i="26"/>
  <c r="T40" i="24"/>
  <c r="T38" i="23"/>
  <c r="S35" i="20"/>
  <c r="G35" i="20" s="1"/>
  <c r="S37" i="20"/>
  <c r="S41" i="20"/>
  <c r="G41" i="20" s="1"/>
  <c r="H41" i="20" s="1"/>
  <c r="S14" i="20"/>
  <c r="G14" i="20" s="1"/>
  <c r="H14" i="20" s="1"/>
  <c r="S16" i="20"/>
  <c r="G16" i="20" s="1"/>
  <c r="H16" i="20" s="1"/>
  <c r="S19" i="20"/>
  <c r="G19" i="20" s="1"/>
  <c r="H19" i="20" s="1"/>
  <c r="S21" i="20"/>
  <c r="S22" i="20"/>
  <c r="G22" i="20" s="1"/>
  <c r="S23" i="20"/>
  <c r="S25" i="20"/>
  <c r="S28" i="20"/>
  <c r="S31" i="20"/>
  <c r="S32" i="20"/>
  <c r="Y41" i="25"/>
  <c r="Y41" i="22"/>
  <c r="Y40" i="22" s="1"/>
  <c r="Y41" i="21"/>
  <c r="Y40" i="21" s="1"/>
  <c r="S40" i="20"/>
  <c r="G40" i="20" s="1"/>
  <c r="H40" i="20" s="1"/>
  <c r="V40" i="20"/>
  <c r="V39" i="20" s="1"/>
  <c r="V38" i="20" s="1"/>
  <c r="V37" i="20" s="1"/>
  <c r="V36" i="20" s="1"/>
  <c r="V35" i="20" s="1"/>
  <c r="V34" i="20" s="1"/>
  <c r="V33" i="20" s="1"/>
  <c r="V32" i="20" s="1"/>
  <c r="V31" i="20" s="1"/>
  <c r="V30" i="20" s="1"/>
  <c r="V29" i="20" s="1"/>
  <c r="V28" i="20" s="1"/>
  <c r="V27" i="20" s="1"/>
  <c r="V26" i="20" s="1"/>
  <c r="V25" i="20" s="1"/>
  <c r="V24" i="20" s="1"/>
  <c r="V23" i="20" s="1"/>
  <c r="V22" i="20" s="1"/>
  <c r="V21" i="20" s="1"/>
  <c r="V20" i="20" s="1"/>
  <c r="V19" i="20" s="1"/>
  <c r="V18" i="20" s="1"/>
  <c r="V17" i="20" s="1"/>
  <c r="V16" i="20" s="1"/>
  <c r="V15" i="20" s="1"/>
  <c r="V14" i="20" s="1"/>
  <c r="V13" i="20" s="1"/>
  <c r="V12" i="20" s="1"/>
  <c r="V11" i="20" s="1"/>
  <c r="S36" i="20"/>
  <c r="G36" i="20" s="1"/>
  <c r="S34" i="20"/>
  <c r="N39" i="26"/>
  <c r="U39" i="26" s="1"/>
  <c r="W40" i="26"/>
  <c r="X40" i="26"/>
  <c r="T39" i="26"/>
  <c r="T39" i="25"/>
  <c r="X39" i="25"/>
  <c r="W41" i="25"/>
  <c r="U40" i="25"/>
  <c r="P40" i="25"/>
  <c r="N39" i="25"/>
  <c r="N39" i="24"/>
  <c r="P40" i="24"/>
  <c r="T39" i="24"/>
  <c r="U40" i="24"/>
  <c r="W41" i="24"/>
  <c r="X40" i="24"/>
  <c r="T37" i="23"/>
  <c r="X38" i="23"/>
  <c r="P40" i="23"/>
  <c r="N39" i="23"/>
  <c r="T36" i="23"/>
  <c r="W41" i="23"/>
  <c r="U40" i="23"/>
  <c r="U40" i="22"/>
  <c r="W41" i="22"/>
  <c r="X40" i="22"/>
  <c r="N39" i="22"/>
  <c r="P40" i="22"/>
  <c r="T39" i="22"/>
  <c r="T41" i="21"/>
  <c r="N39" i="21"/>
  <c r="P40" i="21"/>
  <c r="U40" i="21"/>
  <c r="W41" i="21"/>
  <c r="V16" i="21"/>
  <c r="V15" i="21" s="1"/>
  <c r="V14" i="21" s="1"/>
  <c r="V13" i="21" s="1"/>
  <c r="V12" i="21" s="1"/>
  <c r="V11" i="21" s="1"/>
  <c r="T39" i="21"/>
  <c r="X40" i="21"/>
  <c r="N40" i="20"/>
  <c r="N39" i="20" s="1"/>
  <c r="N38" i="20" s="1"/>
  <c r="P38" i="20" s="1"/>
  <c r="W41" i="20"/>
  <c r="X41" i="20"/>
  <c r="S24" i="20"/>
  <c r="S18" i="20"/>
  <c r="G18" i="20" s="1"/>
  <c r="H18" i="20" s="1"/>
  <c r="S15" i="20"/>
  <c r="G15" i="20" s="1"/>
  <c r="H15" i="20" s="1"/>
  <c r="S39" i="20"/>
  <c r="G39" i="20" s="1"/>
  <c r="S38" i="20"/>
  <c r="G38" i="20" s="1"/>
  <c r="P41" i="20"/>
  <c r="S30" i="20"/>
  <c r="G30" i="20" s="1"/>
  <c r="S26" i="20"/>
  <c r="G26" i="20" s="1"/>
  <c r="S33" i="20"/>
  <c r="G33" i="20" s="1"/>
  <c r="S17" i="20"/>
  <c r="G17" i="20" s="1"/>
  <c r="H17" i="20" s="1"/>
  <c r="S29" i="20"/>
  <c r="G29" i="20" s="1"/>
  <c r="S13" i="20"/>
  <c r="G13" i="20" s="1"/>
  <c r="G24" i="20" l="1"/>
  <c r="H24" i="20" s="1"/>
  <c r="AA24" i="20"/>
  <c r="G23" i="20"/>
  <c r="H23" i="20" s="1"/>
  <c r="AA23" i="20"/>
  <c r="H13" i="25"/>
  <c r="Q13" i="25" s="1"/>
  <c r="AA42" i="26"/>
  <c r="AA42" i="23"/>
  <c r="AA42" i="21"/>
  <c r="G21" i="20"/>
  <c r="H39" i="20"/>
  <c r="Q39" i="20" s="1"/>
  <c r="H18" i="21"/>
  <c r="Q18" i="21" s="1"/>
  <c r="H15" i="25"/>
  <c r="H27" i="22"/>
  <c r="Q29" i="21"/>
  <c r="H27" i="21"/>
  <c r="Q27" i="21" s="1"/>
  <c r="H34" i="23"/>
  <c r="Q38" i="23"/>
  <c r="Q37" i="23"/>
  <c r="Q35" i="23"/>
  <c r="H34" i="21"/>
  <c r="H38" i="20"/>
  <c r="H35" i="20"/>
  <c r="G34" i="20"/>
  <c r="H34" i="25"/>
  <c r="Q34" i="25" s="1"/>
  <c r="Q38" i="24"/>
  <c r="Q35" i="24"/>
  <c r="Q34" i="24"/>
  <c r="Q26" i="24"/>
  <c r="Q16" i="24"/>
  <c r="Q17" i="24"/>
  <c r="Q29" i="24"/>
  <c r="Q39" i="24"/>
  <c r="H17" i="26"/>
  <c r="H18" i="26"/>
  <c r="H31" i="26"/>
  <c r="Q33" i="23"/>
  <c r="Q32" i="23"/>
  <c r="H32" i="25"/>
  <c r="Q32" i="25" s="1"/>
  <c r="H32" i="22"/>
  <c r="H32" i="21"/>
  <c r="G32" i="20"/>
  <c r="H33" i="20"/>
  <c r="Q33" i="24"/>
  <c r="H32" i="24"/>
  <c r="H28" i="26"/>
  <c r="H29" i="25"/>
  <c r="Q31" i="24"/>
  <c r="H30" i="24"/>
  <c r="H31" i="22"/>
  <c r="G31" i="20"/>
  <c r="H13" i="20"/>
  <c r="H19" i="23"/>
  <c r="Q20" i="24"/>
  <c r="H19" i="24"/>
  <c r="H19" i="22"/>
  <c r="H20" i="23"/>
  <c r="H20" i="22"/>
  <c r="H22" i="20"/>
  <c r="H27" i="20"/>
  <c r="H26" i="20"/>
  <c r="G25" i="20"/>
  <c r="H25" i="21"/>
  <c r="Q25" i="21" s="1"/>
  <c r="G20" i="20"/>
  <c r="H20" i="21"/>
  <c r="H20" i="25"/>
  <c r="H27" i="26"/>
  <c r="H30" i="20"/>
  <c r="H29" i="20"/>
  <c r="G28" i="20"/>
  <c r="H28" i="24"/>
  <c r="H28" i="21"/>
  <c r="H28" i="25"/>
  <c r="H36" i="26"/>
  <c r="H35" i="26"/>
  <c r="Q37" i="24"/>
  <c r="H36" i="24"/>
  <c r="H36" i="25"/>
  <c r="Q36" i="25" s="1"/>
  <c r="H36" i="22"/>
  <c r="H36" i="21"/>
  <c r="H39" i="22"/>
  <c r="V18" i="25"/>
  <c r="Q16" i="25"/>
  <c r="Q19" i="25"/>
  <c r="Q18" i="25"/>
  <c r="Q25" i="23"/>
  <c r="Q26" i="23"/>
  <c r="Q24" i="25"/>
  <c r="Q37" i="25"/>
  <c r="Q33" i="25"/>
  <c r="Q25" i="25"/>
  <c r="G37" i="20"/>
  <c r="H36" i="20"/>
  <c r="H13" i="26"/>
  <c r="H21" i="26"/>
  <c r="Q17" i="20"/>
  <c r="Q18" i="20"/>
  <c r="Q19" i="20"/>
  <c r="Q14" i="20"/>
  <c r="Q15" i="20"/>
  <c r="Q16" i="20"/>
  <c r="Q16" i="23"/>
  <c r="Q14" i="25"/>
  <c r="Q21" i="23"/>
  <c r="Z41" i="26"/>
  <c r="AA25" i="20"/>
  <c r="AA41" i="20"/>
  <c r="AA30" i="20"/>
  <c r="AA32" i="20"/>
  <c r="AA20" i="20"/>
  <c r="AA31" i="20"/>
  <c r="Y39" i="23"/>
  <c r="Y38" i="23" s="1"/>
  <c r="Y39" i="21"/>
  <c r="Y38" i="21" s="1"/>
  <c r="T28" i="20"/>
  <c r="AA36" i="20"/>
  <c r="Q37" i="21"/>
  <c r="Q26" i="21"/>
  <c r="AA33" i="20"/>
  <c r="AA34" i="20"/>
  <c r="Q22" i="21"/>
  <c r="Q35" i="21"/>
  <c r="AA35" i="20"/>
  <c r="AA37" i="20"/>
  <c r="AA38" i="20"/>
  <c r="Y39" i="22"/>
  <c r="AA39" i="20"/>
  <c r="Q14" i="21"/>
  <c r="AA14" i="20"/>
  <c r="Q41" i="23"/>
  <c r="AA28" i="20"/>
  <c r="AA27" i="20"/>
  <c r="AA26" i="20"/>
  <c r="AA29" i="20"/>
  <c r="AA40" i="20"/>
  <c r="AA13" i="20"/>
  <c r="AA15" i="20"/>
  <c r="AA16" i="20"/>
  <c r="AA17" i="20"/>
  <c r="AA18" i="20"/>
  <c r="AA19" i="20"/>
  <c r="AA21" i="20"/>
  <c r="AA22" i="20"/>
  <c r="Y39" i="26"/>
  <c r="Y40" i="24"/>
  <c r="Z41" i="22"/>
  <c r="T41" i="20"/>
  <c r="Y41" i="20"/>
  <c r="Z41" i="24"/>
  <c r="Z41" i="23"/>
  <c r="Z40" i="23"/>
  <c r="N38" i="26"/>
  <c r="U38" i="26" s="1"/>
  <c r="P39" i="26"/>
  <c r="P40" i="20"/>
  <c r="U40" i="20"/>
  <c r="U39" i="20" s="1"/>
  <c r="Y40" i="25"/>
  <c r="Z41" i="25"/>
  <c r="Z41" i="21"/>
  <c r="W39" i="26"/>
  <c r="T38" i="26"/>
  <c r="Z40" i="26"/>
  <c r="X39" i="26"/>
  <c r="N38" i="25"/>
  <c r="P39" i="25"/>
  <c r="X38" i="25"/>
  <c r="T38" i="25"/>
  <c r="U39" i="25"/>
  <c r="W40" i="25"/>
  <c r="U39" i="24"/>
  <c r="W40" i="24"/>
  <c r="X39" i="24"/>
  <c r="T38" i="24"/>
  <c r="N38" i="24"/>
  <c r="P39" i="24"/>
  <c r="N38" i="23"/>
  <c r="P39" i="23"/>
  <c r="T35" i="23"/>
  <c r="U39" i="23"/>
  <c r="W40" i="23"/>
  <c r="X37" i="23"/>
  <c r="Z40" i="22"/>
  <c r="X39" i="22"/>
  <c r="P39" i="22"/>
  <c r="N38" i="22"/>
  <c r="U39" i="22"/>
  <c r="W40" i="22"/>
  <c r="Z40" i="21"/>
  <c r="X39" i="21"/>
  <c r="U39" i="21"/>
  <c r="W40" i="21"/>
  <c r="T38" i="21"/>
  <c r="N38" i="21"/>
  <c r="P39" i="21"/>
  <c r="N37" i="20"/>
  <c r="N36" i="20" s="1"/>
  <c r="P39" i="20"/>
  <c r="T40" i="20"/>
  <c r="X40" i="20"/>
  <c r="AA42" i="20" l="1"/>
  <c r="Q24" i="20"/>
  <c r="H21" i="20"/>
  <c r="Q23" i="20"/>
  <c r="Q38" i="20"/>
  <c r="H31" i="20"/>
  <c r="Q35" i="20"/>
  <c r="Q34" i="23"/>
  <c r="Q15" i="25"/>
  <c r="Q23" i="25"/>
  <c r="H34" i="20"/>
  <c r="Q33" i="20"/>
  <c r="H32" i="20"/>
  <c r="Q32" i="24"/>
  <c r="Q30" i="24"/>
  <c r="Q19" i="23"/>
  <c r="Q19" i="24"/>
  <c r="Q20" i="23"/>
  <c r="H25" i="20"/>
  <c r="Q26" i="20"/>
  <c r="H20" i="20"/>
  <c r="Q20" i="25"/>
  <c r="H28" i="20"/>
  <c r="Q28" i="24"/>
  <c r="Q28" i="21"/>
  <c r="Q36" i="24"/>
  <c r="V17" i="25"/>
  <c r="Q22" i="25"/>
  <c r="Q36" i="20"/>
  <c r="H37" i="20"/>
  <c r="Q13" i="24"/>
  <c r="Q27" i="25"/>
  <c r="Q28" i="25"/>
  <c r="Q30" i="25"/>
  <c r="Q29" i="25"/>
  <c r="Q29" i="23"/>
  <c r="Q30" i="23"/>
  <c r="Q28" i="23"/>
  <c r="Q27" i="23"/>
  <c r="Q22" i="20"/>
  <c r="Y37" i="23"/>
  <c r="Y36" i="23" s="1"/>
  <c r="Q30" i="21"/>
  <c r="Z39" i="23"/>
  <c r="Q38" i="21"/>
  <c r="Q40" i="20"/>
  <c r="Q36" i="21"/>
  <c r="Q31" i="21"/>
  <c r="Q32" i="21"/>
  <c r="Q15" i="21"/>
  <c r="Q16" i="21"/>
  <c r="Q17" i="21"/>
  <c r="Q19" i="21"/>
  <c r="Q21" i="21"/>
  <c r="Q20" i="21"/>
  <c r="Q33" i="21"/>
  <c r="Q34" i="21"/>
  <c r="Y37" i="21"/>
  <c r="Z38" i="23"/>
  <c r="Q13" i="21"/>
  <c r="Q33" i="26"/>
  <c r="Q34" i="26"/>
  <c r="Q28" i="26"/>
  <c r="Q25" i="26"/>
  <c r="Q23" i="26"/>
  <c r="Q35" i="26"/>
  <c r="Q29" i="26"/>
  <c r="Q37" i="26"/>
  <c r="Q26" i="26"/>
  <c r="Q14" i="26"/>
  <c r="Q15" i="26"/>
  <c r="Q17" i="26"/>
  <c r="Q36" i="26"/>
  <c r="Q20" i="26"/>
  <c r="Q39" i="26"/>
  <c r="Q24" i="26"/>
  <c r="Q18" i="26"/>
  <c r="Q31" i="26"/>
  <c r="Q19" i="26"/>
  <c r="Q22" i="26"/>
  <c r="Q21" i="26"/>
  <c r="Q27" i="26"/>
  <c r="Q38" i="26"/>
  <c r="Q13" i="26"/>
  <c r="Q30" i="26"/>
  <c r="Q32" i="26"/>
  <c r="Q16" i="26"/>
  <c r="Q40" i="26"/>
  <c r="Q41" i="25"/>
  <c r="Q40" i="25"/>
  <c r="Q41" i="24"/>
  <c r="Q40" i="24"/>
  <c r="Q40" i="23"/>
  <c r="Q15" i="22"/>
  <c r="Q16" i="22"/>
  <c r="Q17" i="22"/>
  <c r="Q33" i="22"/>
  <c r="Q29" i="22"/>
  <c r="Q26" i="22"/>
  <c r="Q31" i="22"/>
  <c r="Q32" i="22"/>
  <c r="Q30" i="22"/>
  <c r="Q27" i="22"/>
  <c r="Q23" i="22"/>
  <c r="Q34" i="22"/>
  <c r="Q37" i="22"/>
  <c r="Q36" i="22"/>
  <c r="Q28" i="22"/>
  <c r="Q35" i="22"/>
  <c r="Q39" i="22"/>
  <c r="Q18" i="22"/>
  <c r="Q19" i="22"/>
  <c r="Q20" i="22"/>
  <c r="Q21" i="22"/>
  <c r="Q41" i="22"/>
  <c r="Q40" i="22"/>
  <c r="Q39" i="21"/>
  <c r="Q40" i="21"/>
  <c r="Q41" i="21"/>
  <c r="Y38" i="26"/>
  <c r="Y39" i="24"/>
  <c r="Z40" i="24"/>
  <c r="W40" i="20"/>
  <c r="Z41" i="20"/>
  <c r="Q41" i="26"/>
  <c r="N37" i="26"/>
  <c r="N36" i="26" s="1"/>
  <c r="Y40" i="20"/>
  <c r="P38" i="26"/>
  <c r="P37" i="20"/>
  <c r="Y39" i="25"/>
  <c r="Z40" i="25"/>
  <c r="W38" i="26"/>
  <c r="T37" i="26"/>
  <c r="Z39" i="26"/>
  <c r="X38" i="26"/>
  <c r="W39" i="25"/>
  <c r="U38" i="25"/>
  <c r="X37" i="25"/>
  <c r="T37" i="25"/>
  <c r="N37" i="25"/>
  <c r="P38" i="25"/>
  <c r="T37" i="24"/>
  <c r="X38" i="24"/>
  <c r="P38" i="24"/>
  <c r="N37" i="24"/>
  <c r="W39" i="24"/>
  <c r="U38" i="24"/>
  <c r="X36" i="23"/>
  <c r="T34" i="23"/>
  <c r="W39" i="23"/>
  <c r="U38" i="23"/>
  <c r="P38" i="23"/>
  <c r="N37" i="23"/>
  <c r="Z39" i="22"/>
  <c r="X38" i="22"/>
  <c r="U38" i="22"/>
  <c r="W39" i="22"/>
  <c r="N37" i="22"/>
  <c r="P38" i="22"/>
  <c r="T37" i="22"/>
  <c r="N37" i="21"/>
  <c r="P38" i="21"/>
  <c r="U38" i="21"/>
  <c r="W39" i="21"/>
  <c r="T37" i="21"/>
  <c r="Z39" i="21"/>
  <c r="X38" i="21"/>
  <c r="N35" i="20"/>
  <c r="P36" i="20"/>
  <c r="T39" i="20"/>
  <c r="W39" i="20"/>
  <c r="U38" i="20"/>
  <c r="X39" i="20"/>
  <c r="Q21" i="20" l="1"/>
  <c r="Q31" i="20"/>
  <c r="Q34" i="20"/>
  <c r="Q32" i="20"/>
  <c r="Q25" i="20"/>
  <c r="Q20" i="20"/>
  <c r="V16" i="25"/>
  <c r="Q37" i="20"/>
  <c r="Q13" i="20"/>
  <c r="Q29" i="20"/>
  <c r="Q30" i="20"/>
  <c r="Q27" i="20"/>
  <c r="Q28" i="20"/>
  <c r="Z37" i="23"/>
  <c r="Y39" i="20"/>
  <c r="Z39" i="20" s="1"/>
  <c r="Y35" i="23"/>
  <c r="Y34" i="23" s="1"/>
  <c r="Y36" i="21"/>
  <c r="Y37" i="26"/>
  <c r="Y38" i="24"/>
  <c r="Z39" i="24"/>
  <c r="P37" i="26"/>
  <c r="Q41" i="20"/>
  <c r="U37" i="26"/>
  <c r="U36" i="26" s="1"/>
  <c r="Z40" i="20"/>
  <c r="Y38" i="25"/>
  <c r="Z39" i="25"/>
  <c r="X37" i="26"/>
  <c r="Z38" i="26"/>
  <c r="N35" i="26"/>
  <c r="P36" i="26"/>
  <c r="T36" i="26"/>
  <c r="T36" i="25"/>
  <c r="W38" i="25"/>
  <c r="U37" i="25"/>
  <c r="X36" i="25"/>
  <c r="N36" i="25"/>
  <c r="P37" i="25"/>
  <c r="W38" i="24"/>
  <c r="U37" i="24"/>
  <c r="X37" i="24"/>
  <c r="P37" i="24"/>
  <c r="N36" i="24"/>
  <c r="T36" i="24"/>
  <c r="N36" i="23"/>
  <c r="P37" i="23"/>
  <c r="T33" i="23"/>
  <c r="U37" i="23"/>
  <c r="W38" i="23"/>
  <c r="Z36" i="23"/>
  <c r="X35" i="23"/>
  <c r="T36" i="22"/>
  <c r="W38" i="22"/>
  <c r="U37" i="22"/>
  <c r="X37" i="22"/>
  <c r="P37" i="22"/>
  <c r="N36" i="22"/>
  <c r="X37" i="21"/>
  <c r="Z38" i="21"/>
  <c r="W38" i="21"/>
  <c r="U37" i="21"/>
  <c r="T36" i="21"/>
  <c r="P37" i="21"/>
  <c r="N36" i="21"/>
  <c r="X38" i="20"/>
  <c r="T38" i="20"/>
  <c r="W38" i="20"/>
  <c r="U37" i="20"/>
  <c r="N34" i="20"/>
  <c r="P35" i="20"/>
  <c r="Y33" i="23" l="1"/>
  <c r="Y32" i="23" s="1"/>
  <c r="Y36" i="26"/>
  <c r="V15" i="25"/>
  <c r="V14" i="25" s="1"/>
  <c r="V13" i="25" s="1"/>
  <c r="V12" i="25" s="1"/>
  <c r="V11" i="25" s="1"/>
  <c r="Y37" i="24"/>
  <c r="Z37" i="24" s="1"/>
  <c r="Y38" i="20"/>
  <c r="Y35" i="21"/>
  <c r="Y34" i="21" s="1"/>
  <c r="Z38" i="24"/>
  <c r="W37" i="26"/>
  <c r="Y37" i="25"/>
  <c r="Z38" i="25"/>
  <c r="T35" i="26"/>
  <c r="W36" i="26"/>
  <c r="U35" i="26"/>
  <c r="N34" i="26"/>
  <c r="P35" i="26"/>
  <c r="Z37" i="26"/>
  <c r="X36" i="26"/>
  <c r="P36" i="25"/>
  <c r="N35" i="25"/>
  <c r="T35" i="25"/>
  <c r="X35" i="25"/>
  <c r="W37" i="25"/>
  <c r="U36" i="25"/>
  <c r="T35" i="24"/>
  <c r="X36" i="24"/>
  <c r="N35" i="24"/>
  <c r="P36" i="24"/>
  <c r="U36" i="24"/>
  <c r="W37" i="24"/>
  <c r="X34" i="23"/>
  <c r="Z35" i="23"/>
  <c r="T32" i="23"/>
  <c r="W37" i="23"/>
  <c r="U36" i="23"/>
  <c r="P36" i="23"/>
  <c r="N35" i="23"/>
  <c r="N35" i="22"/>
  <c r="P36" i="22"/>
  <c r="U36" i="22"/>
  <c r="W37" i="22"/>
  <c r="X36" i="22"/>
  <c r="T35" i="22"/>
  <c r="N35" i="21"/>
  <c r="P36" i="21"/>
  <c r="U36" i="21"/>
  <c r="W37" i="21"/>
  <c r="T35" i="21"/>
  <c r="X36" i="21"/>
  <c r="Z37" i="21"/>
  <c r="T37" i="20"/>
  <c r="N33" i="20"/>
  <c r="P34" i="20"/>
  <c r="U36" i="20"/>
  <c r="W37" i="20"/>
  <c r="X37" i="20"/>
  <c r="Y33" i="21" l="1"/>
  <c r="Y32" i="21" s="1"/>
  <c r="Y31" i="23"/>
  <c r="Y30" i="23" s="1"/>
  <c r="Y29" i="23" s="1"/>
  <c r="Y28" i="23" s="1"/>
  <c r="Y35" i="26"/>
  <c r="Y34" i="26" s="1"/>
  <c r="Y33" i="26" s="1"/>
  <c r="Y36" i="24"/>
  <c r="Y37" i="20"/>
  <c r="Z38" i="20"/>
  <c r="Y36" i="25"/>
  <c r="Z37" i="25"/>
  <c r="T34" i="26"/>
  <c r="P34" i="26"/>
  <c r="N33" i="26"/>
  <c r="X35" i="26"/>
  <c r="Z36" i="26"/>
  <c r="U34" i="26"/>
  <c r="W35" i="26"/>
  <c r="N34" i="25"/>
  <c r="P35" i="25"/>
  <c r="X34" i="25"/>
  <c r="U35" i="25"/>
  <c r="W36" i="25"/>
  <c r="T34" i="25"/>
  <c r="U35" i="24"/>
  <c r="W36" i="24"/>
  <c r="X35" i="24"/>
  <c r="N34" i="24"/>
  <c r="P35" i="24"/>
  <c r="T34" i="24"/>
  <c r="N34" i="23"/>
  <c r="P35" i="23"/>
  <c r="U35" i="23"/>
  <c r="W36" i="23"/>
  <c r="T31" i="23"/>
  <c r="Z34" i="23"/>
  <c r="X33" i="23"/>
  <c r="T34" i="22"/>
  <c r="U35" i="22"/>
  <c r="W36" i="22"/>
  <c r="X35" i="22"/>
  <c r="P35" i="22"/>
  <c r="N34" i="22"/>
  <c r="X35" i="21"/>
  <c r="Z36" i="21"/>
  <c r="U35" i="21"/>
  <c r="W36" i="21"/>
  <c r="T34" i="21"/>
  <c r="N34" i="21"/>
  <c r="P35" i="21"/>
  <c r="X36" i="20"/>
  <c r="N32" i="20"/>
  <c r="P33" i="20"/>
  <c r="T36" i="20"/>
  <c r="W36" i="20"/>
  <c r="U35" i="20"/>
  <c r="Y31" i="21" l="1"/>
  <c r="Y30" i="21" s="1"/>
  <c r="Y29" i="21" s="1"/>
  <c r="Y28" i="21" s="1"/>
  <c r="Y35" i="24"/>
  <c r="Y34" i="24" s="1"/>
  <c r="Y33" i="24" s="1"/>
  <c r="Y32" i="24" s="1"/>
  <c r="Y36" i="20"/>
  <c r="Z36" i="20" s="1"/>
  <c r="Y27" i="23"/>
  <c r="Z36" i="24"/>
  <c r="Z37" i="20"/>
  <c r="Y32" i="26"/>
  <c r="Y35" i="25"/>
  <c r="Z36" i="25"/>
  <c r="W34" i="26"/>
  <c r="U33" i="26"/>
  <c r="T33" i="26"/>
  <c r="Z35" i="26"/>
  <c r="X34" i="26"/>
  <c r="P33" i="26"/>
  <c r="N32" i="26"/>
  <c r="U34" i="25"/>
  <c r="W35" i="25"/>
  <c r="P34" i="25"/>
  <c r="N33" i="25"/>
  <c r="T33" i="25"/>
  <c r="X33" i="25"/>
  <c r="T33" i="24"/>
  <c r="X34" i="24"/>
  <c r="N33" i="24"/>
  <c r="P34" i="24"/>
  <c r="U34" i="24"/>
  <c r="W35" i="24"/>
  <c r="W35" i="23"/>
  <c r="U34" i="23"/>
  <c r="X32" i="23"/>
  <c r="Z33" i="23"/>
  <c r="T30" i="23"/>
  <c r="P34" i="23"/>
  <c r="N33" i="23"/>
  <c r="N33" i="22"/>
  <c r="P34" i="22"/>
  <c r="W35" i="22"/>
  <c r="U34" i="22"/>
  <c r="X34" i="22"/>
  <c r="T33" i="22"/>
  <c r="P34" i="21"/>
  <c r="N33" i="21"/>
  <c r="U34" i="21"/>
  <c r="W35" i="21"/>
  <c r="T33" i="21"/>
  <c r="Z35" i="21"/>
  <c r="X34" i="21"/>
  <c r="U34" i="20"/>
  <c r="W35" i="20"/>
  <c r="P32" i="20"/>
  <c r="N31" i="20"/>
  <c r="X35" i="20"/>
  <c r="T35" i="20"/>
  <c r="Y26" i="23" l="1"/>
  <c r="Y25" i="23" s="1"/>
  <c r="Y24" i="23" s="1"/>
  <c r="Y23" i="23" s="1"/>
  <c r="Y22" i="23" s="1"/>
  <c r="Y21" i="23" s="1"/>
  <c r="Y20" i="23" s="1"/>
  <c r="Y31" i="26"/>
  <c r="Y30" i="26" s="1"/>
  <c r="Y29" i="26" s="1"/>
  <c r="Y31" i="24"/>
  <c r="Y30" i="24" s="1"/>
  <c r="Y27" i="21"/>
  <c r="Z35" i="24"/>
  <c r="Y35" i="20"/>
  <c r="Y34" i="20" s="1"/>
  <c r="Y34" i="25"/>
  <c r="Z35" i="25"/>
  <c r="X33" i="26"/>
  <c r="Z34" i="26"/>
  <c r="U32" i="26"/>
  <c r="W33" i="26"/>
  <c r="N31" i="26"/>
  <c r="P32" i="26"/>
  <c r="T32" i="26"/>
  <c r="T32" i="25"/>
  <c r="U33" i="25"/>
  <c r="W34" i="25"/>
  <c r="X32" i="25"/>
  <c r="P33" i="25"/>
  <c r="N32" i="25"/>
  <c r="T32" i="24"/>
  <c r="X33" i="24"/>
  <c r="Z34" i="24"/>
  <c r="W34" i="24"/>
  <c r="U33" i="24"/>
  <c r="P33" i="24"/>
  <c r="N32" i="24"/>
  <c r="N31" i="24" s="1"/>
  <c r="Z32" i="23"/>
  <c r="X31" i="23"/>
  <c r="T29" i="23"/>
  <c r="U33" i="23"/>
  <c r="W34" i="23"/>
  <c r="N32" i="23"/>
  <c r="P33" i="23"/>
  <c r="T32" i="22"/>
  <c r="W34" i="22"/>
  <c r="U33" i="22"/>
  <c r="X33" i="22"/>
  <c r="P33" i="22"/>
  <c r="N32" i="22"/>
  <c r="X33" i="21"/>
  <c r="Z34" i="21"/>
  <c r="W34" i="21"/>
  <c r="U33" i="21"/>
  <c r="T32" i="21"/>
  <c r="P33" i="21"/>
  <c r="N32" i="21"/>
  <c r="T34" i="20"/>
  <c r="N30" i="20"/>
  <c r="P31" i="20"/>
  <c r="X34" i="20"/>
  <c r="W34" i="20"/>
  <c r="U33" i="20"/>
  <c r="Y26" i="21" l="1"/>
  <c r="Y25" i="21" s="1"/>
  <c r="Y24" i="21" s="1"/>
  <c r="Y23" i="21" s="1"/>
  <c r="Y22" i="21" s="1"/>
  <c r="Y21" i="21" s="1"/>
  <c r="Y20" i="21" s="1"/>
  <c r="Y33" i="20"/>
  <c r="Y32" i="20" s="1"/>
  <c r="Y29" i="24"/>
  <c r="Y28" i="24" s="1"/>
  <c r="Y27" i="24" s="1"/>
  <c r="Y26" i="24" s="1"/>
  <c r="Y25" i="24" s="1"/>
  <c r="Y24" i="24" s="1"/>
  <c r="Y23" i="24" s="1"/>
  <c r="Y22" i="24" s="1"/>
  <c r="Y21" i="24" s="1"/>
  <c r="Y20" i="24" s="1"/>
  <c r="Y19" i="24" s="1"/>
  <c r="Y19" i="23"/>
  <c r="Z35" i="20"/>
  <c r="Y28" i="26"/>
  <c r="Y33" i="25"/>
  <c r="Z34" i="25"/>
  <c r="T31" i="26"/>
  <c r="U31" i="26"/>
  <c r="W32" i="26"/>
  <c r="N30" i="26"/>
  <c r="P31" i="26"/>
  <c r="X32" i="26"/>
  <c r="Z33" i="26"/>
  <c r="W33" i="25"/>
  <c r="U32" i="25"/>
  <c r="T31" i="25"/>
  <c r="X31" i="25"/>
  <c r="P32" i="25"/>
  <c r="N31" i="25"/>
  <c r="U32" i="24"/>
  <c r="W33" i="24"/>
  <c r="P32" i="24"/>
  <c r="X32" i="24"/>
  <c r="Z33" i="24"/>
  <c r="T31" i="24"/>
  <c r="P32" i="23"/>
  <c r="N31" i="23"/>
  <c r="T28" i="23"/>
  <c r="X30" i="23"/>
  <c r="Z31" i="23"/>
  <c r="W33" i="23"/>
  <c r="U32" i="23"/>
  <c r="N31" i="22"/>
  <c r="P32" i="22"/>
  <c r="U32" i="22"/>
  <c r="W33" i="22"/>
  <c r="X32" i="22"/>
  <c r="T31" i="22"/>
  <c r="N31" i="21"/>
  <c r="P32" i="21"/>
  <c r="U32" i="21"/>
  <c r="W33" i="21"/>
  <c r="T31" i="21"/>
  <c r="X32" i="21"/>
  <c r="Z33" i="21"/>
  <c r="W33" i="20"/>
  <c r="U32" i="20"/>
  <c r="N29" i="20"/>
  <c r="P30" i="20"/>
  <c r="X33" i="20"/>
  <c r="Z34" i="20"/>
  <c r="T33" i="20"/>
  <c r="Y31" i="20" l="1"/>
  <c r="Y30" i="20" s="1"/>
  <c r="Y29" i="20" s="1"/>
  <c r="Y28" i="20" s="1"/>
  <c r="Y18" i="23"/>
  <c r="Y17" i="23" s="1"/>
  <c r="Y16" i="23" s="1"/>
  <c r="Y15" i="23" s="1"/>
  <c r="Y14" i="23" s="1"/>
  <c r="Y13" i="23" s="1"/>
  <c r="Y12" i="23" s="1"/>
  <c r="Y11" i="23" s="1"/>
  <c r="Y18" i="24"/>
  <c r="Y17" i="24" s="1"/>
  <c r="Y16" i="24" s="1"/>
  <c r="Y15" i="24" s="1"/>
  <c r="Y14" i="24" s="1"/>
  <c r="Y13" i="24" s="1"/>
  <c r="Y12" i="24" s="1"/>
  <c r="Y11" i="24" s="1"/>
  <c r="Y19" i="21"/>
  <c r="Y18" i="21" s="1"/>
  <c r="Y27" i="26"/>
  <c r="Y32" i="25"/>
  <c r="Z33" i="25"/>
  <c r="T30" i="26"/>
  <c r="P30" i="26"/>
  <c r="N29" i="26"/>
  <c r="Z32" i="26"/>
  <c r="X31" i="26"/>
  <c r="U30" i="26"/>
  <c r="W31" i="26"/>
  <c r="X30" i="25"/>
  <c r="U31" i="25"/>
  <c r="W32" i="25"/>
  <c r="N30" i="25"/>
  <c r="P31" i="25"/>
  <c r="T30" i="25"/>
  <c r="T30" i="24"/>
  <c r="N30" i="24"/>
  <c r="P31" i="24"/>
  <c r="X31" i="24"/>
  <c r="Z32" i="24"/>
  <c r="U31" i="24"/>
  <c r="W32" i="24"/>
  <c r="T27" i="23"/>
  <c r="N30" i="23"/>
  <c r="P31" i="23"/>
  <c r="U31" i="23"/>
  <c r="W32" i="23"/>
  <c r="Z30" i="23"/>
  <c r="X29" i="23"/>
  <c r="T30" i="22"/>
  <c r="W32" i="22"/>
  <c r="U31" i="22"/>
  <c r="X31" i="22"/>
  <c r="N30" i="22"/>
  <c r="P31" i="22"/>
  <c r="Z32" i="21"/>
  <c r="X31" i="21"/>
  <c r="U31" i="21"/>
  <c r="W32" i="21"/>
  <c r="T30" i="21"/>
  <c r="N30" i="21"/>
  <c r="P31" i="21"/>
  <c r="T32" i="20"/>
  <c r="P29" i="20"/>
  <c r="N28" i="20"/>
  <c r="U31" i="20"/>
  <c r="W32" i="20"/>
  <c r="X32" i="20"/>
  <c r="Z33" i="20"/>
  <c r="Y17" i="21" l="1"/>
  <c r="Y16" i="21" s="1"/>
  <c r="Y15" i="21" s="1"/>
  <c r="Y14" i="21" s="1"/>
  <c r="Y13" i="21" s="1"/>
  <c r="Y12" i="21" s="1"/>
  <c r="Y11" i="21" s="1"/>
  <c r="Y26" i="26"/>
  <c r="Y25" i="26" s="1"/>
  <c r="Y27" i="20"/>
  <c r="Y26" i="20" s="1"/>
  <c r="Y25" i="20" s="1"/>
  <c r="Y31" i="25"/>
  <c r="Z32" i="25"/>
  <c r="W30" i="26"/>
  <c r="U29" i="26"/>
  <c r="Z31" i="26"/>
  <c r="X30" i="26"/>
  <c r="T29" i="26"/>
  <c r="P29" i="26"/>
  <c r="N28" i="26"/>
  <c r="T29" i="25"/>
  <c r="U30" i="25"/>
  <c r="W31" i="25"/>
  <c r="X29" i="25"/>
  <c r="P30" i="25"/>
  <c r="N29" i="25"/>
  <c r="W31" i="24"/>
  <c r="U30" i="24"/>
  <c r="N29" i="24"/>
  <c r="P30" i="24"/>
  <c r="T29" i="24"/>
  <c r="Z31" i="24"/>
  <c r="X30" i="24"/>
  <c r="P30" i="23"/>
  <c r="N29" i="23"/>
  <c r="X28" i="23"/>
  <c r="Z29" i="23"/>
  <c r="W31" i="23"/>
  <c r="U30" i="23"/>
  <c r="T26" i="23"/>
  <c r="W31" i="22"/>
  <c r="U30" i="22"/>
  <c r="P30" i="22"/>
  <c r="N29" i="22"/>
  <c r="T29" i="22"/>
  <c r="X30" i="22"/>
  <c r="N29" i="21"/>
  <c r="P30" i="21"/>
  <c r="U30" i="21"/>
  <c r="W31" i="21"/>
  <c r="T29" i="21"/>
  <c r="Z31" i="21"/>
  <c r="X30" i="21"/>
  <c r="P28" i="20"/>
  <c r="N27" i="20"/>
  <c r="Z32" i="20"/>
  <c r="X31" i="20"/>
  <c r="T31" i="20"/>
  <c r="W31" i="20"/>
  <c r="U30" i="20"/>
  <c r="Y24" i="20" l="1"/>
  <c r="Y23" i="20" s="1"/>
  <c r="Y22" i="20" s="1"/>
  <c r="Y21" i="20" s="1"/>
  <c r="Y24" i="26"/>
  <c r="Y23" i="26" s="1"/>
  <c r="Y22" i="26" s="1"/>
  <c r="Y30" i="25"/>
  <c r="Z31" i="25"/>
  <c r="T28" i="26"/>
  <c r="U28" i="26"/>
  <c r="W29" i="26"/>
  <c r="N27" i="26"/>
  <c r="P28" i="26"/>
  <c r="X29" i="26"/>
  <c r="Z30" i="26"/>
  <c r="X28" i="25"/>
  <c r="T28" i="25"/>
  <c r="N28" i="25"/>
  <c r="P29" i="25"/>
  <c r="U29" i="25"/>
  <c r="W30" i="25"/>
  <c r="W30" i="24"/>
  <c r="U29" i="24"/>
  <c r="X29" i="24"/>
  <c r="Z30" i="24"/>
  <c r="P29" i="24"/>
  <c r="N28" i="24"/>
  <c r="T28" i="24"/>
  <c r="Z28" i="23"/>
  <c r="X27" i="23"/>
  <c r="U29" i="23"/>
  <c r="W30" i="23"/>
  <c r="N28" i="23"/>
  <c r="P29" i="23"/>
  <c r="T25" i="23"/>
  <c r="X29" i="22"/>
  <c r="P29" i="22"/>
  <c r="N28" i="22"/>
  <c r="T28" i="22"/>
  <c r="W30" i="22"/>
  <c r="U29" i="22"/>
  <c r="X29" i="21"/>
  <c r="Z30" i="21"/>
  <c r="W30" i="21"/>
  <c r="U29" i="21"/>
  <c r="T28" i="21"/>
  <c r="P29" i="21"/>
  <c r="N28" i="21"/>
  <c r="U29" i="20"/>
  <c r="W30" i="20"/>
  <c r="Z31" i="20"/>
  <c r="N26" i="20"/>
  <c r="P27" i="20"/>
  <c r="Y20" i="20" l="1"/>
  <c r="Y19" i="20" s="1"/>
  <c r="Y18" i="20" s="1"/>
  <c r="Y17" i="20" s="1"/>
  <c r="Y16" i="20" s="1"/>
  <c r="Y15" i="20" s="1"/>
  <c r="Y14" i="20" s="1"/>
  <c r="Y13" i="20" s="1"/>
  <c r="Y12" i="20" s="1"/>
  <c r="Y11" i="20" s="1"/>
  <c r="Y21" i="26"/>
  <c r="Y20" i="26" s="1"/>
  <c r="Y19" i="26" s="1"/>
  <c r="Y29" i="25"/>
  <c r="Z30" i="25"/>
  <c r="Z29" i="26"/>
  <c r="X28" i="26"/>
  <c r="U27" i="26"/>
  <c r="W28" i="26"/>
  <c r="P27" i="26"/>
  <c r="N26" i="26"/>
  <c r="T27" i="26"/>
  <c r="W29" i="25"/>
  <c r="U28" i="25"/>
  <c r="P28" i="25"/>
  <c r="N27" i="25"/>
  <c r="X27" i="25"/>
  <c r="T27" i="25"/>
  <c r="T27" i="24"/>
  <c r="X28" i="24"/>
  <c r="Z29" i="24"/>
  <c r="N27" i="24"/>
  <c r="P28" i="24"/>
  <c r="U28" i="24"/>
  <c r="W29" i="24"/>
  <c r="W29" i="23"/>
  <c r="U28" i="23"/>
  <c r="X26" i="23"/>
  <c r="Z27" i="23"/>
  <c r="T24" i="23"/>
  <c r="P28" i="23"/>
  <c r="N27" i="23"/>
  <c r="U28" i="22"/>
  <c r="W29" i="22"/>
  <c r="N27" i="22"/>
  <c r="P28" i="22"/>
  <c r="T27" i="22"/>
  <c r="X28" i="22"/>
  <c r="N27" i="21"/>
  <c r="P28" i="21"/>
  <c r="U28" i="21"/>
  <c r="W29" i="21"/>
  <c r="T27" i="21"/>
  <c r="X28" i="21"/>
  <c r="Z29" i="21"/>
  <c r="P26" i="20"/>
  <c r="N25" i="20"/>
  <c r="W29" i="20"/>
  <c r="U28" i="20"/>
  <c r="Y18" i="26" l="1"/>
  <c r="Y17" i="26" s="1"/>
  <c r="Y28" i="25"/>
  <c r="Z29" i="25"/>
  <c r="N25" i="26"/>
  <c r="P26" i="26"/>
  <c r="Z28" i="26"/>
  <c r="X27" i="26"/>
  <c r="T26" i="26"/>
  <c r="W27" i="26"/>
  <c r="U26" i="26"/>
  <c r="U27" i="25"/>
  <c r="W28" i="25"/>
  <c r="X26" i="25"/>
  <c r="N26" i="25"/>
  <c r="P27" i="25"/>
  <c r="T26" i="25"/>
  <c r="U27" i="24"/>
  <c r="W28" i="24"/>
  <c r="X27" i="24"/>
  <c r="Z28" i="24"/>
  <c r="N26" i="24"/>
  <c r="P27" i="24"/>
  <c r="T26" i="24"/>
  <c r="N26" i="23"/>
  <c r="P27" i="23"/>
  <c r="Z26" i="23"/>
  <c r="X25" i="23"/>
  <c r="T23" i="23"/>
  <c r="U27" i="23"/>
  <c r="W28" i="23"/>
  <c r="X27" i="22"/>
  <c r="N26" i="22"/>
  <c r="P27" i="22"/>
  <c r="W28" i="22"/>
  <c r="U27" i="22"/>
  <c r="X27" i="21"/>
  <c r="Z28" i="21"/>
  <c r="U27" i="21"/>
  <c r="W28" i="21"/>
  <c r="T26" i="21"/>
  <c r="N26" i="21"/>
  <c r="P27" i="21"/>
  <c r="U27" i="20"/>
  <c r="W28" i="20"/>
  <c r="P25" i="20"/>
  <c r="N24" i="20"/>
  <c r="P24" i="20" s="1"/>
  <c r="Y16" i="26" l="1"/>
  <c r="Y27" i="25"/>
  <c r="Z28" i="25"/>
  <c r="T25" i="26"/>
  <c r="P25" i="26"/>
  <c r="N24" i="26"/>
  <c r="P24" i="26" s="1"/>
  <c r="W26" i="26"/>
  <c r="U25" i="26"/>
  <c r="Z27" i="26"/>
  <c r="X26" i="26"/>
  <c r="T25" i="25"/>
  <c r="N25" i="25"/>
  <c r="P26" i="25"/>
  <c r="U26" i="25"/>
  <c r="W27" i="25"/>
  <c r="X25" i="25"/>
  <c r="T25" i="24"/>
  <c r="Z27" i="24"/>
  <c r="X26" i="24"/>
  <c r="N25" i="24"/>
  <c r="P26" i="24"/>
  <c r="W27" i="24"/>
  <c r="U26" i="24"/>
  <c r="X24" i="23"/>
  <c r="Z25" i="23"/>
  <c r="W27" i="23"/>
  <c r="U26" i="23"/>
  <c r="T22" i="23"/>
  <c r="P26" i="23"/>
  <c r="N25" i="23"/>
  <c r="U26" i="22"/>
  <c r="W27" i="22"/>
  <c r="P26" i="22"/>
  <c r="N25" i="22"/>
  <c r="X26" i="22"/>
  <c r="N25" i="21"/>
  <c r="P26" i="21"/>
  <c r="W27" i="21"/>
  <c r="U26" i="21"/>
  <c r="T25" i="21"/>
  <c r="Z27" i="21"/>
  <c r="X26" i="21"/>
  <c r="N23" i="20"/>
  <c r="P23" i="20" s="1"/>
  <c r="U26" i="20"/>
  <c r="W27" i="20"/>
  <c r="Y15" i="26" l="1"/>
  <c r="Y14" i="26" s="1"/>
  <c r="Y26" i="25"/>
  <c r="Z27" i="25"/>
  <c r="U24" i="26"/>
  <c r="W25" i="26"/>
  <c r="T24" i="26"/>
  <c r="X25" i="26"/>
  <c r="Z26" i="26"/>
  <c r="N23" i="26"/>
  <c r="P23" i="26" s="1"/>
  <c r="T24" i="25"/>
  <c r="W26" i="25"/>
  <c r="U25" i="25"/>
  <c r="X24" i="25"/>
  <c r="N24" i="25"/>
  <c r="P24" i="25" s="1"/>
  <c r="P25" i="25"/>
  <c r="T24" i="24"/>
  <c r="W26" i="24"/>
  <c r="U25" i="24"/>
  <c r="X25" i="24"/>
  <c r="Z26" i="24"/>
  <c r="P25" i="24"/>
  <c r="N24" i="24"/>
  <c r="P24" i="24" s="1"/>
  <c r="N24" i="23"/>
  <c r="P24" i="23" s="1"/>
  <c r="P25" i="23"/>
  <c r="U25" i="23"/>
  <c r="W26" i="23"/>
  <c r="T21" i="23"/>
  <c r="Z24" i="23"/>
  <c r="X23" i="23"/>
  <c r="X25" i="22"/>
  <c r="P25" i="22"/>
  <c r="N24" i="22"/>
  <c r="P24" i="22" s="1"/>
  <c r="W26" i="22"/>
  <c r="U25" i="22"/>
  <c r="X25" i="21"/>
  <c r="Z26" i="21"/>
  <c r="W26" i="21"/>
  <c r="U25" i="21"/>
  <c r="T24" i="21"/>
  <c r="P25" i="21"/>
  <c r="N24" i="21"/>
  <c r="P24" i="21" s="1"/>
  <c r="U25" i="20"/>
  <c r="W26" i="20"/>
  <c r="N22" i="20"/>
  <c r="P22" i="20" s="1"/>
  <c r="Y13" i="26" l="1"/>
  <c r="Y12" i="26" s="1"/>
  <c r="Y25" i="25"/>
  <c r="Z26" i="25"/>
  <c r="N22" i="26"/>
  <c r="P22" i="26" s="1"/>
  <c r="T23" i="26"/>
  <c r="Z25" i="26"/>
  <c r="X24" i="26"/>
  <c r="W24" i="26"/>
  <c r="U23" i="26"/>
  <c r="N23" i="25"/>
  <c r="P23" i="25" s="1"/>
  <c r="T23" i="25"/>
  <c r="X23" i="25"/>
  <c r="W25" i="25"/>
  <c r="U24" i="25"/>
  <c r="N23" i="24"/>
  <c r="P23" i="24" s="1"/>
  <c r="U24" i="24"/>
  <c r="W25" i="24"/>
  <c r="X24" i="24"/>
  <c r="Z25" i="24"/>
  <c r="T23" i="24"/>
  <c r="W25" i="23"/>
  <c r="U24" i="23"/>
  <c r="X22" i="23"/>
  <c r="Z23" i="23"/>
  <c r="T20" i="23"/>
  <c r="N23" i="23"/>
  <c r="P23" i="23" s="1"/>
  <c r="U24" i="22"/>
  <c r="W25" i="22"/>
  <c r="N23" i="22"/>
  <c r="P23" i="22" s="1"/>
  <c r="X24" i="22"/>
  <c r="N23" i="21"/>
  <c r="P23" i="21" s="1"/>
  <c r="U24" i="21"/>
  <c r="W25" i="21"/>
  <c r="T23" i="21"/>
  <c r="X24" i="21"/>
  <c r="Z25" i="21"/>
  <c r="N21" i="20"/>
  <c r="P21" i="20" s="1"/>
  <c r="W25" i="20"/>
  <c r="U24" i="20"/>
  <c r="Y11" i="26" l="1"/>
  <c r="Y24" i="25"/>
  <c r="Z25" i="25"/>
  <c r="Z24" i="26"/>
  <c r="X23" i="26"/>
  <c r="N21" i="26"/>
  <c r="P21" i="26" s="1"/>
  <c r="W23" i="26"/>
  <c r="U22" i="26"/>
  <c r="T22" i="26"/>
  <c r="X22" i="25"/>
  <c r="N22" i="25"/>
  <c r="P22" i="25" s="1"/>
  <c r="U23" i="25"/>
  <c r="W24" i="25"/>
  <c r="T22" i="25"/>
  <c r="T22" i="24"/>
  <c r="W24" i="24"/>
  <c r="U23" i="24"/>
  <c r="X23" i="24"/>
  <c r="Z24" i="24"/>
  <c r="N22" i="24"/>
  <c r="P22" i="24" s="1"/>
  <c r="T19" i="23"/>
  <c r="N22" i="23"/>
  <c r="P22" i="23" s="1"/>
  <c r="Z22" i="23"/>
  <c r="X21" i="23"/>
  <c r="U23" i="23"/>
  <c r="W24" i="23"/>
  <c r="X23" i="22"/>
  <c r="N22" i="22"/>
  <c r="P22" i="22" s="1"/>
  <c r="T22" i="22"/>
  <c r="U23" i="22"/>
  <c r="W24" i="22"/>
  <c r="Z24" i="21"/>
  <c r="X23" i="21"/>
  <c r="U23" i="21"/>
  <c r="W24" i="21"/>
  <c r="T22" i="21"/>
  <c r="N22" i="21"/>
  <c r="P22" i="21" s="1"/>
  <c r="U23" i="20"/>
  <c r="W24" i="20"/>
  <c r="N20" i="20"/>
  <c r="P20" i="20" s="1"/>
  <c r="Y23" i="25" l="1"/>
  <c r="Z24" i="25"/>
  <c r="N20" i="26"/>
  <c r="P20" i="26" s="1"/>
  <c r="W22" i="26"/>
  <c r="U21" i="26"/>
  <c r="Z23" i="26"/>
  <c r="X22" i="26"/>
  <c r="T21" i="26"/>
  <c r="N21" i="25"/>
  <c r="P21" i="25" s="1"/>
  <c r="W23" i="25"/>
  <c r="U22" i="25"/>
  <c r="X21" i="25"/>
  <c r="T21" i="25"/>
  <c r="T21" i="24"/>
  <c r="W23" i="24"/>
  <c r="U22" i="24"/>
  <c r="N21" i="24"/>
  <c r="P21" i="24" s="1"/>
  <c r="Z23" i="24"/>
  <c r="X22" i="24"/>
  <c r="N21" i="23"/>
  <c r="P21" i="23" s="1"/>
  <c r="X20" i="23"/>
  <c r="Z21" i="23"/>
  <c r="W23" i="23"/>
  <c r="U22" i="23"/>
  <c r="T18" i="23"/>
  <c r="N21" i="22"/>
  <c r="P21" i="22" s="1"/>
  <c r="U22" i="22"/>
  <c r="W23" i="22"/>
  <c r="X22" i="22"/>
  <c r="T21" i="22"/>
  <c r="N21" i="21"/>
  <c r="P21" i="21" s="1"/>
  <c r="W23" i="21"/>
  <c r="U22" i="21"/>
  <c r="T21" i="21"/>
  <c r="Z23" i="21"/>
  <c r="X22" i="21"/>
  <c r="N19" i="20"/>
  <c r="P19" i="20" s="1"/>
  <c r="U22" i="20"/>
  <c r="W23" i="20"/>
  <c r="Y22" i="25" l="1"/>
  <c r="Z23" i="25"/>
  <c r="X21" i="26"/>
  <c r="Z22" i="26"/>
  <c r="N19" i="26"/>
  <c r="P19" i="26" s="1"/>
  <c r="T20" i="26"/>
  <c r="U20" i="26"/>
  <c r="W21" i="26"/>
  <c r="X20" i="25"/>
  <c r="X19" i="25" s="1"/>
  <c r="N20" i="25"/>
  <c r="T20" i="25"/>
  <c r="W22" i="25"/>
  <c r="U21" i="25"/>
  <c r="T20" i="24"/>
  <c r="X21" i="24"/>
  <c r="Z22" i="24"/>
  <c r="W22" i="24"/>
  <c r="U21" i="24"/>
  <c r="N20" i="24"/>
  <c r="P20" i="24" s="1"/>
  <c r="T17" i="23"/>
  <c r="Z20" i="23"/>
  <c r="X19" i="23"/>
  <c r="U21" i="23"/>
  <c r="W22" i="23"/>
  <c r="N20" i="23"/>
  <c r="P20" i="23" s="1"/>
  <c r="T20" i="22"/>
  <c r="W22" i="22"/>
  <c r="U21" i="22"/>
  <c r="X21" i="22"/>
  <c r="N20" i="22"/>
  <c r="P20" i="22" s="1"/>
  <c r="X21" i="21"/>
  <c r="Z22" i="21"/>
  <c r="W22" i="21"/>
  <c r="U21" i="21"/>
  <c r="T20" i="21"/>
  <c r="N20" i="21"/>
  <c r="P20" i="21" s="1"/>
  <c r="W22" i="20"/>
  <c r="U21" i="20"/>
  <c r="N18" i="20"/>
  <c r="P18" i="20" s="1"/>
  <c r="X18" i="25" l="1"/>
  <c r="X17" i="25" s="1"/>
  <c r="X16" i="25" s="1"/>
  <c r="P20" i="25"/>
  <c r="N19" i="25"/>
  <c r="Y21" i="25"/>
  <c r="Z22" i="25"/>
  <c r="W20" i="26"/>
  <c r="U19" i="26"/>
  <c r="N18" i="26"/>
  <c r="P18" i="26" s="1"/>
  <c r="T19" i="26"/>
  <c r="Z21" i="26"/>
  <c r="X20" i="26"/>
  <c r="W21" i="25"/>
  <c r="U20" i="25"/>
  <c r="U20" i="24"/>
  <c r="W21" i="24"/>
  <c r="N19" i="24"/>
  <c r="P19" i="24" s="1"/>
  <c r="X20" i="24"/>
  <c r="Z21" i="24"/>
  <c r="T19" i="24"/>
  <c r="Z19" i="23"/>
  <c r="X18" i="23"/>
  <c r="N19" i="23"/>
  <c r="P19" i="23" s="1"/>
  <c r="T16" i="23"/>
  <c r="W21" i="23"/>
  <c r="U20" i="23"/>
  <c r="N19" i="22"/>
  <c r="P19" i="22" s="1"/>
  <c r="U20" i="22"/>
  <c r="W21" i="22"/>
  <c r="X20" i="22"/>
  <c r="T19" i="22"/>
  <c r="N19" i="21"/>
  <c r="P19" i="21" s="1"/>
  <c r="U20" i="21"/>
  <c r="W21" i="21"/>
  <c r="T19" i="21"/>
  <c r="X20" i="21"/>
  <c r="Z21" i="21"/>
  <c r="W21" i="20"/>
  <c r="U20" i="20"/>
  <c r="N17" i="20"/>
  <c r="P17" i="20" s="1"/>
  <c r="U19" i="25" l="1"/>
  <c r="W19" i="25" s="1"/>
  <c r="N18" i="25"/>
  <c r="P19" i="25"/>
  <c r="Y20" i="25"/>
  <c r="Z21" i="25"/>
  <c r="T18" i="26"/>
  <c r="U18" i="26"/>
  <c r="W19" i="26"/>
  <c r="X19" i="26"/>
  <c r="Z20" i="26"/>
  <c r="N17" i="26"/>
  <c r="P17" i="26" s="1"/>
  <c r="W20" i="25"/>
  <c r="T18" i="24"/>
  <c r="N18" i="24"/>
  <c r="P18" i="24" s="1"/>
  <c r="X19" i="24"/>
  <c r="Z20" i="24"/>
  <c r="W20" i="24"/>
  <c r="U19" i="24"/>
  <c r="U19" i="23"/>
  <c r="W20" i="23"/>
  <c r="N18" i="23"/>
  <c r="P18" i="23" s="1"/>
  <c r="X17" i="23"/>
  <c r="Z18" i="23"/>
  <c r="T15" i="23"/>
  <c r="T18" i="22"/>
  <c r="U19" i="22"/>
  <c r="W20" i="22"/>
  <c r="N18" i="22"/>
  <c r="P18" i="22" s="1"/>
  <c r="X19" i="22"/>
  <c r="X19" i="21"/>
  <c r="Z20" i="21"/>
  <c r="W20" i="21"/>
  <c r="U19" i="21"/>
  <c r="T18" i="21"/>
  <c r="N18" i="21"/>
  <c r="P18" i="21" s="1"/>
  <c r="N16" i="20"/>
  <c r="P16" i="20" s="1"/>
  <c r="U19" i="20"/>
  <c r="W20" i="20"/>
  <c r="Y19" i="25" l="1"/>
  <c r="Y18" i="25" s="1"/>
  <c r="N17" i="25"/>
  <c r="P18" i="25"/>
  <c r="U18" i="25"/>
  <c r="Z20" i="25"/>
  <c r="W18" i="26"/>
  <c r="U17" i="26"/>
  <c r="T17" i="26"/>
  <c r="Z19" i="26"/>
  <c r="X18" i="26"/>
  <c r="N16" i="26"/>
  <c r="P16" i="26" s="1"/>
  <c r="T17" i="24"/>
  <c r="U18" i="24"/>
  <c r="W19" i="24"/>
  <c r="N17" i="24"/>
  <c r="N16" i="24" s="1"/>
  <c r="Z19" i="24"/>
  <c r="X18" i="24"/>
  <c r="T14" i="23"/>
  <c r="N17" i="23"/>
  <c r="P17" i="23" s="1"/>
  <c r="X16" i="23"/>
  <c r="Z17" i="23"/>
  <c r="W19" i="23"/>
  <c r="U18" i="23"/>
  <c r="X18" i="22"/>
  <c r="W19" i="22"/>
  <c r="U18" i="22"/>
  <c r="N17" i="22"/>
  <c r="P17" i="22" s="1"/>
  <c r="T17" i="22"/>
  <c r="N17" i="21"/>
  <c r="W19" i="21"/>
  <c r="U18" i="21"/>
  <c r="T17" i="21"/>
  <c r="Z19" i="21"/>
  <c r="X18" i="21"/>
  <c r="W19" i="20"/>
  <c r="U18" i="20"/>
  <c r="N15" i="20"/>
  <c r="P15" i="20" s="1"/>
  <c r="P17" i="21" l="1"/>
  <c r="N16" i="21"/>
  <c r="N15" i="21" s="1"/>
  <c r="N14" i="21" s="1"/>
  <c r="N13" i="21" s="1"/>
  <c r="N12" i="21" s="1"/>
  <c r="N11" i="21" s="1"/>
  <c r="P17" i="24"/>
  <c r="N15" i="24"/>
  <c r="N14" i="24" s="1"/>
  <c r="N13" i="24" s="1"/>
  <c r="N12" i="24" s="1"/>
  <c r="N11" i="24" s="1"/>
  <c r="Z19" i="25"/>
  <c r="U17" i="25"/>
  <c r="W18" i="25"/>
  <c r="P17" i="25"/>
  <c r="N16" i="25"/>
  <c r="P16" i="25" s="1"/>
  <c r="Y17" i="25"/>
  <c r="Z18" i="25"/>
  <c r="T13" i="23"/>
  <c r="X17" i="26"/>
  <c r="Z18" i="26"/>
  <c r="U16" i="26"/>
  <c r="W17" i="26"/>
  <c r="N15" i="26"/>
  <c r="P15" i="26" s="1"/>
  <c r="T16" i="26"/>
  <c r="X17" i="24"/>
  <c r="Z18" i="24"/>
  <c r="U17" i="24"/>
  <c r="W18" i="24"/>
  <c r="T16" i="24"/>
  <c r="N16" i="23"/>
  <c r="P16" i="23" s="1"/>
  <c r="W18" i="23"/>
  <c r="U17" i="23"/>
  <c r="Z16" i="23"/>
  <c r="X15" i="23"/>
  <c r="T16" i="22"/>
  <c r="U17" i="22"/>
  <c r="W18" i="22"/>
  <c r="X17" i="22"/>
  <c r="N16" i="22"/>
  <c r="P16" i="22" s="1"/>
  <c r="X17" i="21"/>
  <c r="Z18" i="21"/>
  <c r="U17" i="21"/>
  <c r="W18" i="21"/>
  <c r="P16" i="21"/>
  <c r="T16" i="21"/>
  <c r="N14" i="20"/>
  <c r="P14" i="20" s="1"/>
  <c r="W18" i="20"/>
  <c r="U17" i="20"/>
  <c r="P16" i="24" l="1"/>
  <c r="U16" i="25"/>
  <c r="W16" i="25" s="1"/>
  <c r="W17" i="25"/>
  <c r="Y16" i="25"/>
  <c r="Z16" i="25" s="1"/>
  <c r="Z17" i="25"/>
  <c r="T15" i="26"/>
  <c r="U15" i="26"/>
  <c r="W16" i="26"/>
  <c r="N14" i="26"/>
  <c r="P14" i="26" s="1"/>
  <c r="X16" i="26"/>
  <c r="Z17" i="26"/>
  <c r="X15" i="25"/>
  <c r="N15" i="25"/>
  <c r="P15" i="25" s="1"/>
  <c r="T15" i="25"/>
  <c r="T15" i="24"/>
  <c r="Z17" i="24"/>
  <c r="X16" i="24"/>
  <c r="U16" i="24"/>
  <c r="W17" i="24"/>
  <c r="P15" i="24"/>
  <c r="Z15" i="23"/>
  <c r="X14" i="23"/>
  <c r="N15" i="23"/>
  <c r="P15" i="23" s="1"/>
  <c r="U16" i="23"/>
  <c r="W17" i="23"/>
  <c r="N15" i="22"/>
  <c r="P15" i="22" s="1"/>
  <c r="W17" i="22"/>
  <c r="U16" i="22"/>
  <c r="X16" i="22"/>
  <c r="T15" i="22"/>
  <c r="T15" i="21"/>
  <c r="U16" i="21"/>
  <c r="W17" i="21"/>
  <c r="P15" i="21"/>
  <c r="X16" i="21"/>
  <c r="Z17" i="21"/>
  <c r="W17" i="20"/>
  <c r="U16" i="20"/>
  <c r="N13" i="20"/>
  <c r="N12" i="20" s="1"/>
  <c r="N11" i="20" s="1"/>
  <c r="P11" i="20" s="1"/>
  <c r="P12" i="20" l="1"/>
  <c r="P13" i="20"/>
  <c r="T14" i="26"/>
  <c r="N13" i="26"/>
  <c r="N12" i="26" s="1"/>
  <c r="N11" i="26" s="1"/>
  <c r="P11" i="26" s="1"/>
  <c r="Z16" i="26"/>
  <c r="X15" i="26"/>
  <c r="U14" i="26"/>
  <c r="W15" i="26"/>
  <c r="T14" i="25"/>
  <c r="X14" i="25"/>
  <c r="U15" i="25"/>
  <c r="N14" i="25"/>
  <c r="P14" i="25" s="1"/>
  <c r="T14" i="24"/>
  <c r="Z16" i="24"/>
  <c r="X15" i="24"/>
  <c r="P14" i="24"/>
  <c r="W16" i="24"/>
  <c r="U15" i="24"/>
  <c r="N14" i="23"/>
  <c r="P14" i="23" s="1"/>
  <c r="X13" i="23"/>
  <c r="X12" i="23" s="1"/>
  <c r="X11" i="23" s="1"/>
  <c r="Z11" i="23" s="1"/>
  <c r="Z14" i="23"/>
  <c r="U15" i="23"/>
  <c r="W16" i="23"/>
  <c r="U15" i="22"/>
  <c r="W16" i="22"/>
  <c r="N14" i="22"/>
  <c r="P14" i="22" s="1"/>
  <c r="X15" i="22"/>
  <c r="Z16" i="21"/>
  <c r="X15" i="21"/>
  <c r="U15" i="21"/>
  <c r="W16" i="21"/>
  <c r="P14" i="21"/>
  <c r="T14" i="21"/>
  <c r="U15" i="20"/>
  <c r="W16" i="20"/>
  <c r="Z12" i="23" l="1"/>
  <c r="P12" i="26"/>
  <c r="T13" i="26"/>
  <c r="P13" i="26"/>
  <c r="T13" i="25"/>
  <c r="T13" i="24"/>
  <c r="Z13" i="23"/>
  <c r="T13" i="21"/>
  <c r="Y15" i="25"/>
  <c r="W14" i="26"/>
  <c r="U13" i="26"/>
  <c r="U12" i="26" s="1"/>
  <c r="U11" i="26" s="1"/>
  <c r="W11" i="26" s="1"/>
  <c r="Z15" i="26"/>
  <c r="X14" i="26"/>
  <c r="U14" i="25"/>
  <c r="W15" i="25"/>
  <c r="N13" i="25"/>
  <c r="N12" i="25" s="1"/>
  <c r="N11" i="25" s="1"/>
  <c r="P11" i="25" s="1"/>
  <c r="X13" i="25"/>
  <c r="X12" i="25" s="1"/>
  <c r="X11" i="25" s="1"/>
  <c r="W15" i="24"/>
  <c r="U14" i="24"/>
  <c r="X14" i="24"/>
  <c r="Z15" i="24"/>
  <c r="P11" i="24"/>
  <c r="U14" i="23"/>
  <c r="W15" i="23"/>
  <c r="N13" i="23"/>
  <c r="N12" i="23" s="1"/>
  <c r="N11" i="23" s="1"/>
  <c r="P11" i="23" s="1"/>
  <c r="X14" i="22"/>
  <c r="N13" i="22"/>
  <c r="N12" i="22" s="1"/>
  <c r="N11" i="22" s="1"/>
  <c r="P11" i="22" s="1"/>
  <c r="W15" i="22"/>
  <c r="U14" i="22"/>
  <c r="W15" i="21"/>
  <c r="U14" i="21"/>
  <c r="X14" i="21"/>
  <c r="Z15" i="21"/>
  <c r="P11" i="21"/>
  <c r="W15" i="20"/>
  <c r="U14" i="20"/>
  <c r="P12" i="21" l="1"/>
  <c r="P12" i="22"/>
  <c r="P12" i="23"/>
  <c r="P12" i="24"/>
  <c r="P12" i="25"/>
  <c r="W12" i="26"/>
  <c r="W13" i="26"/>
  <c r="P13" i="25"/>
  <c r="P13" i="24"/>
  <c r="P13" i="23"/>
  <c r="P13" i="21"/>
  <c r="P13" i="22"/>
  <c r="Y14" i="25"/>
  <c r="Z15" i="25"/>
  <c r="Z14" i="26"/>
  <c r="X13" i="26"/>
  <c r="X12" i="26" s="1"/>
  <c r="X11" i="26" s="1"/>
  <c r="Z11" i="26" s="1"/>
  <c r="W14" i="25"/>
  <c r="U13" i="25"/>
  <c r="U12" i="25" s="1"/>
  <c r="U11" i="25" s="1"/>
  <c r="W11" i="25" s="1"/>
  <c r="X13" i="24"/>
  <c r="X12" i="24" s="1"/>
  <c r="X11" i="24" s="1"/>
  <c r="Z14" i="24"/>
  <c r="U13" i="24"/>
  <c r="U12" i="24" s="1"/>
  <c r="U11" i="24" s="1"/>
  <c r="W11" i="24" s="1"/>
  <c r="W14" i="24"/>
  <c r="W14" i="23"/>
  <c r="U13" i="23"/>
  <c r="U12" i="23" s="1"/>
  <c r="U11" i="23" s="1"/>
  <c r="W11" i="23" s="1"/>
  <c r="U13" i="22"/>
  <c r="U12" i="22" s="1"/>
  <c r="U11" i="22" s="1"/>
  <c r="W11" i="22" s="1"/>
  <c r="W14" i="22"/>
  <c r="X13" i="22"/>
  <c r="X12" i="22" s="1"/>
  <c r="X11" i="22" s="1"/>
  <c r="X13" i="21"/>
  <c r="X12" i="21" s="1"/>
  <c r="X11" i="21" s="1"/>
  <c r="Z14" i="21"/>
  <c r="U13" i="21"/>
  <c r="U12" i="21" s="1"/>
  <c r="U11" i="21" s="1"/>
  <c r="W11" i="21" s="1"/>
  <c r="W14" i="21"/>
  <c r="U13" i="20"/>
  <c r="U12" i="20" s="1"/>
  <c r="U11" i="20" s="1"/>
  <c r="W11" i="20" s="1"/>
  <c r="W14" i="20"/>
  <c r="Z11" i="21" l="1"/>
  <c r="Z11" i="24"/>
  <c r="W12" i="21"/>
  <c r="Z12" i="21"/>
  <c r="W12" i="22"/>
  <c r="W12" i="23"/>
  <c r="W12" i="24"/>
  <c r="Z12" i="24"/>
  <c r="W12" i="25"/>
  <c r="Z12" i="26"/>
  <c r="W12" i="20"/>
  <c r="Z13" i="26"/>
  <c r="W13" i="25"/>
  <c r="Z13" i="24"/>
  <c r="W13" i="24"/>
  <c r="W13" i="23"/>
  <c r="Z13" i="21"/>
  <c r="W13" i="21"/>
  <c r="W13" i="22"/>
  <c r="Y13" i="25"/>
  <c r="Z14" i="25"/>
  <c r="W13" i="20"/>
  <c r="Y12" i="25" l="1"/>
  <c r="Z13" i="25"/>
  <c r="Y11" i="25" l="1"/>
  <c r="Z11" i="25" s="1"/>
  <c r="Z12" i="25"/>
  <c r="T30" i="20"/>
  <c r="T29" i="20"/>
  <c r="X30" i="20"/>
  <c r="Z30" i="20" s="1"/>
  <c r="X29" i="20" l="1"/>
  <c r="Z29" i="20" l="1"/>
  <c r="X28" i="20"/>
  <c r="T27" i="20" l="1"/>
  <c r="Z28" i="20"/>
  <c r="X27" i="20"/>
  <c r="X26" i="20" l="1"/>
  <c r="Z27" i="20"/>
  <c r="T26" i="20"/>
  <c r="T25" i="20" l="1"/>
  <c r="X25" i="20"/>
  <c r="Z26" i="20"/>
  <c r="X24" i="20" l="1"/>
  <c r="Z25" i="20"/>
  <c r="T24" i="20"/>
  <c r="T23" i="20" l="1"/>
  <c r="X23" i="20"/>
  <c r="Z24" i="20"/>
  <c r="Z23" i="20" l="1"/>
  <c r="X22" i="20"/>
  <c r="T22" i="20"/>
  <c r="T21" i="20" l="1"/>
  <c r="X21" i="20"/>
  <c r="Z22" i="20"/>
  <c r="X20" i="20" l="1"/>
  <c r="Z21" i="20"/>
  <c r="T20" i="20"/>
  <c r="T19" i="20" l="1"/>
  <c r="Z20" i="20"/>
  <c r="X19" i="20"/>
  <c r="Z19" i="20" l="1"/>
  <c r="X18" i="20"/>
  <c r="T18" i="20"/>
  <c r="T17" i="20" l="1"/>
  <c r="X17" i="20"/>
  <c r="Z18" i="20"/>
  <c r="Z17" i="20" l="1"/>
  <c r="X16" i="20"/>
  <c r="T16" i="20"/>
  <c r="T15" i="20" l="1"/>
  <c r="Z16" i="20"/>
  <c r="X15" i="20"/>
  <c r="Z15" i="20" l="1"/>
  <c r="X14" i="20"/>
  <c r="T14" i="20"/>
  <c r="T13" i="20" l="1"/>
  <c r="Z14" i="20"/>
  <c r="X13" i="20"/>
  <c r="X12" i="20" s="1"/>
  <c r="X11" i="20" s="1"/>
  <c r="Z11" i="20" s="1"/>
  <c r="Z12" i="20" l="1"/>
  <c r="Z13" i="20"/>
  <c r="N4" i="26" l="1"/>
  <c r="N4" i="22"/>
  <c r="N4" i="21"/>
  <c r="N4" i="23"/>
  <c r="N4" i="25"/>
  <c r="S38" i="22" l="1"/>
  <c r="G38" i="22" s="1"/>
  <c r="H38" i="22" l="1"/>
  <c r="Q38" i="22" s="1"/>
  <c r="Y38" i="22"/>
  <c r="Z38" i="22" s="1"/>
  <c r="T38" i="22"/>
  <c r="AA38" i="22"/>
  <c r="Y37" i="22" l="1"/>
  <c r="Y36" i="22" s="1"/>
  <c r="Z37" i="22" l="1"/>
  <c r="Y35" i="22"/>
  <c r="Z36" i="22"/>
  <c r="Y34" i="22" l="1"/>
  <c r="Z35" i="22"/>
  <c r="Z34" i="22" l="1"/>
  <c r="Y33" i="22"/>
  <c r="Y32" i="22" l="1"/>
  <c r="Z33" i="22"/>
  <c r="Y31" i="22" l="1"/>
  <c r="Z32" i="22"/>
  <c r="Y30" i="22" l="1"/>
  <c r="Z31" i="22"/>
  <c r="Z30" i="22" l="1"/>
  <c r="Y29" i="22"/>
  <c r="Z29" i="22" l="1"/>
  <c r="Y28" i="22"/>
  <c r="Y27" i="22" l="1"/>
  <c r="Z28" i="22"/>
  <c r="Y26" i="22" l="1"/>
  <c r="Z27" i="22"/>
  <c r="Z26" i="22" l="1"/>
  <c r="Y25" i="22"/>
  <c r="Y24" i="22" l="1"/>
  <c r="Z25" i="22"/>
  <c r="Z24" i="22" l="1"/>
  <c r="Y23" i="22"/>
  <c r="Z23" i="22" l="1"/>
  <c r="Y22" i="22"/>
  <c r="Z22" i="22" l="1"/>
  <c r="Y21" i="22"/>
  <c r="Z21" i="22" l="1"/>
  <c r="Y20" i="22"/>
  <c r="Z20" i="22" l="1"/>
  <c r="Y19" i="22"/>
  <c r="Z19" i="22" l="1"/>
  <c r="Y18" i="22"/>
  <c r="Y17" i="22" l="1"/>
  <c r="Z18" i="22"/>
  <c r="Z17" i="22" l="1"/>
  <c r="Y16" i="22"/>
  <c r="Z16" i="22" l="1"/>
  <c r="Y15" i="22"/>
  <c r="Z15" i="22" l="1"/>
  <c r="K13" i="22"/>
  <c r="S13" i="22" s="1"/>
  <c r="K14" i="22"/>
  <c r="S14" i="22" s="1"/>
  <c r="T14" i="22" l="1"/>
  <c r="AA14" i="22"/>
  <c r="G14" i="22"/>
  <c r="H14" i="22" s="1"/>
  <c r="Q14" i="22" s="1"/>
  <c r="Y14" i="22"/>
  <c r="T13" i="22"/>
  <c r="AA13" i="22"/>
  <c r="AA42" i="22" s="1"/>
  <c r="G13" i="22"/>
  <c r="H13" i="22" s="1"/>
  <c r="Q13" i="22" s="1"/>
  <c r="Y13" i="22" l="1"/>
  <c r="Y12" i="22" s="1"/>
  <c r="Y11" i="22" s="1"/>
  <c r="Z11" i="22" s="1"/>
  <c r="Z14" i="22"/>
  <c r="Z12" i="22" l="1"/>
  <c r="Z13" i="22"/>
  <c r="M40" i="24" l="1"/>
  <c r="M41" i="24"/>
  <c r="M42" i="24" l="1"/>
  <c r="AA41" i="24"/>
  <c r="AA40" i="24"/>
  <c r="AA42" i="24" s="1"/>
  <c r="M21" i="25"/>
  <c r="AA21" i="25" s="1"/>
  <c r="M20" i="25"/>
  <c r="AA20" i="25" l="1"/>
  <c r="M42" i="25"/>
  <c r="AA42" i="25"/>
</calcChain>
</file>

<file path=xl/comments1.xml><?xml version="1.0" encoding="utf-8"?>
<comments xmlns="http://schemas.openxmlformats.org/spreadsheetml/2006/main">
  <authors>
    <author>Jorge Gomez Fernandez</author>
  </authors>
  <commentList>
    <comment ref="M42" authorId="0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sharedStrings.xml><?xml version="1.0" encoding="utf-8"?>
<sst xmlns="http://schemas.openxmlformats.org/spreadsheetml/2006/main" count="338" uniqueCount="46">
  <si>
    <t>DIA</t>
  </si>
  <si>
    <t>MAD</t>
  </si>
  <si>
    <t>PICO</t>
  </si>
  <si>
    <t>REACT</t>
  </si>
  <si>
    <t>Plan Pico</t>
  </si>
  <si>
    <t>Real Pico</t>
  </si>
  <si>
    <t>Plan</t>
  </si>
  <si>
    <t>FP</t>
  </si>
  <si>
    <t>Firma Responsable</t>
  </si>
  <si>
    <t>Lectura del contador</t>
  </si>
  <si>
    <t>Consumo acumulado Pico kWh</t>
  </si>
  <si>
    <t>Consumo acumulado Total kWh</t>
  </si>
  <si>
    <t>Universidad Camaguey</t>
  </si>
  <si>
    <t>cierre mes anterior</t>
  </si>
  <si>
    <t>Plan   - Real</t>
  </si>
  <si>
    <t>Real</t>
  </si>
  <si>
    <t>Plan - Real</t>
  </si>
  <si>
    <t>Pico Diurno 1 pm</t>
  </si>
  <si>
    <t>Pico Diurno 11 am</t>
  </si>
  <si>
    <t>TOTAL</t>
  </si>
  <si>
    <t>Consumo diario total kWh</t>
  </si>
  <si>
    <t>Consumo diario pico Diurno kWh</t>
  </si>
  <si>
    <t>Consumo diario Pico nocturno kWh</t>
  </si>
  <si>
    <t>Consumo diario kWh y kvarh</t>
  </si>
  <si>
    <t>Día</t>
  </si>
  <si>
    <t>PLAN MES</t>
  </si>
  <si>
    <t>Plan Pico D</t>
  </si>
  <si>
    <t>Plan Pico N</t>
  </si>
  <si>
    <t xml:space="preserve">                                                                  TABLA 1A</t>
  </si>
  <si>
    <t xml:space="preserve">                                                                        ANEXO No. 1.</t>
  </si>
  <si>
    <t xml:space="preserve">Cumplimiento del plan de consumo de energía eléctrica total, mes: </t>
  </si>
  <si>
    <t>SERVICIO: PREPARATORIA</t>
  </si>
  <si>
    <t>SERVICIO: CIENCIA ANIMAL</t>
  </si>
  <si>
    <t>SRVICIO: AREA CULTURAL</t>
  </si>
  <si>
    <t>SERVICIO: LABORATORIO TECNICO</t>
  </si>
  <si>
    <t>SERVICIO: COCINA COMEDOR</t>
  </si>
  <si>
    <t>SERVICIO: JOSE MARTÍ</t>
  </si>
  <si>
    <t>SERVICIO: MANUEL FAJARDO</t>
  </si>
  <si>
    <t>Aprobado:</t>
  </si>
  <si>
    <t xml:space="preserve"> </t>
  </si>
  <si>
    <t xml:space="preserve">  </t>
  </si>
  <si>
    <t>Perdidas:</t>
  </si>
  <si>
    <t>total</t>
  </si>
  <si>
    <t>diaria</t>
  </si>
  <si>
    <t>Ms.C. Jorge Luis García Santana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</si>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</sst>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4" fillId="0" borderId="0" xfId="0" applyFont="1"/>
    <xf numFmtId="0" fontId="2" fillId="0" borderId="1" xfId="0" applyFont="1" applyBorder="1" applyAlignment="1">
      <alignment horizontal="center" vertical="center" wrapText="1"/>
    </xf>
    <xf numFmtId="0" fontId="8" fillId="0" borderId="0" xfId="0" applyFont="1"/>
    <xf numFmtId="0" fontId="18" fillId="0" borderId="0" xfId="0" applyFont="1"/>
    <xf numFmtId="0" fontId="19" fillId="0" borderId="0" xfId="0" applyFont="1"/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1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" fontId="8" fillId="0" borderId="0" xfId="0" applyNumberFormat="1" applyFont="1"/>
    <xf numFmtId="1" fontId="1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1" fontId="0" fillId="0" borderId="0" xfId="0" applyNumberFormat="1"/>
    <xf numFmtId="17" fontId="7" fillId="0" borderId="0" xfId="0" applyNumberFormat="1" applyFont="1"/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4" fontId="0" fillId="0" borderId="0" xfId="0" applyNumberFormat="1"/>
    <xf numFmtId="1" fontId="9" fillId="2" borderId="1" xfId="0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2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1" fontId="9" fillId="0" borderId="2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2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0" fillId="0" borderId="0" xfId="0" applyFill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1" fillId="0" borderId="2" xfId="0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/>
    </xf>
    <xf numFmtId="1" fontId="21" fillId="0" borderId="1" xfId="0" applyNumberFormat="1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1" fontId="21" fillId="0" borderId="2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B2:AB50"/>
  <sheetViews>
    <sheetView view="pageBreakPreview" topLeftCell="G19" zoomScale="70" zoomScaleNormal="70" zoomScaleSheetLayoutView="70" workbookViewId="0">
      <selection activeCell="B45" sqref="B45"/>
    </sheetView>
  </sheetViews>
  <sheetFormatPr baseColWidth="10" defaultColWidth="11.42578125" defaultRowHeight="15" x14ac:dyDescent="0.25"/>
  <cols>
    <col min="1" max="2" width="11.42578125" customWidth="1"/>
    <col min="3" max="3" width="14" bestFit="1" customWidth="1"/>
    <col min="4" max="4" width="12.42578125" bestFit="1" customWidth="1"/>
    <col min="5" max="5" width="11.42578125" customWidth="1"/>
    <col min="6" max="7" width="12.28515625" bestFit="1" customWidth="1"/>
    <col min="8" max="9" width="12.42578125" bestFit="1" customWidth="1"/>
    <col min="13" max="13" width="14.28515625" customWidth="1"/>
    <col min="16" max="16" width="13.42578125" bestFit="1" customWidth="1"/>
    <col min="17" max="17" width="13.140625" customWidth="1"/>
    <col min="19" max="19" width="13.8554687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v>45658</v>
      </c>
    </row>
    <row r="5" spans="2:28" x14ac:dyDescent="0.25">
      <c r="C5" s="77" t="s">
        <v>35</v>
      </c>
      <c r="D5" s="77"/>
      <c r="E5" s="77"/>
      <c r="U5" t="s">
        <v>42</v>
      </c>
      <c r="V5" t="s">
        <v>43</v>
      </c>
    </row>
    <row r="6" spans="2:28" ht="15.75" x14ac:dyDescent="0.25">
      <c r="N6" s="13" t="s">
        <v>27</v>
      </c>
      <c r="O6" s="29">
        <f>S6*16.5%</f>
        <v>3795</v>
      </c>
      <c r="P6" s="30" t="s">
        <v>26</v>
      </c>
      <c r="Q6" s="11">
        <f>(S6*8)/100</f>
        <v>1840</v>
      </c>
      <c r="R6" s="13" t="s">
        <v>25</v>
      </c>
      <c r="S6" s="11">
        <v>23000</v>
      </c>
      <c r="T6" t="s">
        <v>41</v>
      </c>
      <c r="U6">
        <v>481</v>
      </c>
      <c r="V6">
        <f>U6/31</f>
        <v>15.516129032258064</v>
      </c>
    </row>
    <row r="7" spans="2:28" ht="46.5" customHeight="1" x14ac:dyDescent="0.25">
      <c r="B7" s="80" t="s">
        <v>24</v>
      </c>
      <c r="C7" s="78" t="s">
        <v>9</v>
      </c>
      <c r="D7" s="78"/>
      <c r="E7" s="78"/>
      <c r="F7" s="78"/>
      <c r="G7" s="78"/>
      <c r="H7" s="78"/>
      <c r="I7" s="78"/>
      <c r="J7" s="78" t="s">
        <v>23</v>
      </c>
      <c r="K7" s="78"/>
      <c r="L7" s="78"/>
      <c r="M7" s="78"/>
      <c r="N7" s="78" t="s">
        <v>22</v>
      </c>
      <c r="O7" s="78"/>
      <c r="P7" s="78"/>
      <c r="Q7" s="79" t="s">
        <v>21</v>
      </c>
      <c r="R7" s="78" t="s">
        <v>20</v>
      </c>
      <c r="S7" s="78"/>
      <c r="T7" s="78"/>
      <c r="U7" s="78" t="s">
        <v>10</v>
      </c>
      <c r="V7" s="78"/>
      <c r="W7" s="78"/>
      <c r="X7" s="78" t="s">
        <v>11</v>
      </c>
      <c r="Y7" s="78"/>
      <c r="Z7" s="78"/>
      <c r="AA7" s="78"/>
      <c r="AB7" s="79" t="s">
        <v>8</v>
      </c>
    </row>
    <row r="8" spans="2:28" ht="30" x14ac:dyDescent="0.25">
      <c r="B8" s="8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7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7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>
        <v>31</v>
      </c>
      <c r="C11" s="20">
        <v>283661</v>
      </c>
      <c r="D11" s="20">
        <v>598092</v>
      </c>
      <c r="E11" s="20">
        <v>145089</v>
      </c>
      <c r="F11" s="74">
        <f t="shared" ref="F11" si="0">C11+D11+E11</f>
        <v>1026842</v>
      </c>
      <c r="G11" s="75">
        <f t="shared" ref="G11" si="1">(C12+D12+E12)+((S11/24)*9.5)</f>
        <v>1026620.875</v>
      </c>
      <c r="H11" s="73">
        <f t="shared" ref="H11" si="2">G11+((K11/12)*2.5)</f>
        <v>1026635.25</v>
      </c>
      <c r="I11" s="20">
        <v>718566</v>
      </c>
      <c r="J11" s="63">
        <f t="shared" ref="J11:L11" si="3">C11-C12</f>
        <v>282</v>
      </c>
      <c r="K11" s="63">
        <f t="shared" si="3"/>
        <v>69</v>
      </c>
      <c r="L11" s="63">
        <f t="shared" si="3"/>
        <v>15</v>
      </c>
      <c r="M11" s="63">
        <f t="shared" ref="M11" si="4">I11-I12</f>
        <v>288</v>
      </c>
      <c r="N11" s="64">
        <f t="shared" ref="N11:N40" si="5">N12</f>
        <v>122.41935483870968</v>
      </c>
      <c r="O11" s="65">
        <f t="shared" ref="O11" si="6">L11</f>
        <v>15</v>
      </c>
      <c r="P11" s="64">
        <f t="shared" ref="P11" si="7">N11-O11</f>
        <v>107.41935483870968</v>
      </c>
      <c r="Q11" s="64">
        <f t="shared" ref="Q11" si="8">H11-G11</f>
        <v>14.375</v>
      </c>
      <c r="R11" s="60">
        <f t="shared" ref="R11:R39" si="9">R12</f>
        <v>741.93548387096769</v>
      </c>
      <c r="S11" s="63">
        <f t="shared" ref="S11" si="10">J11+K11+L11</f>
        <v>366</v>
      </c>
      <c r="T11" s="60">
        <f t="shared" ref="T11" si="11">R11-S11</f>
        <v>375.93548387096769</v>
      </c>
      <c r="U11" s="60">
        <f t="shared" ref="U11:V11" si="12">U12+N11</f>
        <v>3795.0000000000014</v>
      </c>
      <c r="V11" s="60">
        <f t="shared" si="12"/>
        <v>2097</v>
      </c>
      <c r="W11" s="60">
        <f t="shared" ref="W11" si="13">U11-V11</f>
        <v>1698.0000000000014</v>
      </c>
      <c r="X11" s="60">
        <f t="shared" ref="X11:Y11" si="14">X12+R11</f>
        <v>22999.999999999985</v>
      </c>
      <c r="Y11" s="60">
        <f t="shared" si="14"/>
        <v>15343.516129032258</v>
      </c>
      <c r="Z11" s="60">
        <f t="shared" ref="Z11" si="15">X11-Y11</f>
        <v>7656.4838709677279</v>
      </c>
      <c r="AA11" s="66">
        <f t="shared" ref="AA11" si="16">COS(ATAN(M11/S11))</f>
        <v>0.78587108420901364</v>
      </c>
      <c r="AB11" s="67"/>
    </row>
    <row r="12" spans="2:28" ht="18" x14ac:dyDescent="0.25">
      <c r="B12" s="3">
        <v>30</v>
      </c>
      <c r="C12" s="5">
        <f>C13+214</f>
        <v>283379</v>
      </c>
      <c r="D12" s="5">
        <f>D13+114</f>
        <v>598023</v>
      </c>
      <c r="E12" s="5">
        <f>E13+10</f>
        <v>145074</v>
      </c>
      <c r="F12" s="8">
        <f t="shared" ref="F12" si="17">C12+D12+E12</f>
        <v>1026476</v>
      </c>
      <c r="G12" s="22">
        <f t="shared" ref="G12" si="18">(C13+D13+E13)+((S12/24)*7.5)</f>
        <v>1026243.625</v>
      </c>
      <c r="H12" s="7">
        <f t="shared" ref="H12" si="19">G12+((K12/12)*2.5)</f>
        <v>1026267.375</v>
      </c>
      <c r="I12" s="5">
        <f>I13+212</f>
        <v>718278</v>
      </c>
      <c r="J12" s="6">
        <f t="shared" ref="J12" si="20">C12-C13</f>
        <v>214</v>
      </c>
      <c r="K12" s="6">
        <f t="shared" ref="K12" si="21">D12-D13</f>
        <v>114</v>
      </c>
      <c r="L12" s="6">
        <f t="shared" ref="L12" si="22">E12-E13</f>
        <v>10</v>
      </c>
      <c r="M12" s="6">
        <f t="shared" ref="M12" si="23">I12-I13</f>
        <v>212</v>
      </c>
      <c r="N12" s="5">
        <f t="shared" si="5"/>
        <v>122.41935483870968</v>
      </c>
      <c r="O12" s="23">
        <f t="shared" ref="O12" si="24">L12</f>
        <v>10</v>
      </c>
      <c r="P12" s="5">
        <f t="shared" ref="P12" si="25">N12-O12</f>
        <v>112.41935483870968</v>
      </c>
      <c r="Q12" s="5">
        <f t="shared" ref="Q12" si="26">H12-G12</f>
        <v>23.75</v>
      </c>
      <c r="R12" s="7">
        <f t="shared" si="9"/>
        <v>741.93548387096769</v>
      </c>
      <c r="S12" s="6">
        <f t="shared" ref="S12" si="27">J12+K12+L12</f>
        <v>338</v>
      </c>
      <c r="T12" s="7">
        <f t="shared" ref="T12" si="28">R12-S12</f>
        <v>403.93548387096769</v>
      </c>
      <c r="U12" s="7">
        <f t="shared" ref="U12" si="29">U13+N12</f>
        <v>3672.5806451612916</v>
      </c>
      <c r="V12" s="7">
        <f t="shared" ref="V12" si="30">V13+O12</f>
        <v>2082</v>
      </c>
      <c r="W12" s="7">
        <f t="shared" ref="W12" si="31">U12-V12</f>
        <v>1590.5806451612916</v>
      </c>
      <c r="X12" s="7">
        <f t="shared" ref="X12" si="32">X13+R12</f>
        <v>22258.064516129019</v>
      </c>
      <c r="Y12" s="7">
        <f t="shared" ref="Y12" si="33">Y13+S12</f>
        <v>14977.516129032258</v>
      </c>
      <c r="Z12" s="7">
        <f t="shared" ref="Z12" si="34">X12-Y12</f>
        <v>7280.5483870967619</v>
      </c>
      <c r="AA12" s="24">
        <f t="shared" ref="AA12" si="35">COS(ATAN(M12/S12))</f>
        <v>0.84715238348320165</v>
      </c>
      <c r="AB12" s="25"/>
    </row>
    <row r="13" spans="2:28" ht="18" x14ac:dyDescent="0.25">
      <c r="B13" s="3">
        <v>29</v>
      </c>
      <c r="C13" s="5">
        <f>C14+210</f>
        <v>283165</v>
      </c>
      <c r="D13" s="5">
        <f>D14+190</f>
        <v>597909</v>
      </c>
      <c r="E13" s="5">
        <f>E14+8</f>
        <v>145064</v>
      </c>
      <c r="F13" s="8">
        <f>C13+D13+E13</f>
        <v>1026138</v>
      </c>
      <c r="G13" s="22">
        <f t="shared" ref="G13:G41" si="36">(C14+D14+E14)+((S13/24)*7.5)</f>
        <v>1025857.5</v>
      </c>
      <c r="H13" s="7">
        <f t="shared" ref="H13:H41" si="37">G13+((K13/12)*2.5)</f>
        <v>1025897.0833333334</v>
      </c>
      <c r="I13" s="5">
        <f>I14+209</f>
        <v>718066</v>
      </c>
      <c r="J13" s="6">
        <f t="shared" ref="J13:L13" si="38">C13-C14</f>
        <v>210</v>
      </c>
      <c r="K13" s="6">
        <f t="shared" si="38"/>
        <v>190</v>
      </c>
      <c r="L13" s="6">
        <f t="shared" si="38"/>
        <v>8</v>
      </c>
      <c r="M13" s="6">
        <f t="shared" ref="M13:M41" si="39">I13-I14</f>
        <v>209</v>
      </c>
      <c r="N13" s="5">
        <f t="shared" si="5"/>
        <v>122.41935483870968</v>
      </c>
      <c r="O13" s="23">
        <f t="shared" ref="O13:O41" si="40">L13</f>
        <v>8</v>
      </c>
      <c r="P13" s="5">
        <f t="shared" ref="P13:P41" si="41">N13-O13</f>
        <v>114.41935483870968</v>
      </c>
      <c r="Q13" s="5">
        <f t="shared" ref="Q13:Q41" si="42">H13-G13</f>
        <v>39.583333333372138</v>
      </c>
      <c r="R13" s="7">
        <f t="shared" si="9"/>
        <v>741.93548387096769</v>
      </c>
      <c r="S13" s="6">
        <f t="shared" ref="S13:S39" si="43">J13+K13+L13</f>
        <v>408</v>
      </c>
      <c r="T13" s="7">
        <f t="shared" ref="T13:T41" si="44">R13-S13</f>
        <v>333.93548387096769</v>
      </c>
      <c r="U13" s="7">
        <f t="shared" ref="U13:V40" si="45">U14+N13</f>
        <v>3550.1612903225819</v>
      </c>
      <c r="V13" s="7">
        <f t="shared" si="45"/>
        <v>2072</v>
      </c>
      <c r="W13" s="7">
        <f t="shared" ref="W13:W41" si="46">U13-V13</f>
        <v>1478.1612903225819</v>
      </c>
      <c r="X13" s="7">
        <f t="shared" ref="X13:Y40" si="47">X14+R13</f>
        <v>21516.129032258053</v>
      </c>
      <c r="Y13" s="7">
        <f t="shared" si="47"/>
        <v>14639.516129032258</v>
      </c>
      <c r="Z13" s="7">
        <f t="shared" ref="Z13:Z41" si="48">X13-Y13</f>
        <v>6876.6129032257959</v>
      </c>
      <c r="AA13" s="24">
        <f t="shared" ref="AA13:AA41" si="49">COS(ATAN(M13/S13))</f>
        <v>0.89002177576251562</v>
      </c>
      <c r="AB13" s="25"/>
    </row>
    <row r="14" spans="2:28" ht="18" x14ac:dyDescent="0.25">
      <c r="B14" s="3">
        <v>28</v>
      </c>
      <c r="C14" s="5">
        <v>282955</v>
      </c>
      <c r="D14" s="5">
        <v>597719</v>
      </c>
      <c r="E14" s="5">
        <f>144997+59</f>
        <v>145056</v>
      </c>
      <c r="F14" s="8">
        <f t="shared" ref="F14:F41" si="50">C14+D14+E14</f>
        <v>1025730</v>
      </c>
      <c r="G14" s="22">
        <f t="shared" si="36"/>
        <v>1025404.8125</v>
      </c>
      <c r="H14" s="7">
        <f t="shared" si="37"/>
        <v>1025451.0625</v>
      </c>
      <c r="I14" s="5">
        <v>717857</v>
      </c>
      <c r="J14" s="6">
        <f t="shared" ref="J14:L41" si="51">C14-C15</f>
        <v>186</v>
      </c>
      <c r="K14" s="6">
        <f t="shared" si="51"/>
        <v>222</v>
      </c>
      <c r="L14" s="6">
        <f t="shared" si="51"/>
        <v>65</v>
      </c>
      <c r="M14" s="6">
        <f t="shared" si="39"/>
        <v>294</v>
      </c>
      <c r="N14" s="5">
        <f t="shared" si="5"/>
        <v>122.41935483870968</v>
      </c>
      <c r="O14" s="23">
        <f t="shared" si="40"/>
        <v>65</v>
      </c>
      <c r="P14" s="5">
        <f t="shared" si="41"/>
        <v>57.41935483870968</v>
      </c>
      <c r="Q14" s="5">
        <f t="shared" si="42"/>
        <v>46.25</v>
      </c>
      <c r="R14" s="7">
        <f t="shared" si="9"/>
        <v>741.93548387096769</v>
      </c>
      <c r="S14" s="6">
        <f t="shared" si="43"/>
        <v>473</v>
      </c>
      <c r="T14" s="7">
        <f t="shared" si="44"/>
        <v>268.93548387096769</v>
      </c>
      <c r="U14" s="7">
        <f t="shared" si="45"/>
        <v>3427.7419354838721</v>
      </c>
      <c r="V14" s="7">
        <f t="shared" si="45"/>
        <v>2064</v>
      </c>
      <c r="W14" s="7">
        <f t="shared" si="46"/>
        <v>1363.7419354838721</v>
      </c>
      <c r="X14" s="7">
        <f t="shared" si="47"/>
        <v>20774.193548387088</v>
      </c>
      <c r="Y14" s="7">
        <f t="shared" si="47"/>
        <v>14231.516129032258</v>
      </c>
      <c r="Z14" s="7">
        <f t="shared" si="48"/>
        <v>6542.6774193548299</v>
      </c>
      <c r="AA14" s="24">
        <f t="shared" si="49"/>
        <v>0.8493070833823968</v>
      </c>
      <c r="AB14" s="25"/>
    </row>
    <row r="15" spans="2:28" ht="18" x14ac:dyDescent="0.25">
      <c r="B15" s="3">
        <v>27</v>
      </c>
      <c r="C15" s="5">
        <f>C16+184</f>
        <v>282769</v>
      </c>
      <c r="D15" s="5">
        <f t="shared" ref="D15" si="52">D16+220</f>
        <v>597497</v>
      </c>
      <c r="E15" s="5">
        <f>E16+69</f>
        <v>144991</v>
      </c>
      <c r="F15" s="8">
        <f t="shared" si="50"/>
        <v>1025257</v>
      </c>
      <c r="G15" s="22">
        <f t="shared" si="36"/>
        <v>1024931.8125</v>
      </c>
      <c r="H15" s="7">
        <f t="shared" si="37"/>
        <v>1024977.6458333334</v>
      </c>
      <c r="I15" s="5">
        <f>I16+296</f>
        <v>717563</v>
      </c>
      <c r="J15" s="6">
        <f t="shared" si="51"/>
        <v>184</v>
      </c>
      <c r="K15" s="6">
        <f t="shared" si="51"/>
        <v>220</v>
      </c>
      <c r="L15" s="6">
        <f t="shared" si="51"/>
        <v>69</v>
      </c>
      <c r="M15" s="6">
        <f t="shared" si="39"/>
        <v>296</v>
      </c>
      <c r="N15" s="5">
        <f t="shared" si="5"/>
        <v>122.41935483870968</v>
      </c>
      <c r="O15" s="23">
        <f t="shared" si="40"/>
        <v>69</v>
      </c>
      <c r="P15" s="5">
        <f t="shared" si="41"/>
        <v>53.41935483870968</v>
      </c>
      <c r="Q15" s="5">
        <f t="shared" si="42"/>
        <v>45.833333333372138</v>
      </c>
      <c r="R15" s="7">
        <f t="shared" si="9"/>
        <v>741.93548387096769</v>
      </c>
      <c r="S15" s="6">
        <f t="shared" si="43"/>
        <v>473</v>
      </c>
      <c r="T15" s="7">
        <f t="shared" si="44"/>
        <v>268.93548387096769</v>
      </c>
      <c r="U15" s="7">
        <f t="shared" si="45"/>
        <v>3305.3225806451624</v>
      </c>
      <c r="V15" s="7">
        <f t="shared" si="45"/>
        <v>1999</v>
      </c>
      <c r="W15" s="7">
        <f t="shared" si="46"/>
        <v>1306.3225806451624</v>
      </c>
      <c r="X15" s="7">
        <f t="shared" si="47"/>
        <v>20032.258064516122</v>
      </c>
      <c r="Y15" s="7">
        <f t="shared" si="47"/>
        <v>13758.516129032258</v>
      </c>
      <c r="Z15" s="7">
        <f t="shared" si="48"/>
        <v>6273.7419354838639</v>
      </c>
      <c r="AA15" s="24">
        <f t="shared" si="49"/>
        <v>0.84769611527329025</v>
      </c>
      <c r="AB15" s="25"/>
    </row>
    <row r="16" spans="2:28" s="68" customFormat="1" ht="18" x14ac:dyDescent="0.25">
      <c r="B16" s="59">
        <v>26</v>
      </c>
      <c r="C16" s="5">
        <f>C17+191</f>
        <v>282585</v>
      </c>
      <c r="D16" s="5">
        <f>D17+228</f>
        <v>597277</v>
      </c>
      <c r="E16" s="5">
        <f>E17+64</f>
        <v>144922</v>
      </c>
      <c r="F16" s="61">
        <f t="shared" si="50"/>
        <v>1024784</v>
      </c>
      <c r="G16" s="62">
        <f t="shared" si="36"/>
        <v>1024451.9375</v>
      </c>
      <c r="H16" s="60">
        <f t="shared" si="37"/>
        <v>1024499.4375</v>
      </c>
      <c r="I16" s="5">
        <f>I17+290</f>
        <v>717267</v>
      </c>
      <c r="J16" s="63">
        <f t="shared" si="51"/>
        <v>191</v>
      </c>
      <c r="K16" s="63">
        <f t="shared" si="51"/>
        <v>228</v>
      </c>
      <c r="L16" s="63">
        <f t="shared" si="51"/>
        <v>64</v>
      </c>
      <c r="M16" s="63">
        <f t="shared" si="39"/>
        <v>290</v>
      </c>
      <c r="N16" s="64">
        <f>N17</f>
        <v>122.41935483870968</v>
      </c>
      <c r="O16" s="65">
        <f t="shared" si="40"/>
        <v>64</v>
      </c>
      <c r="P16" s="64">
        <f t="shared" si="41"/>
        <v>58.41935483870968</v>
      </c>
      <c r="Q16" s="64">
        <f t="shared" si="42"/>
        <v>47.5</v>
      </c>
      <c r="R16" s="60">
        <f>R17</f>
        <v>741.93548387096769</v>
      </c>
      <c r="S16" s="63">
        <f t="shared" si="43"/>
        <v>483</v>
      </c>
      <c r="T16" s="60">
        <f t="shared" si="44"/>
        <v>258.93548387096769</v>
      </c>
      <c r="U16" s="60">
        <f t="shared" si="45"/>
        <v>3182.9032258064526</v>
      </c>
      <c r="V16" s="60">
        <f t="shared" si="45"/>
        <v>1930</v>
      </c>
      <c r="W16" s="60">
        <f t="shared" si="46"/>
        <v>1252.9032258064526</v>
      </c>
      <c r="X16" s="60">
        <f t="shared" si="47"/>
        <v>19290.322580645156</v>
      </c>
      <c r="Y16" s="60">
        <f t="shared" si="47"/>
        <v>13285.516129032258</v>
      </c>
      <c r="Z16" s="60">
        <f t="shared" si="48"/>
        <v>6004.8064516128979</v>
      </c>
      <c r="AA16" s="66">
        <f t="shared" si="49"/>
        <v>0.85733626627631687</v>
      </c>
      <c r="AB16" s="67"/>
    </row>
    <row r="17" spans="2:28" ht="18" x14ac:dyDescent="0.25">
      <c r="B17" s="3">
        <v>25</v>
      </c>
      <c r="C17" s="5">
        <f>C18+189</f>
        <v>282394</v>
      </c>
      <c r="D17" s="5">
        <f>D18+222</f>
        <v>597049</v>
      </c>
      <c r="E17" s="5">
        <f t="shared" ref="E17" si="53">E18+52</f>
        <v>144858</v>
      </c>
      <c r="F17" s="8">
        <f t="shared" si="50"/>
        <v>1024301</v>
      </c>
      <c r="G17" s="22">
        <f t="shared" si="36"/>
        <v>1023982.6875</v>
      </c>
      <c r="H17" s="7">
        <f t="shared" si="37"/>
        <v>1024028.9375</v>
      </c>
      <c r="I17" s="5">
        <f>I18+295</f>
        <v>716977</v>
      </c>
      <c r="J17" s="6">
        <f t="shared" si="51"/>
        <v>189</v>
      </c>
      <c r="K17" s="6">
        <f t="shared" si="51"/>
        <v>222</v>
      </c>
      <c r="L17" s="6">
        <f t="shared" si="51"/>
        <v>52</v>
      </c>
      <c r="M17" s="6">
        <f t="shared" si="39"/>
        <v>295</v>
      </c>
      <c r="N17" s="5">
        <f t="shared" si="5"/>
        <v>122.41935483870968</v>
      </c>
      <c r="O17" s="23">
        <f t="shared" si="40"/>
        <v>52</v>
      </c>
      <c r="P17" s="5">
        <f t="shared" si="41"/>
        <v>70.41935483870968</v>
      </c>
      <c r="Q17" s="5">
        <f t="shared" si="42"/>
        <v>46.25</v>
      </c>
      <c r="R17" s="7">
        <f t="shared" si="9"/>
        <v>741.93548387096769</v>
      </c>
      <c r="S17" s="6">
        <f t="shared" si="43"/>
        <v>463</v>
      </c>
      <c r="T17" s="7">
        <f t="shared" si="44"/>
        <v>278.93548387096769</v>
      </c>
      <c r="U17" s="7">
        <f t="shared" si="45"/>
        <v>3060.4838709677429</v>
      </c>
      <c r="V17" s="7">
        <f t="shared" si="45"/>
        <v>1866</v>
      </c>
      <c r="W17" s="7">
        <f t="shared" si="46"/>
        <v>1194.4838709677429</v>
      </c>
      <c r="X17" s="7">
        <f t="shared" si="47"/>
        <v>18548.38709677419</v>
      </c>
      <c r="Y17" s="7">
        <f t="shared" si="47"/>
        <v>12802.516129032258</v>
      </c>
      <c r="Z17" s="7">
        <f t="shared" si="48"/>
        <v>5745.870967741932</v>
      </c>
      <c r="AA17" s="24">
        <f t="shared" si="49"/>
        <v>0.8433613418065472</v>
      </c>
      <c r="AB17" s="25"/>
    </row>
    <row r="18" spans="2:28" ht="18" x14ac:dyDescent="0.25">
      <c r="B18" s="3">
        <v>24</v>
      </c>
      <c r="C18" s="5">
        <f>C19+185</f>
        <v>282205</v>
      </c>
      <c r="D18" s="5">
        <f>D19+219</f>
        <v>596827</v>
      </c>
      <c r="E18" s="5">
        <f>E19+59</f>
        <v>144806</v>
      </c>
      <c r="F18" s="8">
        <f t="shared" si="50"/>
        <v>1023838</v>
      </c>
      <c r="G18" s="22">
        <f t="shared" si="36"/>
        <v>1023519.6875</v>
      </c>
      <c r="H18" s="7">
        <f t="shared" si="37"/>
        <v>1023565.3125</v>
      </c>
      <c r="I18" s="5">
        <f>I19+291</f>
        <v>716682</v>
      </c>
      <c r="J18" s="6">
        <f t="shared" si="51"/>
        <v>185</v>
      </c>
      <c r="K18" s="6">
        <f t="shared" si="51"/>
        <v>219</v>
      </c>
      <c r="L18" s="6">
        <f t="shared" si="51"/>
        <v>59</v>
      </c>
      <c r="M18" s="6">
        <f t="shared" si="39"/>
        <v>291</v>
      </c>
      <c r="N18" s="5">
        <f t="shared" si="5"/>
        <v>122.41935483870968</v>
      </c>
      <c r="O18" s="23">
        <f t="shared" si="40"/>
        <v>59</v>
      </c>
      <c r="P18" s="5">
        <f t="shared" si="41"/>
        <v>63.41935483870968</v>
      </c>
      <c r="Q18" s="5">
        <f t="shared" si="42"/>
        <v>45.625</v>
      </c>
      <c r="R18" s="7">
        <f t="shared" si="9"/>
        <v>741.93548387096769</v>
      </c>
      <c r="S18" s="6">
        <f t="shared" si="43"/>
        <v>463</v>
      </c>
      <c r="T18" s="7">
        <f t="shared" si="44"/>
        <v>278.93548387096769</v>
      </c>
      <c r="U18" s="7">
        <f t="shared" si="45"/>
        <v>2938.0645161290331</v>
      </c>
      <c r="V18" s="7">
        <f t="shared" si="45"/>
        <v>1814</v>
      </c>
      <c r="W18" s="7">
        <f t="shared" si="46"/>
        <v>1124.0645161290331</v>
      </c>
      <c r="X18" s="7">
        <f t="shared" si="47"/>
        <v>17806.451612903224</v>
      </c>
      <c r="Y18" s="7">
        <f t="shared" si="47"/>
        <v>12339.516129032258</v>
      </c>
      <c r="Z18" s="7">
        <f t="shared" si="48"/>
        <v>5466.935483870966</v>
      </c>
      <c r="AA18" s="24">
        <f t="shared" si="49"/>
        <v>0.84666008850501107</v>
      </c>
      <c r="AB18" s="25"/>
    </row>
    <row r="19" spans="2:28" ht="18" x14ac:dyDescent="0.25">
      <c r="B19" s="3">
        <v>23</v>
      </c>
      <c r="C19" s="5">
        <f>C20+187</f>
        <v>282020</v>
      </c>
      <c r="D19" s="5">
        <f>D20+210</f>
        <v>596608</v>
      </c>
      <c r="E19" s="5">
        <f>E20+62</f>
        <v>144747</v>
      </c>
      <c r="F19" s="8">
        <f t="shared" si="50"/>
        <v>1023375</v>
      </c>
      <c r="G19" s="22">
        <f t="shared" si="36"/>
        <v>1023059.4375</v>
      </c>
      <c r="H19" s="7">
        <f t="shared" si="37"/>
        <v>1023103.1875</v>
      </c>
      <c r="I19" s="5">
        <f>I20+293</f>
        <v>716391</v>
      </c>
      <c r="J19" s="6">
        <f t="shared" si="51"/>
        <v>187</v>
      </c>
      <c r="K19" s="6">
        <f t="shared" si="51"/>
        <v>210</v>
      </c>
      <c r="L19" s="6">
        <f t="shared" si="51"/>
        <v>62</v>
      </c>
      <c r="M19" s="6">
        <f t="shared" si="39"/>
        <v>293</v>
      </c>
      <c r="N19" s="5">
        <f t="shared" si="5"/>
        <v>122.41935483870968</v>
      </c>
      <c r="O19" s="3">
        <f t="shared" si="40"/>
        <v>62</v>
      </c>
      <c r="P19" s="5">
        <f t="shared" si="41"/>
        <v>60.41935483870968</v>
      </c>
      <c r="Q19" s="5">
        <f t="shared" si="42"/>
        <v>43.75</v>
      </c>
      <c r="R19" s="7">
        <f t="shared" si="9"/>
        <v>741.93548387096769</v>
      </c>
      <c r="S19" s="6">
        <f t="shared" si="43"/>
        <v>459</v>
      </c>
      <c r="T19" s="7">
        <f t="shared" si="44"/>
        <v>282.93548387096769</v>
      </c>
      <c r="U19" s="7">
        <f t="shared" si="45"/>
        <v>2815.6451612903234</v>
      </c>
      <c r="V19" s="7">
        <f t="shared" si="45"/>
        <v>1755</v>
      </c>
      <c r="W19" s="7">
        <f t="shared" si="46"/>
        <v>1060.6451612903234</v>
      </c>
      <c r="X19" s="7">
        <f t="shared" si="47"/>
        <v>17064.516129032258</v>
      </c>
      <c r="Y19" s="7">
        <f t="shared" si="47"/>
        <v>11876.516129032258</v>
      </c>
      <c r="Z19" s="7">
        <f t="shared" si="48"/>
        <v>5188</v>
      </c>
      <c r="AA19" s="24">
        <f t="shared" si="49"/>
        <v>0.84290448901857318</v>
      </c>
      <c r="AB19" s="1"/>
    </row>
    <row r="20" spans="2:28" ht="18" x14ac:dyDescent="0.25">
      <c r="B20" s="3">
        <v>22</v>
      </c>
      <c r="C20" s="5">
        <v>281833</v>
      </c>
      <c r="D20" s="5">
        <v>596398</v>
      </c>
      <c r="E20" s="5">
        <v>144685</v>
      </c>
      <c r="F20" s="8">
        <f t="shared" si="50"/>
        <v>1022916</v>
      </c>
      <c r="G20" s="22">
        <f t="shared" si="36"/>
        <v>1022592.1875</v>
      </c>
      <c r="H20" s="7">
        <f t="shared" si="37"/>
        <v>1022635.1041666666</v>
      </c>
      <c r="I20" s="5">
        <v>716098</v>
      </c>
      <c r="J20" s="6">
        <f t="shared" si="51"/>
        <v>190</v>
      </c>
      <c r="K20" s="6">
        <f t="shared" si="51"/>
        <v>206</v>
      </c>
      <c r="L20" s="6">
        <f t="shared" si="51"/>
        <v>75</v>
      </c>
      <c r="M20" s="6">
        <f t="shared" si="39"/>
        <v>310</v>
      </c>
      <c r="N20" s="5">
        <f t="shared" si="5"/>
        <v>122.41935483870968</v>
      </c>
      <c r="O20" s="3">
        <f t="shared" si="40"/>
        <v>75</v>
      </c>
      <c r="P20" s="5">
        <f t="shared" si="41"/>
        <v>47.41935483870968</v>
      </c>
      <c r="Q20" s="5">
        <f t="shared" si="42"/>
        <v>42.916666666627862</v>
      </c>
      <c r="R20" s="7">
        <f t="shared" si="9"/>
        <v>741.93548387096769</v>
      </c>
      <c r="S20" s="6">
        <f t="shared" si="43"/>
        <v>471</v>
      </c>
      <c r="T20" s="7">
        <f t="shared" si="44"/>
        <v>270.93548387096769</v>
      </c>
      <c r="U20" s="7">
        <f t="shared" si="45"/>
        <v>2693.2258064516136</v>
      </c>
      <c r="V20" s="7">
        <f t="shared" si="45"/>
        <v>1693</v>
      </c>
      <c r="W20" s="7">
        <f t="shared" si="46"/>
        <v>1000.2258064516136</v>
      </c>
      <c r="X20" s="7">
        <f t="shared" si="47"/>
        <v>16322.58064516129</v>
      </c>
      <c r="Y20" s="7">
        <f t="shared" si="47"/>
        <v>11417.516129032258</v>
      </c>
      <c r="Z20" s="7">
        <f t="shared" si="48"/>
        <v>4905.0645161290322</v>
      </c>
      <c r="AA20" s="24">
        <f t="shared" si="49"/>
        <v>0.83530992029719064</v>
      </c>
      <c r="AB20" s="1"/>
    </row>
    <row r="21" spans="2:28" ht="18" x14ac:dyDescent="0.25">
      <c r="B21" s="3">
        <v>21</v>
      </c>
      <c r="C21" s="5">
        <f>C22+191</f>
        <v>281643</v>
      </c>
      <c r="D21" s="5">
        <f>D22+213</f>
        <v>596192</v>
      </c>
      <c r="E21" s="5">
        <f>E22+70</f>
        <v>144610</v>
      </c>
      <c r="F21" s="8">
        <f t="shared" si="50"/>
        <v>1022445</v>
      </c>
      <c r="G21" s="22">
        <f t="shared" si="36"/>
        <v>1022119.125</v>
      </c>
      <c r="H21" s="7">
        <f t="shared" si="37"/>
        <v>1022163.5</v>
      </c>
      <c r="I21" s="5">
        <f>I22+290</f>
        <v>715788</v>
      </c>
      <c r="J21" s="6">
        <f t="shared" si="51"/>
        <v>191</v>
      </c>
      <c r="K21" s="6">
        <f t="shared" si="51"/>
        <v>213</v>
      </c>
      <c r="L21" s="6">
        <f t="shared" si="51"/>
        <v>70</v>
      </c>
      <c r="M21" s="6">
        <f t="shared" si="39"/>
        <v>290</v>
      </c>
      <c r="N21" s="5">
        <f t="shared" si="5"/>
        <v>122.41935483870968</v>
      </c>
      <c r="O21" s="3">
        <f t="shared" si="40"/>
        <v>70</v>
      </c>
      <c r="P21" s="5">
        <f t="shared" si="41"/>
        <v>52.41935483870968</v>
      </c>
      <c r="Q21" s="5">
        <f t="shared" si="42"/>
        <v>44.375</v>
      </c>
      <c r="R21" s="7">
        <f t="shared" si="9"/>
        <v>741.93548387096769</v>
      </c>
      <c r="S21" s="6">
        <f t="shared" si="43"/>
        <v>474</v>
      </c>
      <c r="T21" s="7">
        <f t="shared" si="44"/>
        <v>267.93548387096769</v>
      </c>
      <c r="U21" s="7">
        <f t="shared" si="45"/>
        <v>2570.8064516129039</v>
      </c>
      <c r="V21" s="7">
        <f t="shared" si="45"/>
        <v>1618</v>
      </c>
      <c r="W21" s="7">
        <f t="shared" si="46"/>
        <v>952.80645161290386</v>
      </c>
      <c r="X21" s="7">
        <f t="shared" si="47"/>
        <v>15580.645161290322</v>
      </c>
      <c r="Y21" s="7">
        <f t="shared" si="47"/>
        <v>10946.516129032258</v>
      </c>
      <c r="Z21" s="7">
        <f t="shared" si="48"/>
        <v>4634.1290322580644</v>
      </c>
      <c r="AA21" s="24">
        <f t="shared" si="49"/>
        <v>0.85301481352534902</v>
      </c>
      <c r="AB21" s="1"/>
    </row>
    <row r="22" spans="2:28" ht="18" x14ac:dyDescent="0.25">
      <c r="B22" s="3">
        <v>20</v>
      </c>
      <c r="C22" s="5">
        <f>C23+193</f>
        <v>281452</v>
      </c>
      <c r="D22" s="5">
        <f>D23+214</f>
        <v>595979</v>
      </c>
      <c r="E22" s="5">
        <f>E23+62</f>
        <v>144540</v>
      </c>
      <c r="F22" s="8">
        <f t="shared" si="50"/>
        <v>1021971</v>
      </c>
      <c r="G22" s="22">
        <f t="shared" si="36"/>
        <v>1021648.5625</v>
      </c>
      <c r="H22" s="7">
        <f t="shared" si="37"/>
        <v>1021693.1458333334</v>
      </c>
      <c r="I22" s="5">
        <f t="shared" ref="I22:I26" si="54">I23+304</f>
        <v>715498</v>
      </c>
      <c r="J22" s="6">
        <f t="shared" si="51"/>
        <v>193</v>
      </c>
      <c r="K22" s="6">
        <f t="shared" si="51"/>
        <v>214</v>
      </c>
      <c r="L22" s="6">
        <f t="shared" si="51"/>
        <v>62</v>
      </c>
      <c r="M22" s="6">
        <f t="shared" si="39"/>
        <v>304</v>
      </c>
      <c r="N22" s="5">
        <f t="shared" si="5"/>
        <v>122.41935483870968</v>
      </c>
      <c r="O22" s="3">
        <f t="shared" si="40"/>
        <v>62</v>
      </c>
      <c r="P22" s="5">
        <f t="shared" si="41"/>
        <v>60.41935483870968</v>
      </c>
      <c r="Q22" s="5">
        <f t="shared" si="42"/>
        <v>44.583333333372138</v>
      </c>
      <c r="R22" s="7">
        <f t="shared" si="9"/>
        <v>741.93548387096769</v>
      </c>
      <c r="S22" s="6">
        <f t="shared" si="43"/>
        <v>469</v>
      </c>
      <c r="T22" s="7">
        <f t="shared" si="44"/>
        <v>272.93548387096769</v>
      </c>
      <c r="U22" s="7">
        <f t="shared" si="45"/>
        <v>2448.3870967741941</v>
      </c>
      <c r="V22" s="7">
        <f t="shared" si="45"/>
        <v>1548</v>
      </c>
      <c r="W22" s="7">
        <f t="shared" si="46"/>
        <v>900.38709677419411</v>
      </c>
      <c r="X22" s="7">
        <f t="shared" si="47"/>
        <v>14838.709677419354</v>
      </c>
      <c r="Y22" s="7">
        <f t="shared" si="47"/>
        <v>10472.516129032258</v>
      </c>
      <c r="Z22" s="7">
        <f t="shared" si="48"/>
        <v>4366.1935483870966</v>
      </c>
      <c r="AA22" s="24">
        <f t="shared" si="49"/>
        <v>0.83913786374270993</v>
      </c>
      <c r="AB22" s="1"/>
    </row>
    <row r="23" spans="2:28" ht="18" x14ac:dyDescent="0.25">
      <c r="B23" s="3">
        <v>19</v>
      </c>
      <c r="C23" s="5">
        <f>C24+197</f>
        <v>281259</v>
      </c>
      <c r="D23" s="5">
        <f>D24+211</f>
        <v>595765</v>
      </c>
      <c r="E23" s="5">
        <f>E24+71</f>
        <v>144478</v>
      </c>
      <c r="F23" s="9">
        <f>C23+D23+E23</f>
        <v>1021502</v>
      </c>
      <c r="G23" s="22">
        <f t="shared" si="36"/>
        <v>1021172.6875</v>
      </c>
      <c r="H23" s="7">
        <f t="shared" si="37"/>
        <v>1021216.6458333334</v>
      </c>
      <c r="I23" s="5">
        <f>I24+302</f>
        <v>715194</v>
      </c>
      <c r="J23" s="6">
        <f t="shared" si="51"/>
        <v>197</v>
      </c>
      <c r="K23" s="6">
        <f t="shared" si="51"/>
        <v>211</v>
      </c>
      <c r="L23" s="6">
        <f t="shared" si="51"/>
        <v>71</v>
      </c>
      <c r="M23" s="6">
        <f t="shared" si="39"/>
        <v>302</v>
      </c>
      <c r="N23" s="5">
        <f t="shared" si="5"/>
        <v>122.41935483870968</v>
      </c>
      <c r="O23" s="3">
        <f t="shared" si="40"/>
        <v>71</v>
      </c>
      <c r="P23" s="5">
        <f t="shared" si="41"/>
        <v>51.41935483870968</v>
      </c>
      <c r="Q23" s="5">
        <f t="shared" si="42"/>
        <v>43.958333333372138</v>
      </c>
      <c r="R23" s="7">
        <f t="shared" si="9"/>
        <v>741.93548387096769</v>
      </c>
      <c r="S23" s="6">
        <f t="shared" si="43"/>
        <v>479</v>
      </c>
      <c r="T23" s="7">
        <f t="shared" si="44"/>
        <v>262.93548387096769</v>
      </c>
      <c r="U23" s="7">
        <f t="shared" si="45"/>
        <v>2325.9677419354844</v>
      </c>
      <c r="V23" s="7">
        <f t="shared" si="45"/>
        <v>1486</v>
      </c>
      <c r="W23" s="7">
        <f t="shared" si="46"/>
        <v>839.96774193548436</v>
      </c>
      <c r="X23" s="7">
        <f t="shared" si="47"/>
        <v>14096.774193548386</v>
      </c>
      <c r="Y23" s="7">
        <f t="shared" si="47"/>
        <v>10003.516129032258</v>
      </c>
      <c r="Z23" s="7">
        <f t="shared" si="48"/>
        <v>4093.2580645161288</v>
      </c>
      <c r="AA23" s="24">
        <f t="shared" si="49"/>
        <v>0.84590828268596097</v>
      </c>
      <c r="AB23" s="1"/>
    </row>
    <row r="24" spans="2:28" ht="18" x14ac:dyDescent="0.25">
      <c r="B24" s="3">
        <v>18</v>
      </c>
      <c r="C24" s="5">
        <f>C25+190</f>
        <v>281062</v>
      </c>
      <c r="D24" s="5">
        <f>D25+210</f>
        <v>595554</v>
      </c>
      <c r="E24" s="5">
        <f>E25+67</f>
        <v>144407</v>
      </c>
      <c r="F24" s="8">
        <f t="shared" si="50"/>
        <v>1021023</v>
      </c>
      <c r="G24" s="22">
        <f t="shared" si="36"/>
        <v>1020701.9375</v>
      </c>
      <c r="H24" s="7">
        <f t="shared" si="37"/>
        <v>1020745.6875</v>
      </c>
      <c r="I24" s="5">
        <f>I25+307</f>
        <v>714892</v>
      </c>
      <c r="J24" s="6">
        <f t="shared" si="51"/>
        <v>190</v>
      </c>
      <c r="K24" s="6">
        <f t="shared" si="51"/>
        <v>210</v>
      </c>
      <c r="L24" s="6">
        <f t="shared" si="51"/>
        <v>67</v>
      </c>
      <c r="M24" s="6">
        <f t="shared" si="39"/>
        <v>307</v>
      </c>
      <c r="N24" s="5">
        <f t="shared" si="5"/>
        <v>122.41935483870968</v>
      </c>
      <c r="O24" s="3">
        <f t="shared" si="40"/>
        <v>67</v>
      </c>
      <c r="P24" s="5">
        <f t="shared" si="41"/>
        <v>55.41935483870968</v>
      </c>
      <c r="Q24" s="5">
        <f t="shared" si="42"/>
        <v>43.75</v>
      </c>
      <c r="R24" s="7">
        <f t="shared" si="9"/>
        <v>741.93548387096769</v>
      </c>
      <c r="S24" s="6">
        <f t="shared" si="43"/>
        <v>467</v>
      </c>
      <c r="T24" s="7">
        <f t="shared" si="44"/>
        <v>274.93548387096769</v>
      </c>
      <c r="U24" s="7">
        <f t="shared" si="45"/>
        <v>2203.5483870967746</v>
      </c>
      <c r="V24" s="7">
        <f t="shared" si="45"/>
        <v>1415</v>
      </c>
      <c r="W24" s="7">
        <f t="shared" si="46"/>
        <v>788.5483870967746</v>
      </c>
      <c r="X24" s="7">
        <f t="shared" si="47"/>
        <v>13354.838709677419</v>
      </c>
      <c r="Y24" s="7">
        <f t="shared" si="47"/>
        <v>9524.5161290322576</v>
      </c>
      <c r="Z24" s="7">
        <f t="shared" si="48"/>
        <v>3830.322580645161</v>
      </c>
      <c r="AA24" s="24">
        <f t="shared" si="49"/>
        <v>0.83561161500194081</v>
      </c>
      <c r="AB24" s="1"/>
    </row>
    <row r="25" spans="2:28" ht="18" x14ac:dyDescent="0.25">
      <c r="B25" s="3">
        <v>17</v>
      </c>
      <c r="C25" s="5">
        <f t="shared" ref="C25" si="55">C26+194</f>
        <v>280872</v>
      </c>
      <c r="D25" s="5">
        <f t="shared" ref="D25" si="56">D26+212</f>
        <v>595344</v>
      </c>
      <c r="E25" s="5">
        <f t="shared" ref="E25" si="57">E26+69</f>
        <v>144340</v>
      </c>
      <c r="F25" s="8">
        <f t="shared" si="50"/>
        <v>1020556</v>
      </c>
      <c r="G25" s="22">
        <f t="shared" si="36"/>
        <v>1020229.4375</v>
      </c>
      <c r="H25" s="7">
        <f t="shared" si="37"/>
        <v>1020273.6041666666</v>
      </c>
      <c r="I25" s="5">
        <f>I26+301</f>
        <v>714585</v>
      </c>
      <c r="J25" s="6">
        <f t="shared" si="51"/>
        <v>194</v>
      </c>
      <c r="K25" s="6">
        <f t="shared" si="51"/>
        <v>212</v>
      </c>
      <c r="L25" s="6">
        <f t="shared" si="51"/>
        <v>69</v>
      </c>
      <c r="M25" s="7">
        <f t="shared" si="39"/>
        <v>301</v>
      </c>
      <c r="N25" s="5">
        <f t="shared" si="5"/>
        <v>122.41935483870968</v>
      </c>
      <c r="O25" s="3">
        <f t="shared" si="40"/>
        <v>69</v>
      </c>
      <c r="P25" s="5">
        <f t="shared" si="41"/>
        <v>53.41935483870968</v>
      </c>
      <c r="Q25" s="5">
        <f t="shared" si="42"/>
        <v>44.166666666627862</v>
      </c>
      <c r="R25" s="7">
        <f t="shared" si="9"/>
        <v>741.93548387096769</v>
      </c>
      <c r="S25" s="6">
        <f t="shared" si="43"/>
        <v>475</v>
      </c>
      <c r="T25" s="7">
        <f t="shared" si="44"/>
        <v>266.93548387096769</v>
      </c>
      <c r="U25" s="7">
        <f t="shared" si="45"/>
        <v>2081.1290322580649</v>
      </c>
      <c r="V25" s="6">
        <f t="shared" si="45"/>
        <v>1348</v>
      </c>
      <c r="W25" s="7">
        <f t="shared" si="46"/>
        <v>733.12903225806485</v>
      </c>
      <c r="X25" s="7">
        <f t="shared" si="47"/>
        <v>12612.903225806451</v>
      </c>
      <c r="Y25" s="7">
        <f t="shared" si="47"/>
        <v>9057.5161290322576</v>
      </c>
      <c r="Z25" s="7">
        <f t="shared" si="48"/>
        <v>3555.3870967741932</v>
      </c>
      <c r="AA25" s="24">
        <f t="shared" si="49"/>
        <v>0.84468507840095874</v>
      </c>
      <c r="AB25" s="1"/>
    </row>
    <row r="26" spans="2:28" ht="16.5" customHeight="1" x14ac:dyDescent="0.25">
      <c r="B26" s="3">
        <v>16</v>
      </c>
      <c r="C26" s="5">
        <f>C27+198</f>
        <v>280678</v>
      </c>
      <c r="D26" s="5">
        <f>D27+215</f>
        <v>595132</v>
      </c>
      <c r="E26" s="5">
        <f>E27+71</f>
        <v>144271</v>
      </c>
      <c r="F26" s="8">
        <f t="shared" si="50"/>
        <v>1020081</v>
      </c>
      <c r="G26" s="22">
        <f t="shared" si="36"/>
        <v>1019748.25</v>
      </c>
      <c r="H26" s="7">
        <f t="shared" si="37"/>
        <v>1019793.0416666666</v>
      </c>
      <c r="I26" s="5">
        <f t="shared" si="54"/>
        <v>714284</v>
      </c>
      <c r="J26" s="6">
        <f t="shared" si="51"/>
        <v>198</v>
      </c>
      <c r="K26" s="6">
        <f t="shared" si="51"/>
        <v>215</v>
      </c>
      <c r="L26" s="6">
        <f t="shared" si="51"/>
        <v>71</v>
      </c>
      <c r="M26" s="7">
        <f t="shared" si="39"/>
        <v>304</v>
      </c>
      <c r="N26" s="5">
        <f t="shared" si="5"/>
        <v>122.41935483870968</v>
      </c>
      <c r="O26" s="3">
        <f t="shared" si="40"/>
        <v>71</v>
      </c>
      <c r="P26" s="5">
        <f t="shared" si="41"/>
        <v>51.41935483870968</v>
      </c>
      <c r="Q26" s="5">
        <f t="shared" si="42"/>
        <v>44.791666666627862</v>
      </c>
      <c r="R26" s="7">
        <f t="shared" si="9"/>
        <v>741.93548387096769</v>
      </c>
      <c r="S26" s="6">
        <f>J26+K26+L26</f>
        <v>484</v>
      </c>
      <c r="T26" s="7">
        <f t="shared" si="44"/>
        <v>257.93548387096769</v>
      </c>
      <c r="U26" s="7">
        <f t="shared" si="45"/>
        <v>1958.7096774193553</v>
      </c>
      <c r="V26" s="6">
        <f t="shared" si="45"/>
        <v>1279</v>
      </c>
      <c r="W26" s="7">
        <f t="shared" si="46"/>
        <v>679.70967741935533</v>
      </c>
      <c r="X26" s="7">
        <f t="shared" si="47"/>
        <v>11870.967741935483</v>
      </c>
      <c r="Y26" s="7">
        <f t="shared" si="47"/>
        <v>8582.5161290322576</v>
      </c>
      <c r="Z26" s="7">
        <f t="shared" si="48"/>
        <v>3288.4516129032254</v>
      </c>
      <c r="AA26" s="24">
        <f t="shared" si="49"/>
        <v>0.84681668402971377</v>
      </c>
      <c r="AB26" s="1"/>
    </row>
    <row r="27" spans="2:28" ht="18" x14ac:dyDescent="0.25">
      <c r="B27" s="3">
        <v>15</v>
      </c>
      <c r="C27" s="5">
        <f>C28+201</f>
        <v>280480</v>
      </c>
      <c r="D27" s="5">
        <f>D28+218</f>
        <v>594917</v>
      </c>
      <c r="E27" s="5">
        <f>E28+73</f>
        <v>144200</v>
      </c>
      <c r="F27" s="8">
        <f t="shared" si="50"/>
        <v>1019597</v>
      </c>
      <c r="G27" s="22">
        <f t="shared" si="36"/>
        <v>1019258.75</v>
      </c>
      <c r="H27" s="7">
        <f t="shared" si="37"/>
        <v>1019304.1666666666</v>
      </c>
      <c r="I27" s="5">
        <f>I28+314</f>
        <v>713980</v>
      </c>
      <c r="J27" s="6">
        <f t="shared" si="51"/>
        <v>201</v>
      </c>
      <c r="K27" s="6">
        <f t="shared" si="51"/>
        <v>218</v>
      </c>
      <c r="L27" s="6">
        <f t="shared" si="51"/>
        <v>73</v>
      </c>
      <c r="M27" s="7">
        <f t="shared" si="39"/>
        <v>314</v>
      </c>
      <c r="N27" s="5">
        <f t="shared" si="5"/>
        <v>122.41935483870968</v>
      </c>
      <c r="O27" s="3">
        <f t="shared" si="40"/>
        <v>73</v>
      </c>
      <c r="P27" s="5">
        <f t="shared" si="41"/>
        <v>49.41935483870968</v>
      </c>
      <c r="Q27" s="5">
        <f t="shared" si="42"/>
        <v>45.416666666627862</v>
      </c>
      <c r="R27" s="7">
        <f t="shared" si="9"/>
        <v>741.93548387096769</v>
      </c>
      <c r="S27" s="6">
        <f t="shared" si="43"/>
        <v>492</v>
      </c>
      <c r="T27" s="7">
        <f t="shared" si="44"/>
        <v>249.93548387096769</v>
      </c>
      <c r="U27" s="7">
        <f t="shared" si="45"/>
        <v>1836.2903225806456</v>
      </c>
      <c r="V27" s="6">
        <f t="shared" si="45"/>
        <v>1208</v>
      </c>
      <c r="W27" s="7">
        <f t="shared" si="46"/>
        <v>628.29032258064558</v>
      </c>
      <c r="X27" s="7">
        <f t="shared" si="47"/>
        <v>11129.032258064515</v>
      </c>
      <c r="Y27" s="7">
        <f t="shared" si="47"/>
        <v>8098.5161290322576</v>
      </c>
      <c r="Z27" s="7">
        <f t="shared" si="48"/>
        <v>3030.5161290322576</v>
      </c>
      <c r="AA27" s="24">
        <f t="shared" si="49"/>
        <v>0.84295527309472851</v>
      </c>
      <c r="AB27" s="1"/>
    </row>
    <row r="28" spans="2:28" ht="18" x14ac:dyDescent="0.25">
      <c r="B28" s="3">
        <v>14</v>
      </c>
      <c r="C28" s="5">
        <f>C29+213</f>
        <v>280279</v>
      </c>
      <c r="D28" s="5">
        <f>D29+327</f>
        <v>594699</v>
      </c>
      <c r="E28" s="5">
        <f>E29+92</f>
        <v>144127</v>
      </c>
      <c r="F28" s="8">
        <f t="shared" si="50"/>
        <v>1019105</v>
      </c>
      <c r="G28" s="22">
        <f t="shared" si="36"/>
        <v>1018670.5</v>
      </c>
      <c r="H28" s="7">
        <f t="shared" si="37"/>
        <v>1018738.625</v>
      </c>
      <c r="I28" s="5">
        <f>I29+385</f>
        <v>713666</v>
      </c>
      <c r="J28" s="6">
        <f t="shared" si="51"/>
        <v>213</v>
      </c>
      <c r="K28" s="6">
        <f t="shared" si="51"/>
        <v>327</v>
      </c>
      <c r="L28" s="6">
        <f t="shared" si="51"/>
        <v>92</v>
      </c>
      <c r="M28" s="7">
        <f t="shared" si="39"/>
        <v>385</v>
      </c>
      <c r="N28" s="5">
        <f t="shared" si="5"/>
        <v>122.41935483870968</v>
      </c>
      <c r="O28" s="3">
        <f t="shared" si="40"/>
        <v>92</v>
      </c>
      <c r="P28" s="5">
        <f t="shared" si="41"/>
        <v>30.41935483870968</v>
      </c>
      <c r="Q28" s="5">
        <f t="shared" si="42"/>
        <v>68.125</v>
      </c>
      <c r="R28" s="7">
        <f t="shared" si="9"/>
        <v>741.93548387096769</v>
      </c>
      <c r="S28" s="6">
        <f t="shared" si="43"/>
        <v>632</v>
      </c>
      <c r="T28" s="7">
        <f t="shared" si="44"/>
        <v>109.93548387096769</v>
      </c>
      <c r="U28" s="7">
        <f t="shared" si="45"/>
        <v>1713.8709677419358</v>
      </c>
      <c r="V28" s="6">
        <f t="shared" si="45"/>
        <v>1135</v>
      </c>
      <c r="W28" s="7">
        <f t="shared" si="46"/>
        <v>578.87096774193583</v>
      </c>
      <c r="X28" s="7">
        <f t="shared" si="47"/>
        <v>10387.096774193547</v>
      </c>
      <c r="Y28" s="7">
        <f t="shared" si="47"/>
        <v>7606.5161290322576</v>
      </c>
      <c r="Z28" s="7">
        <f t="shared" si="48"/>
        <v>2780.5806451612898</v>
      </c>
      <c r="AA28" s="24">
        <f t="shared" si="49"/>
        <v>0.85401584565344035</v>
      </c>
      <c r="AB28" s="1"/>
    </row>
    <row r="29" spans="2:28" ht="18" x14ac:dyDescent="0.25">
      <c r="B29" s="3">
        <v>13</v>
      </c>
      <c r="C29" s="5">
        <v>280066</v>
      </c>
      <c r="D29" s="5">
        <v>594372</v>
      </c>
      <c r="E29" s="5">
        <v>144035</v>
      </c>
      <c r="F29" s="8">
        <f t="shared" si="50"/>
        <v>1018473</v>
      </c>
      <c r="G29" s="22">
        <f t="shared" si="36"/>
        <v>1018027.5</v>
      </c>
      <c r="H29" s="7">
        <f t="shared" si="37"/>
        <v>1018099.375</v>
      </c>
      <c r="I29" s="5">
        <v>713281</v>
      </c>
      <c r="J29" s="6">
        <f t="shared" si="51"/>
        <v>209</v>
      </c>
      <c r="K29" s="6">
        <f t="shared" si="51"/>
        <v>345</v>
      </c>
      <c r="L29" s="6">
        <f t="shared" si="51"/>
        <v>94</v>
      </c>
      <c r="M29" s="6">
        <f t="shared" si="39"/>
        <v>381</v>
      </c>
      <c r="N29" s="5">
        <f t="shared" si="5"/>
        <v>122.41935483870968</v>
      </c>
      <c r="O29" s="3">
        <f t="shared" si="40"/>
        <v>94</v>
      </c>
      <c r="P29" s="5">
        <f t="shared" si="41"/>
        <v>28.41935483870968</v>
      </c>
      <c r="Q29" s="5">
        <f t="shared" si="42"/>
        <v>71.875</v>
      </c>
      <c r="R29" s="7">
        <f t="shared" si="9"/>
        <v>741.93548387096769</v>
      </c>
      <c r="S29" s="6">
        <f t="shared" si="43"/>
        <v>648</v>
      </c>
      <c r="T29" s="7">
        <f t="shared" si="44"/>
        <v>93.935483870967687</v>
      </c>
      <c r="U29" s="7">
        <f t="shared" si="45"/>
        <v>1591.4516129032261</v>
      </c>
      <c r="V29" s="6">
        <f t="shared" si="45"/>
        <v>1043</v>
      </c>
      <c r="W29" s="7">
        <f t="shared" si="46"/>
        <v>548.45161290322608</v>
      </c>
      <c r="X29" s="7">
        <f t="shared" si="47"/>
        <v>9645.1612903225796</v>
      </c>
      <c r="Y29" s="7">
        <f t="shared" si="47"/>
        <v>6974.5161290322576</v>
      </c>
      <c r="Z29" s="7">
        <f t="shared" si="48"/>
        <v>2670.645161290322</v>
      </c>
      <c r="AA29" s="24">
        <f t="shared" si="49"/>
        <v>0.86203679162705049</v>
      </c>
      <c r="AB29" s="1"/>
    </row>
    <row r="30" spans="2:28" ht="18" x14ac:dyDescent="0.25">
      <c r="B30" s="3">
        <v>12</v>
      </c>
      <c r="C30" s="5">
        <f>C31+207</f>
        <v>279857</v>
      </c>
      <c r="D30" s="5">
        <f>D31+333</f>
        <v>594027</v>
      </c>
      <c r="E30" s="5">
        <f t="shared" ref="E30:E32" si="58">E31+91</f>
        <v>143941</v>
      </c>
      <c r="F30" s="8">
        <f t="shared" si="50"/>
        <v>1017825</v>
      </c>
      <c r="G30" s="22">
        <f t="shared" si="36"/>
        <v>1017391.1875</v>
      </c>
      <c r="H30" s="7">
        <f t="shared" si="37"/>
        <v>1017460.5625</v>
      </c>
      <c r="I30" s="5">
        <f>I31+397</f>
        <v>712900</v>
      </c>
      <c r="J30" s="6">
        <f t="shared" ref="J30:L32" si="59">C30-C31</f>
        <v>207</v>
      </c>
      <c r="K30" s="6">
        <f t="shared" si="59"/>
        <v>333</v>
      </c>
      <c r="L30" s="6">
        <f t="shared" si="59"/>
        <v>91</v>
      </c>
      <c r="M30" s="6">
        <f t="shared" si="39"/>
        <v>397</v>
      </c>
      <c r="N30" s="5">
        <f t="shared" si="5"/>
        <v>122.41935483870968</v>
      </c>
      <c r="O30" s="3">
        <f t="shared" si="40"/>
        <v>91</v>
      </c>
      <c r="P30" s="5">
        <f t="shared" si="41"/>
        <v>31.41935483870968</v>
      </c>
      <c r="Q30" s="5">
        <f t="shared" si="42"/>
        <v>69.375</v>
      </c>
      <c r="R30" s="7">
        <f t="shared" si="9"/>
        <v>741.93548387096769</v>
      </c>
      <c r="S30" s="6">
        <f t="shared" si="43"/>
        <v>631</v>
      </c>
      <c r="T30" s="7">
        <f t="shared" si="44"/>
        <v>110.93548387096769</v>
      </c>
      <c r="U30" s="7">
        <f t="shared" si="45"/>
        <v>1469.0322580645163</v>
      </c>
      <c r="V30" s="6">
        <f t="shared" si="45"/>
        <v>949</v>
      </c>
      <c r="W30" s="7">
        <f t="shared" si="46"/>
        <v>520.03225806451633</v>
      </c>
      <c r="X30" s="7">
        <f t="shared" si="47"/>
        <v>8903.2258064516118</v>
      </c>
      <c r="Y30" s="7">
        <f t="shared" si="47"/>
        <v>6326.5161290322576</v>
      </c>
      <c r="Z30" s="7">
        <f t="shared" si="48"/>
        <v>2576.7096774193542</v>
      </c>
      <c r="AA30" s="24">
        <f t="shared" si="49"/>
        <v>0.8464119945274351</v>
      </c>
      <c r="AB30" s="1"/>
    </row>
    <row r="31" spans="2:28" ht="18" x14ac:dyDescent="0.25">
      <c r="B31" s="3">
        <v>11</v>
      </c>
      <c r="C31" s="5">
        <f t="shared" ref="C31" si="60">C32+203</f>
        <v>279650</v>
      </c>
      <c r="D31" s="5">
        <f>D32+323</f>
        <v>593694</v>
      </c>
      <c r="E31" s="5">
        <f>E32+95</f>
        <v>143850</v>
      </c>
      <c r="F31" s="8">
        <f>C31+D31+E31</f>
        <v>1017194</v>
      </c>
      <c r="G31" s="22">
        <f t="shared" si="36"/>
        <v>1016767.0625</v>
      </c>
      <c r="H31" s="7">
        <f t="shared" si="37"/>
        <v>1016834.3541666666</v>
      </c>
      <c r="I31" s="5">
        <f>I32+392</f>
        <v>712503</v>
      </c>
      <c r="J31" s="6">
        <f t="shared" si="59"/>
        <v>203</v>
      </c>
      <c r="K31" s="6">
        <f t="shared" si="59"/>
        <v>323</v>
      </c>
      <c r="L31" s="6">
        <f t="shared" si="59"/>
        <v>95</v>
      </c>
      <c r="M31" s="6">
        <f t="shared" si="39"/>
        <v>392</v>
      </c>
      <c r="N31" s="5">
        <f>N32</f>
        <v>122.41935483870968</v>
      </c>
      <c r="O31" s="3">
        <f t="shared" si="40"/>
        <v>95</v>
      </c>
      <c r="P31" s="5">
        <f t="shared" si="41"/>
        <v>27.41935483870968</v>
      </c>
      <c r="Q31" s="5">
        <f t="shared" si="42"/>
        <v>67.291666666627862</v>
      </c>
      <c r="R31" s="7">
        <f t="shared" si="9"/>
        <v>741.93548387096769</v>
      </c>
      <c r="S31" s="6">
        <f t="shared" si="43"/>
        <v>621</v>
      </c>
      <c r="T31" s="7">
        <f t="shared" si="44"/>
        <v>120.93548387096769</v>
      </c>
      <c r="U31" s="7">
        <f t="shared" si="45"/>
        <v>1346.6129032258066</v>
      </c>
      <c r="V31" s="6">
        <f t="shared" si="45"/>
        <v>858</v>
      </c>
      <c r="W31" s="7">
        <f t="shared" si="46"/>
        <v>488.61290322580658</v>
      </c>
      <c r="X31" s="7">
        <f t="shared" si="47"/>
        <v>8161.2903225806449</v>
      </c>
      <c r="Y31" s="7">
        <f t="shared" si="47"/>
        <v>5695.5161290322576</v>
      </c>
      <c r="Z31" s="7">
        <f t="shared" si="48"/>
        <v>2465.7741935483873</v>
      </c>
      <c r="AA31" s="24">
        <f t="shared" si="49"/>
        <v>0.84561830750551115</v>
      </c>
      <c r="AB31" s="1"/>
    </row>
    <row r="32" spans="2:28" ht="18" x14ac:dyDescent="0.25">
      <c r="B32" s="3">
        <v>10</v>
      </c>
      <c r="C32" s="5">
        <f>C33+205</f>
        <v>279447</v>
      </c>
      <c r="D32" s="5">
        <f>D33+310</f>
        <v>593371</v>
      </c>
      <c r="E32" s="5">
        <f t="shared" si="58"/>
        <v>143755</v>
      </c>
      <c r="F32" s="8">
        <f>C32+D32+E32</f>
        <v>1016573</v>
      </c>
      <c r="G32" s="22">
        <f t="shared" si="36"/>
        <v>1016156.375</v>
      </c>
      <c r="H32" s="7">
        <f t="shared" si="37"/>
        <v>1016220.9583333334</v>
      </c>
      <c r="I32" s="5">
        <f>I33+377</f>
        <v>712111</v>
      </c>
      <c r="J32" s="6">
        <f t="shared" si="59"/>
        <v>205</v>
      </c>
      <c r="K32" s="6">
        <f t="shared" si="59"/>
        <v>310</v>
      </c>
      <c r="L32" s="6">
        <f t="shared" si="59"/>
        <v>91</v>
      </c>
      <c r="M32" s="6">
        <f t="shared" si="39"/>
        <v>377</v>
      </c>
      <c r="N32" s="5">
        <f t="shared" si="5"/>
        <v>122.41935483870968</v>
      </c>
      <c r="O32" s="3">
        <f t="shared" si="40"/>
        <v>91</v>
      </c>
      <c r="P32" s="5">
        <f t="shared" si="41"/>
        <v>31.41935483870968</v>
      </c>
      <c r="Q32" s="5">
        <f t="shared" si="42"/>
        <v>64.583333333372138</v>
      </c>
      <c r="R32" s="7">
        <f t="shared" si="9"/>
        <v>741.93548387096769</v>
      </c>
      <c r="S32" s="6">
        <f t="shared" si="43"/>
        <v>606</v>
      </c>
      <c r="T32" s="7">
        <f t="shared" si="44"/>
        <v>135.93548387096769</v>
      </c>
      <c r="U32" s="7">
        <f t="shared" si="45"/>
        <v>1224.1935483870968</v>
      </c>
      <c r="V32" s="6">
        <f t="shared" si="45"/>
        <v>763</v>
      </c>
      <c r="W32" s="7">
        <f t="shared" si="46"/>
        <v>461.19354838709683</v>
      </c>
      <c r="X32" s="7">
        <f t="shared" si="47"/>
        <v>7419.3548387096771</v>
      </c>
      <c r="Y32" s="7">
        <f t="shared" si="47"/>
        <v>5074.5161290322576</v>
      </c>
      <c r="Z32" s="7">
        <f t="shared" si="48"/>
        <v>2344.8387096774195</v>
      </c>
      <c r="AA32" s="24">
        <f t="shared" si="49"/>
        <v>0.84909850100423845</v>
      </c>
      <c r="AB32" s="1"/>
    </row>
    <row r="33" spans="2:28" ht="18" x14ac:dyDescent="0.25">
      <c r="B33" s="3">
        <v>9</v>
      </c>
      <c r="C33" s="5">
        <f>C34+201</f>
        <v>279242</v>
      </c>
      <c r="D33" s="5">
        <f>D34+298</f>
        <v>593061</v>
      </c>
      <c r="E33" s="5">
        <f>E34+90</f>
        <v>143664</v>
      </c>
      <c r="F33" s="8">
        <f t="shared" si="50"/>
        <v>1015967</v>
      </c>
      <c r="G33" s="22">
        <f t="shared" si="36"/>
        <v>1015562.0625</v>
      </c>
      <c r="H33" s="7">
        <f t="shared" si="37"/>
        <v>1015624.1458333334</v>
      </c>
      <c r="I33" s="5">
        <f>I34+396</f>
        <v>711734</v>
      </c>
      <c r="J33" s="6">
        <f t="shared" si="51"/>
        <v>201</v>
      </c>
      <c r="K33" s="6">
        <f t="shared" si="51"/>
        <v>298</v>
      </c>
      <c r="L33" s="6">
        <f t="shared" si="51"/>
        <v>90</v>
      </c>
      <c r="M33" s="6">
        <f t="shared" si="39"/>
        <v>396</v>
      </c>
      <c r="N33" s="5">
        <f t="shared" si="5"/>
        <v>122.41935483870968</v>
      </c>
      <c r="O33" s="3">
        <f t="shared" si="40"/>
        <v>90</v>
      </c>
      <c r="P33" s="5">
        <f t="shared" si="41"/>
        <v>32.41935483870968</v>
      </c>
      <c r="Q33" s="5">
        <f t="shared" si="42"/>
        <v>62.083333333372138</v>
      </c>
      <c r="R33" s="7">
        <f t="shared" si="9"/>
        <v>741.93548387096769</v>
      </c>
      <c r="S33" s="6">
        <f t="shared" si="43"/>
        <v>589</v>
      </c>
      <c r="T33" s="7">
        <f t="shared" si="44"/>
        <v>152.93548387096769</v>
      </c>
      <c r="U33" s="7">
        <f t="shared" si="45"/>
        <v>1101.7741935483871</v>
      </c>
      <c r="V33" s="6">
        <f t="shared" si="45"/>
        <v>672</v>
      </c>
      <c r="W33" s="7">
        <f t="shared" si="46"/>
        <v>429.77419354838707</v>
      </c>
      <c r="X33" s="7">
        <f t="shared" si="47"/>
        <v>6677.4193548387093</v>
      </c>
      <c r="Y33" s="7">
        <f t="shared" si="47"/>
        <v>4468.5161290322576</v>
      </c>
      <c r="Z33" s="7">
        <f t="shared" si="48"/>
        <v>2208.9032258064517</v>
      </c>
      <c r="AA33" s="24">
        <f t="shared" si="49"/>
        <v>0.82987631358128744</v>
      </c>
      <c r="AB33" s="1"/>
    </row>
    <row r="34" spans="2:28" ht="18" x14ac:dyDescent="0.25">
      <c r="B34" s="3">
        <v>8</v>
      </c>
      <c r="C34" s="5">
        <f>C35+197</f>
        <v>279041</v>
      </c>
      <c r="D34" s="5">
        <f>D35+290</f>
        <v>592763</v>
      </c>
      <c r="E34" s="5">
        <f>E35+87</f>
        <v>143574</v>
      </c>
      <c r="F34" s="8">
        <f t="shared" si="50"/>
        <v>1015378</v>
      </c>
      <c r="G34" s="22">
        <f t="shared" si="36"/>
        <v>1014983.375</v>
      </c>
      <c r="H34" s="7">
        <f t="shared" si="37"/>
        <v>1015043.7916666666</v>
      </c>
      <c r="I34" s="5">
        <f>I35+383</f>
        <v>711338</v>
      </c>
      <c r="J34" s="6">
        <f t="shared" si="51"/>
        <v>197</v>
      </c>
      <c r="K34" s="6">
        <f t="shared" si="51"/>
        <v>290</v>
      </c>
      <c r="L34" s="6">
        <f t="shared" si="51"/>
        <v>87</v>
      </c>
      <c r="M34" s="6">
        <f t="shared" si="39"/>
        <v>383</v>
      </c>
      <c r="N34" s="5">
        <f t="shared" si="5"/>
        <v>122.41935483870968</v>
      </c>
      <c r="O34" s="3">
        <f t="shared" si="40"/>
        <v>87</v>
      </c>
      <c r="P34" s="5">
        <f t="shared" si="41"/>
        <v>35.41935483870968</v>
      </c>
      <c r="Q34" s="5">
        <f t="shared" si="42"/>
        <v>60.416666666627862</v>
      </c>
      <c r="R34" s="7">
        <f t="shared" si="9"/>
        <v>741.93548387096769</v>
      </c>
      <c r="S34" s="6">
        <f t="shared" si="43"/>
        <v>574</v>
      </c>
      <c r="T34" s="7">
        <f t="shared" si="44"/>
        <v>167.93548387096769</v>
      </c>
      <c r="U34" s="7">
        <f t="shared" si="45"/>
        <v>979.35483870967732</v>
      </c>
      <c r="V34" s="6">
        <f t="shared" si="45"/>
        <v>582</v>
      </c>
      <c r="W34" s="7">
        <f t="shared" si="46"/>
        <v>397.35483870967732</v>
      </c>
      <c r="X34" s="7">
        <f t="shared" si="47"/>
        <v>5935.4838709677415</v>
      </c>
      <c r="Y34" s="7">
        <f t="shared" si="47"/>
        <v>3879.516129032258</v>
      </c>
      <c r="Z34" s="7">
        <f t="shared" si="48"/>
        <v>2055.9677419354834</v>
      </c>
      <c r="AA34" s="24">
        <f t="shared" si="49"/>
        <v>0.83182727690855129</v>
      </c>
      <c r="AB34" s="1"/>
    </row>
    <row r="35" spans="2:28" ht="18" x14ac:dyDescent="0.25">
      <c r="B35" s="3">
        <v>7</v>
      </c>
      <c r="C35" s="5">
        <v>278844</v>
      </c>
      <c r="D35" s="5">
        <v>592473</v>
      </c>
      <c r="E35" s="5">
        <v>143487</v>
      </c>
      <c r="F35" s="9">
        <f>C35+D35+E35</f>
        <v>1014804</v>
      </c>
      <c r="G35" s="22">
        <f t="shared" si="36"/>
        <v>1014434.8125</v>
      </c>
      <c r="H35" s="7">
        <f t="shared" si="37"/>
        <v>1014491.0625</v>
      </c>
      <c r="I35" s="5">
        <v>710955</v>
      </c>
      <c r="J35" s="6">
        <f t="shared" si="51"/>
        <v>181</v>
      </c>
      <c r="K35" s="6">
        <f t="shared" si="51"/>
        <v>270</v>
      </c>
      <c r="L35" s="6">
        <f t="shared" si="51"/>
        <v>86</v>
      </c>
      <c r="M35" s="6">
        <f t="shared" si="39"/>
        <v>375</v>
      </c>
      <c r="N35" s="5">
        <f t="shared" si="5"/>
        <v>122.41935483870968</v>
      </c>
      <c r="O35" s="3">
        <f t="shared" si="40"/>
        <v>86</v>
      </c>
      <c r="P35" s="5">
        <f t="shared" si="41"/>
        <v>36.41935483870968</v>
      </c>
      <c r="Q35" s="5">
        <f t="shared" si="42"/>
        <v>56.25</v>
      </c>
      <c r="R35" s="7">
        <f t="shared" si="9"/>
        <v>741.93548387096769</v>
      </c>
      <c r="S35" s="6">
        <f t="shared" si="43"/>
        <v>537</v>
      </c>
      <c r="T35" s="7">
        <f t="shared" si="44"/>
        <v>204.93548387096769</v>
      </c>
      <c r="U35" s="7">
        <f t="shared" si="45"/>
        <v>856.93548387096769</v>
      </c>
      <c r="V35" s="6">
        <f t="shared" si="45"/>
        <v>495</v>
      </c>
      <c r="W35" s="7">
        <f t="shared" si="46"/>
        <v>361.93548387096769</v>
      </c>
      <c r="X35" s="7">
        <f t="shared" si="47"/>
        <v>5193.5483870967737</v>
      </c>
      <c r="Y35" s="7">
        <f t="shared" si="47"/>
        <v>3305.516129032258</v>
      </c>
      <c r="Z35" s="7">
        <f t="shared" si="48"/>
        <v>1888.0322580645156</v>
      </c>
      <c r="AA35" s="24">
        <f t="shared" si="49"/>
        <v>0.81987694964696589</v>
      </c>
      <c r="AB35" s="1"/>
    </row>
    <row r="36" spans="2:28" ht="18" x14ac:dyDescent="0.25">
      <c r="B36" s="3">
        <v>6</v>
      </c>
      <c r="C36" s="5">
        <f>C37+175</f>
        <v>278663</v>
      </c>
      <c r="D36" s="5">
        <f>D37+252</f>
        <v>592203</v>
      </c>
      <c r="E36" s="5">
        <f>E37+84</f>
        <v>143401</v>
      </c>
      <c r="F36" s="8">
        <f t="shared" si="50"/>
        <v>1014267</v>
      </c>
      <c r="G36" s="22">
        <f t="shared" si="36"/>
        <v>1013915.6875</v>
      </c>
      <c r="H36" s="7">
        <f t="shared" si="37"/>
        <v>1013968.1875</v>
      </c>
      <c r="I36" s="5">
        <f>I37+390</f>
        <v>710580</v>
      </c>
      <c r="J36" s="6">
        <f t="shared" si="51"/>
        <v>175</v>
      </c>
      <c r="K36" s="6">
        <f t="shared" si="51"/>
        <v>252</v>
      </c>
      <c r="L36" s="6">
        <f t="shared" si="51"/>
        <v>84</v>
      </c>
      <c r="M36" s="6">
        <f t="shared" si="39"/>
        <v>390</v>
      </c>
      <c r="N36" s="5">
        <f t="shared" si="5"/>
        <v>122.41935483870968</v>
      </c>
      <c r="O36" s="3">
        <f t="shared" si="40"/>
        <v>84</v>
      </c>
      <c r="P36" s="5">
        <f t="shared" si="41"/>
        <v>38.41935483870968</v>
      </c>
      <c r="Q36" s="5">
        <f t="shared" si="42"/>
        <v>52.5</v>
      </c>
      <c r="R36" s="7">
        <f t="shared" si="9"/>
        <v>741.93548387096769</v>
      </c>
      <c r="S36" s="6">
        <f t="shared" si="43"/>
        <v>511</v>
      </c>
      <c r="T36" s="7">
        <f t="shared" si="44"/>
        <v>230.93548387096769</v>
      </c>
      <c r="U36" s="7">
        <f t="shared" si="45"/>
        <v>734.51612903225805</v>
      </c>
      <c r="V36" s="6">
        <f t="shared" si="45"/>
        <v>409</v>
      </c>
      <c r="W36" s="7">
        <f t="shared" si="46"/>
        <v>325.51612903225805</v>
      </c>
      <c r="X36" s="7">
        <f t="shared" si="47"/>
        <v>4451.6129032258059</v>
      </c>
      <c r="Y36" s="7">
        <f t="shared" si="47"/>
        <v>2768.516129032258</v>
      </c>
      <c r="Z36" s="7">
        <f t="shared" si="48"/>
        <v>1683.0967741935478</v>
      </c>
      <c r="AA36" s="24">
        <f t="shared" si="49"/>
        <v>0.79493150228517395</v>
      </c>
      <c r="AB36" s="1"/>
    </row>
    <row r="37" spans="2:28" ht="18" x14ac:dyDescent="0.25">
      <c r="B37" s="3">
        <v>5</v>
      </c>
      <c r="C37" s="5">
        <f t="shared" ref="C37" si="61">C38+159</f>
        <v>278488</v>
      </c>
      <c r="D37" s="5">
        <f t="shared" ref="D37" si="62">D38+239</f>
        <v>591951</v>
      </c>
      <c r="E37" s="5">
        <f>E38+74</f>
        <v>143317</v>
      </c>
      <c r="F37" s="8">
        <f t="shared" si="50"/>
        <v>1013756</v>
      </c>
      <c r="G37" s="22">
        <f t="shared" si="36"/>
        <v>1013431.5</v>
      </c>
      <c r="H37" s="7">
        <f t="shared" si="37"/>
        <v>1013481.2916666666</v>
      </c>
      <c r="I37" s="5">
        <f>I38+369</f>
        <v>710190</v>
      </c>
      <c r="J37" s="6">
        <f t="shared" si="51"/>
        <v>159</v>
      </c>
      <c r="K37" s="6">
        <f t="shared" si="51"/>
        <v>239</v>
      </c>
      <c r="L37" s="6">
        <f t="shared" si="51"/>
        <v>74</v>
      </c>
      <c r="M37" s="6">
        <f t="shared" si="39"/>
        <v>369</v>
      </c>
      <c r="N37" s="5">
        <f t="shared" si="5"/>
        <v>122.41935483870968</v>
      </c>
      <c r="O37" s="3">
        <f t="shared" si="40"/>
        <v>74</v>
      </c>
      <c r="P37" s="5">
        <f t="shared" si="41"/>
        <v>48.41935483870968</v>
      </c>
      <c r="Q37" s="5">
        <f t="shared" si="42"/>
        <v>49.791666666627862</v>
      </c>
      <c r="R37" s="7">
        <f t="shared" si="9"/>
        <v>741.93548387096769</v>
      </c>
      <c r="S37" s="6">
        <f t="shared" si="43"/>
        <v>472</v>
      </c>
      <c r="T37" s="7">
        <f t="shared" si="44"/>
        <v>269.93548387096769</v>
      </c>
      <c r="U37" s="7">
        <f t="shared" si="45"/>
        <v>612.09677419354841</v>
      </c>
      <c r="V37" s="6">
        <f t="shared" si="45"/>
        <v>325</v>
      </c>
      <c r="W37" s="7">
        <f t="shared" si="46"/>
        <v>287.09677419354841</v>
      </c>
      <c r="X37" s="7">
        <f t="shared" si="47"/>
        <v>3709.6774193548385</v>
      </c>
      <c r="Y37" s="7">
        <f t="shared" si="47"/>
        <v>2257.516129032258</v>
      </c>
      <c r="Z37" s="7">
        <f t="shared" si="48"/>
        <v>1452.1612903225805</v>
      </c>
      <c r="AA37" s="24">
        <f t="shared" si="49"/>
        <v>0.78782189156088911</v>
      </c>
      <c r="AB37" s="1"/>
    </row>
    <row r="38" spans="2:28" ht="18" x14ac:dyDescent="0.25">
      <c r="B38" s="3">
        <v>4</v>
      </c>
      <c r="C38" s="5">
        <f>C39+153</f>
        <v>278329</v>
      </c>
      <c r="D38" s="5">
        <f>D39+240</f>
        <v>591712</v>
      </c>
      <c r="E38" s="5">
        <f>E39+73</f>
        <v>143243</v>
      </c>
      <c r="F38" s="8">
        <f t="shared" si="50"/>
        <v>1013284</v>
      </c>
      <c r="G38" s="22">
        <f t="shared" si="36"/>
        <v>1012963.625</v>
      </c>
      <c r="H38" s="7">
        <f t="shared" si="37"/>
        <v>1013013.625</v>
      </c>
      <c r="I38" s="5">
        <f>I39+372</f>
        <v>709821</v>
      </c>
      <c r="J38" s="6">
        <f t="shared" si="51"/>
        <v>153</v>
      </c>
      <c r="K38" s="6">
        <f t="shared" si="51"/>
        <v>240</v>
      </c>
      <c r="L38" s="6">
        <f t="shared" si="51"/>
        <v>73</v>
      </c>
      <c r="M38" s="6">
        <f t="shared" si="39"/>
        <v>372</v>
      </c>
      <c r="N38" s="5">
        <f t="shared" si="5"/>
        <v>122.41935483870968</v>
      </c>
      <c r="O38" s="3">
        <f t="shared" si="40"/>
        <v>73</v>
      </c>
      <c r="P38" s="5">
        <f t="shared" si="41"/>
        <v>49.41935483870968</v>
      </c>
      <c r="Q38" s="5">
        <f t="shared" si="42"/>
        <v>50</v>
      </c>
      <c r="R38" s="7">
        <f t="shared" si="9"/>
        <v>741.93548387096769</v>
      </c>
      <c r="S38" s="6">
        <f t="shared" si="43"/>
        <v>466</v>
      </c>
      <c r="T38" s="7">
        <f t="shared" si="44"/>
        <v>275.93548387096769</v>
      </c>
      <c r="U38" s="7">
        <f t="shared" si="45"/>
        <v>489.67741935483872</v>
      </c>
      <c r="V38" s="6">
        <f t="shared" si="45"/>
        <v>251</v>
      </c>
      <c r="W38" s="7">
        <f t="shared" si="46"/>
        <v>238.67741935483872</v>
      </c>
      <c r="X38" s="7">
        <f t="shared" si="47"/>
        <v>2967.7419354838707</v>
      </c>
      <c r="Y38" s="7">
        <f t="shared" si="47"/>
        <v>1785.516129032258</v>
      </c>
      <c r="Z38" s="7">
        <f t="shared" si="48"/>
        <v>1182.2258064516127</v>
      </c>
      <c r="AA38" s="24">
        <f t="shared" si="49"/>
        <v>0.78152285413560019</v>
      </c>
      <c r="AB38" s="1"/>
    </row>
    <row r="39" spans="2:28" ht="18" x14ac:dyDescent="0.25">
      <c r="B39" s="3">
        <v>3</v>
      </c>
      <c r="C39" s="5">
        <f>C40+157</f>
        <v>278176</v>
      </c>
      <c r="D39" s="5">
        <f>D40+230</f>
        <v>591472</v>
      </c>
      <c r="E39" s="5">
        <f>E40+67</f>
        <v>143170</v>
      </c>
      <c r="F39" s="8">
        <f t="shared" si="50"/>
        <v>1012818</v>
      </c>
      <c r="G39" s="22">
        <f t="shared" si="36"/>
        <v>1012505.875</v>
      </c>
      <c r="H39" s="7">
        <f t="shared" si="37"/>
        <v>1012553.7916666666</v>
      </c>
      <c r="I39" s="5">
        <f>I40+368</f>
        <v>709449</v>
      </c>
      <c r="J39" s="6">
        <f t="shared" si="51"/>
        <v>157</v>
      </c>
      <c r="K39" s="6">
        <f t="shared" si="51"/>
        <v>230</v>
      </c>
      <c r="L39" s="6">
        <f t="shared" si="51"/>
        <v>67</v>
      </c>
      <c r="M39" s="6">
        <f t="shared" si="39"/>
        <v>368</v>
      </c>
      <c r="N39" s="5">
        <f t="shared" si="5"/>
        <v>122.41935483870968</v>
      </c>
      <c r="O39" s="3">
        <f t="shared" si="40"/>
        <v>67</v>
      </c>
      <c r="P39" s="5">
        <f t="shared" si="41"/>
        <v>55.41935483870968</v>
      </c>
      <c r="Q39" s="5">
        <f t="shared" si="42"/>
        <v>47.916666666627862</v>
      </c>
      <c r="R39" s="7">
        <f t="shared" si="9"/>
        <v>741.93548387096769</v>
      </c>
      <c r="S39" s="6">
        <f t="shared" si="43"/>
        <v>454</v>
      </c>
      <c r="T39" s="7">
        <f t="shared" si="44"/>
        <v>287.93548387096769</v>
      </c>
      <c r="U39" s="7">
        <f t="shared" si="45"/>
        <v>367.25806451612902</v>
      </c>
      <c r="V39" s="6">
        <f t="shared" si="45"/>
        <v>178</v>
      </c>
      <c r="W39" s="7">
        <f t="shared" si="46"/>
        <v>189.25806451612902</v>
      </c>
      <c r="X39" s="7">
        <f t="shared" si="47"/>
        <v>2225.8064516129029</v>
      </c>
      <c r="Y39" s="7">
        <f t="shared" si="47"/>
        <v>1319.516129032258</v>
      </c>
      <c r="Z39" s="7">
        <f t="shared" si="48"/>
        <v>906.2903225806449</v>
      </c>
      <c r="AA39" s="24">
        <f t="shared" si="49"/>
        <v>0.77684623598820013</v>
      </c>
      <c r="AB39" s="1"/>
    </row>
    <row r="40" spans="2:28" ht="18" x14ac:dyDescent="0.25">
      <c r="B40" s="3">
        <v>2</v>
      </c>
      <c r="C40" s="5">
        <f>C41+142</f>
        <v>278019</v>
      </c>
      <c r="D40" s="5">
        <f>D41+227</f>
        <v>591242</v>
      </c>
      <c r="E40" s="5">
        <f>E41+52</f>
        <v>143103</v>
      </c>
      <c r="F40" s="8">
        <f t="shared" si="50"/>
        <v>1012364</v>
      </c>
      <c r="G40" s="22">
        <f t="shared" si="36"/>
        <v>1012074.5625</v>
      </c>
      <c r="H40" s="7">
        <f t="shared" si="37"/>
        <v>1012121.8541666666</v>
      </c>
      <c r="I40" s="5">
        <f>I41+339</f>
        <v>709081</v>
      </c>
      <c r="J40" s="6">
        <f t="shared" si="51"/>
        <v>142</v>
      </c>
      <c r="K40" s="6">
        <f t="shared" si="51"/>
        <v>227</v>
      </c>
      <c r="L40" s="6">
        <f t="shared" si="51"/>
        <v>52</v>
      </c>
      <c r="M40" s="6">
        <f t="shared" si="39"/>
        <v>339</v>
      </c>
      <c r="N40" s="5">
        <f t="shared" si="5"/>
        <v>122.41935483870968</v>
      </c>
      <c r="O40" s="3">
        <f t="shared" si="40"/>
        <v>52</v>
      </c>
      <c r="P40" s="5">
        <f t="shared" si="41"/>
        <v>70.41935483870968</v>
      </c>
      <c r="Q40" s="5">
        <f t="shared" si="42"/>
        <v>47.291666666627862</v>
      </c>
      <c r="R40" s="7">
        <f>R41</f>
        <v>741.93548387096769</v>
      </c>
      <c r="S40" s="6">
        <f>J40+K40+L40</f>
        <v>421</v>
      </c>
      <c r="T40" s="7">
        <f t="shared" si="44"/>
        <v>320.93548387096769</v>
      </c>
      <c r="U40" s="7">
        <f t="shared" si="45"/>
        <v>244.83870967741936</v>
      </c>
      <c r="V40" s="6">
        <f t="shared" si="45"/>
        <v>111</v>
      </c>
      <c r="W40" s="7">
        <f t="shared" si="46"/>
        <v>133.83870967741936</v>
      </c>
      <c r="X40" s="7">
        <f t="shared" si="47"/>
        <v>1483.8709677419354</v>
      </c>
      <c r="Y40" s="7">
        <f t="shared" si="47"/>
        <v>865.51612903225805</v>
      </c>
      <c r="Z40" s="7">
        <f t="shared" si="48"/>
        <v>618.35483870967732</v>
      </c>
      <c r="AA40" s="24">
        <f t="shared" si="49"/>
        <v>0.77887942467327143</v>
      </c>
      <c r="AB40" s="1"/>
    </row>
    <row r="41" spans="2:28" ht="18.75" thickBot="1" x14ac:dyDescent="0.3">
      <c r="B41" s="3">
        <v>1</v>
      </c>
      <c r="C41" s="5">
        <f>C42+150</f>
        <v>277877</v>
      </c>
      <c r="D41" s="5">
        <f>D42+220</f>
        <v>591015</v>
      </c>
      <c r="E41" s="5">
        <f>E42+59</f>
        <v>143051</v>
      </c>
      <c r="F41" s="8">
        <f t="shared" si="50"/>
        <v>1011943</v>
      </c>
      <c r="G41" s="22">
        <f t="shared" si="36"/>
        <v>1011652.9112903225</v>
      </c>
      <c r="H41" s="7">
        <f t="shared" si="37"/>
        <v>1011698.7446236559</v>
      </c>
      <c r="I41" s="5">
        <f>I42+334</f>
        <v>708742</v>
      </c>
      <c r="J41" s="6">
        <f t="shared" si="51"/>
        <v>150</v>
      </c>
      <c r="K41" s="6">
        <f t="shared" si="51"/>
        <v>220</v>
      </c>
      <c r="L41" s="6">
        <f t="shared" si="51"/>
        <v>59</v>
      </c>
      <c r="M41" s="6">
        <f t="shared" si="39"/>
        <v>334</v>
      </c>
      <c r="N41" s="43">
        <f>O6/31</f>
        <v>122.41935483870968</v>
      </c>
      <c r="O41" s="3">
        <f t="shared" si="40"/>
        <v>59</v>
      </c>
      <c r="P41" s="5">
        <f t="shared" si="41"/>
        <v>63.41935483870968</v>
      </c>
      <c r="Q41" s="5">
        <f t="shared" si="42"/>
        <v>45.833333333372138</v>
      </c>
      <c r="R41" s="45">
        <f>S6/31</f>
        <v>741.93548387096769</v>
      </c>
      <c r="S41" s="7">
        <f>J41+K41+L41+V6</f>
        <v>444.51612903225805</v>
      </c>
      <c r="T41" s="7">
        <f t="shared" si="44"/>
        <v>297.41935483870964</v>
      </c>
      <c r="U41" s="7">
        <f>N41</f>
        <v>122.41935483870968</v>
      </c>
      <c r="V41" s="6">
        <f>O41</f>
        <v>59</v>
      </c>
      <c r="W41" s="7">
        <f t="shared" si="46"/>
        <v>63.41935483870968</v>
      </c>
      <c r="X41" s="7">
        <f>R41</f>
        <v>741.93548387096769</v>
      </c>
      <c r="Y41" s="7">
        <f>S41</f>
        <v>444.51612903225805</v>
      </c>
      <c r="Z41" s="7">
        <f t="shared" si="48"/>
        <v>297.41935483870964</v>
      </c>
      <c r="AA41" s="56">
        <f t="shared" si="49"/>
        <v>0.79947057633106899</v>
      </c>
      <c r="AB41" s="1"/>
    </row>
    <row r="42" spans="2:28" ht="54.75" thickBot="1" x14ac:dyDescent="0.3">
      <c r="B42" s="33" t="s">
        <v>13</v>
      </c>
      <c r="C42" s="3">
        <v>277727</v>
      </c>
      <c r="D42" s="3">
        <v>590795</v>
      </c>
      <c r="E42" s="3">
        <v>142992</v>
      </c>
      <c r="F42" s="8">
        <v>1011514</v>
      </c>
      <c r="G42" s="53">
        <v>1011272.3333333334</v>
      </c>
      <c r="H42" s="9">
        <v>1011310.4583333334</v>
      </c>
      <c r="I42" s="3">
        <v>708408</v>
      </c>
      <c r="J42" s="10"/>
      <c r="K42" s="10"/>
      <c r="L42" s="10"/>
      <c r="M42" s="44">
        <f>SUM(M11:M41)</f>
        <v>10158</v>
      </c>
      <c r="N42" s="10" t="s">
        <v>39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7">
        <f>AVERAGE(AA11:AA41)</f>
        <v>0.83264466528787406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2:28" ht="18" x14ac:dyDescent="0.25">
      <c r="Z46" s="10"/>
    </row>
    <row r="47" spans="2:28" ht="18" x14ac:dyDescent="0.25">
      <c r="Z47" s="10" t="s">
        <v>38</v>
      </c>
    </row>
    <row r="48" spans="2:28" ht="18" x14ac:dyDescent="0.25">
      <c r="Z48" s="10" t="s">
        <v>44</v>
      </c>
      <c r="AA48" s="10"/>
    </row>
    <row r="49" spans="26:27" ht="18" x14ac:dyDescent="0.25">
      <c r="Z49" s="10" t="s">
        <v>45</v>
      </c>
      <c r="AA49" s="10"/>
    </row>
    <row r="50" spans="26:27" ht="18" x14ac:dyDescent="0.25">
      <c r="Z50" s="10" t="s">
        <v>12</v>
      </c>
      <c r="AA50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B1:AB52"/>
  <sheetViews>
    <sheetView topLeftCell="K1" zoomScale="85" zoomScaleNormal="85" zoomScaleSheetLayoutView="85" workbookViewId="0">
      <pane ySplit="8" topLeftCell="A27" activePane="bottomLeft" state="frozen"/>
      <selection pane="bottomLeft" activeCell="U6" sqref="U6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4.42578125" customWidth="1"/>
    <col min="5" max="5" width="11.42578125" customWidth="1"/>
    <col min="7" max="7" width="12.28515625" bestFit="1" customWidth="1"/>
    <col min="16" max="16" width="13.42578125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1" spans="2:28" x14ac:dyDescent="0.25">
      <c r="D1" s="35"/>
    </row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'Cocina C'!N4</f>
        <v>45658</v>
      </c>
    </row>
    <row r="5" spans="2:28" ht="18.75" x14ac:dyDescent="0.3">
      <c r="B5" s="15"/>
      <c r="C5" s="81" t="s">
        <v>32</v>
      </c>
      <c r="D5" s="81"/>
      <c r="E5" s="81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 t="s">
        <v>42</v>
      </c>
      <c r="V5" s="15" t="s">
        <v>43</v>
      </c>
      <c r="W5" s="15"/>
    </row>
    <row r="6" spans="2:28" ht="18.75" x14ac:dyDescent="0.3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3" t="s">
        <v>27</v>
      </c>
      <c r="O6" s="37">
        <f>S6*16.5%</f>
        <v>4620</v>
      </c>
      <c r="P6" s="38" t="s">
        <v>26</v>
      </c>
      <c r="Q6" s="37">
        <f>(S6*8)/100</f>
        <v>2240</v>
      </c>
      <c r="R6" s="15" t="s">
        <v>25</v>
      </c>
      <c r="S6" s="12">
        <v>28000</v>
      </c>
      <c r="T6" s="15" t="s">
        <v>41</v>
      </c>
      <c r="U6" s="49">
        <v>1079</v>
      </c>
      <c r="V6" s="50">
        <f>U6/31</f>
        <v>34.806451612903224</v>
      </c>
      <c r="W6" s="15"/>
    </row>
    <row r="7" spans="2:28" ht="46.5" customHeight="1" x14ac:dyDescent="0.25">
      <c r="B7" s="80" t="s">
        <v>24</v>
      </c>
      <c r="C7" s="78" t="s">
        <v>9</v>
      </c>
      <c r="D7" s="78"/>
      <c r="E7" s="78"/>
      <c r="F7" s="78"/>
      <c r="G7" s="78"/>
      <c r="H7" s="78"/>
      <c r="I7" s="78"/>
      <c r="J7" s="78" t="s">
        <v>23</v>
      </c>
      <c r="K7" s="78"/>
      <c r="L7" s="78"/>
      <c r="M7" s="78"/>
      <c r="N7" s="78" t="s">
        <v>22</v>
      </c>
      <c r="O7" s="78"/>
      <c r="P7" s="78"/>
      <c r="Q7" s="79" t="s">
        <v>21</v>
      </c>
      <c r="R7" s="78" t="s">
        <v>20</v>
      </c>
      <c r="S7" s="78"/>
      <c r="T7" s="78"/>
      <c r="U7" s="78" t="s">
        <v>10</v>
      </c>
      <c r="V7" s="78"/>
      <c r="W7" s="78"/>
      <c r="X7" s="78" t="s">
        <v>11</v>
      </c>
      <c r="Y7" s="78"/>
      <c r="Z7" s="78"/>
      <c r="AA7" s="78"/>
      <c r="AB7" s="79" t="s">
        <v>8</v>
      </c>
    </row>
    <row r="8" spans="2:28" s="70" customFormat="1" ht="30" x14ac:dyDescent="0.25">
      <c r="B8" s="80"/>
      <c r="C8" s="69" t="s">
        <v>1</v>
      </c>
      <c r="D8" s="69" t="s">
        <v>0</v>
      </c>
      <c r="E8" s="69" t="s">
        <v>2</v>
      </c>
      <c r="F8" s="69" t="s">
        <v>19</v>
      </c>
      <c r="G8" s="69" t="s">
        <v>18</v>
      </c>
      <c r="H8" s="69" t="s">
        <v>17</v>
      </c>
      <c r="I8" s="69" t="s">
        <v>3</v>
      </c>
      <c r="J8" s="69" t="s">
        <v>1</v>
      </c>
      <c r="K8" s="69" t="s">
        <v>0</v>
      </c>
      <c r="L8" s="69" t="s">
        <v>2</v>
      </c>
      <c r="M8" s="69" t="s">
        <v>3</v>
      </c>
      <c r="N8" s="69" t="s">
        <v>4</v>
      </c>
      <c r="O8" s="69" t="s">
        <v>5</v>
      </c>
      <c r="P8" s="69" t="s">
        <v>16</v>
      </c>
      <c r="Q8" s="79"/>
      <c r="R8" s="69" t="s">
        <v>6</v>
      </c>
      <c r="S8" s="69" t="s">
        <v>15</v>
      </c>
      <c r="T8" s="69" t="s">
        <v>16</v>
      </c>
      <c r="U8" s="69" t="s">
        <v>4</v>
      </c>
      <c r="V8" s="69" t="s">
        <v>5</v>
      </c>
      <c r="W8" s="69" t="s">
        <v>16</v>
      </c>
      <c r="X8" s="69" t="s">
        <v>6</v>
      </c>
      <c r="Y8" s="69" t="s">
        <v>15</v>
      </c>
      <c r="Z8" s="31" t="s">
        <v>14</v>
      </c>
      <c r="AA8" s="69" t="s">
        <v>7</v>
      </c>
      <c r="AB8" s="7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>
        <v>31</v>
      </c>
      <c r="C11" s="60">
        <v>244947</v>
      </c>
      <c r="D11" s="60">
        <v>538685</v>
      </c>
      <c r="E11" s="60">
        <v>119674</v>
      </c>
      <c r="F11" s="61">
        <f t="shared" ref="F11" si="0">C11+D11+E11</f>
        <v>903306</v>
      </c>
      <c r="G11" s="62">
        <f t="shared" ref="G11" si="1">(C12+D12+E12)+((S11/24)*9.5)</f>
        <v>903248.60416666663</v>
      </c>
      <c r="H11" s="60">
        <f t="shared" ref="H11" si="2">G11+((K11/12)*2.5)</f>
        <v>903248.60416666663</v>
      </c>
      <c r="I11" s="60">
        <v>98988</v>
      </c>
      <c r="J11" s="63">
        <f t="shared" ref="J11:L11" si="3">C11-C12</f>
        <v>95</v>
      </c>
      <c r="K11" s="63">
        <f t="shared" si="3"/>
        <v>0</v>
      </c>
      <c r="L11" s="63">
        <f t="shared" si="3"/>
        <v>0</v>
      </c>
      <c r="M11" s="63">
        <f t="shared" ref="M11" si="4">I11-I12</f>
        <v>18</v>
      </c>
      <c r="N11" s="64">
        <f t="shared" ref="N11" si="5">N12</f>
        <v>149.03225806451613</v>
      </c>
      <c r="O11" s="65">
        <f t="shared" ref="O11" si="6">L11</f>
        <v>0</v>
      </c>
      <c r="P11" s="64">
        <f t="shared" ref="P11" si="7">N11-O11</f>
        <v>149.03225806451613</v>
      </c>
      <c r="Q11" s="64">
        <f t="shared" ref="Q11" si="8">H11-G11</f>
        <v>0</v>
      </c>
      <c r="R11" s="60">
        <f t="shared" ref="R11" si="9">R12</f>
        <v>903.22580645161293</v>
      </c>
      <c r="S11" s="63">
        <f t="shared" ref="S11" si="10">J11+K11+L11</f>
        <v>95</v>
      </c>
      <c r="T11" s="60">
        <f t="shared" ref="T11" si="11">R11-S11</f>
        <v>808.22580645161293</v>
      </c>
      <c r="U11" s="60">
        <f t="shared" ref="U11:V11" si="12">U12+N11</f>
        <v>4620</v>
      </c>
      <c r="V11" s="60">
        <f t="shared" si="12"/>
        <v>1679</v>
      </c>
      <c r="W11" s="60">
        <f t="shared" ref="W11" si="13">U11-V11</f>
        <v>2941</v>
      </c>
      <c r="X11" s="60">
        <f t="shared" ref="X11:Y11" si="14">X12+R11</f>
        <v>28000.000000000015</v>
      </c>
      <c r="Y11" s="60">
        <f t="shared" si="14"/>
        <v>11473</v>
      </c>
      <c r="Z11" s="60">
        <f t="shared" ref="Z11" si="15">X11-Y11</f>
        <v>16527.000000000015</v>
      </c>
      <c r="AA11" s="66">
        <f t="shared" ref="AA11" si="16">COS(ATAN(M11/S11))</f>
        <v>0.98251915352665919</v>
      </c>
      <c r="AB11" s="67"/>
    </row>
    <row r="12" spans="2:28" ht="18" x14ac:dyDescent="0.25">
      <c r="B12" s="3">
        <v>30</v>
      </c>
      <c r="C12" s="5">
        <f>C13+98</f>
        <v>244852</v>
      </c>
      <c r="D12" s="5">
        <v>538685</v>
      </c>
      <c r="E12" s="5">
        <v>119674</v>
      </c>
      <c r="F12" s="9">
        <f t="shared" ref="F12" si="17">C12+D12+E12</f>
        <v>903211</v>
      </c>
      <c r="G12" s="22">
        <f t="shared" ref="G12:G40" si="18">(C13+D13+E13)+((S12/24)*3)</f>
        <v>903125.25</v>
      </c>
      <c r="H12" s="7">
        <f t="shared" ref="H12:H40" si="19">G12+((K12/12)*2.5)</f>
        <v>903125.25</v>
      </c>
      <c r="I12" s="5">
        <f>I13+21</f>
        <v>98970</v>
      </c>
      <c r="J12" s="6">
        <f t="shared" ref="J12" si="20">C12-C13</f>
        <v>98</v>
      </c>
      <c r="K12" s="6">
        <f t="shared" ref="K12" si="21">D12-D13</f>
        <v>0</v>
      </c>
      <c r="L12" s="6">
        <f t="shared" ref="L12" si="22">E12-E13</f>
        <v>0</v>
      </c>
      <c r="M12" s="6">
        <f t="shared" ref="M12" si="23">I12-I13</f>
        <v>21</v>
      </c>
      <c r="N12" s="5">
        <f t="shared" ref="N12:N40" si="24">N13</f>
        <v>149.03225806451613</v>
      </c>
      <c r="O12" s="23">
        <f t="shared" ref="O12" si="25">L12</f>
        <v>0</v>
      </c>
      <c r="P12" s="5">
        <f t="shared" ref="P12" si="26">N12-O12</f>
        <v>149.03225806451613</v>
      </c>
      <c r="Q12" s="5">
        <f t="shared" ref="Q12" si="27">H12-G12</f>
        <v>0</v>
      </c>
      <c r="R12" s="7">
        <f t="shared" ref="R12:R39" si="28">R13</f>
        <v>903.22580645161293</v>
      </c>
      <c r="S12" s="6">
        <f t="shared" ref="S12" si="29">J12+K12+L12</f>
        <v>98</v>
      </c>
      <c r="T12" s="7">
        <f t="shared" ref="T12" si="30">R12-S12</f>
        <v>805.22580645161293</v>
      </c>
      <c r="U12" s="7">
        <f t="shared" ref="U12" si="31">U13+N12</f>
        <v>4470.9677419354839</v>
      </c>
      <c r="V12" s="7">
        <f t="shared" ref="V12" si="32">V13+O12</f>
        <v>1679</v>
      </c>
      <c r="W12" s="7">
        <f t="shared" ref="W12" si="33">U12-V12</f>
        <v>2791.9677419354839</v>
      </c>
      <c r="X12" s="7">
        <f t="shared" ref="X12" si="34">X13+R12</f>
        <v>27096.774193548401</v>
      </c>
      <c r="Y12" s="7">
        <f t="shared" ref="Y12" si="35">Y13+S12</f>
        <v>11378</v>
      </c>
      <c r="Z12" s="7">
        <f t="shared" ref="Z12" si="36">X12-Y12</f>
        <v>15718.774193548401</v>
      </c>
      <c r="AA12" s="24">
        <f t="shared" ref="AA12" si="37">COS(ATAN(M12/S12))</f>
        <v>0.97780241407740953</v>
      </c>
      <c r="AB12" s="25"/>
    </row>
    <row r="13" spans="2:28" ht="18" x14ac:dyDescent="0.25">
      <c r="B13" s="3">
        <v>29</v>
      </c>
      <c r="C13" s="5">
        <f>C14+102</f>
        <v>244754</v>
      </c>
      <c r="D13" s="5">
        <v>538685</v>
      </c>
      <c r="E13" s="5">
        <f>E14+34</f>
        <v>119674</v>
      </c>
      <c r="F13" s="9">
        <f>C13+D13+E13</f>
        <v>903113</v>
      </c>
      <c r="G13" s="22">
        <f t="shared" si="18"/>
        <v>902926.625</v>
      </c>
      <c r="H13" s="7">
        <f t="shared" si="19"/>
        <v>902942.66666666663</v>
      </c>
      <c r="I13" s="5">
        <f>I14+23</f>
        <v>98949</v>
      </c>
      <c r="J13" s="6">
        <f t="shared" ref="J13:J40" si="38">C13-C14</f>
        <v>102</v>
      </c>
      <c r="K13" s="6">
        <f t="shared" ref="K13:K40" si="39">D13-D14</f>
        <v>77</v>
      </c>
      <c r="L13" s="6">
        <f t="shared" ref="L13:L40" si="40">E13-E14</f>
        <v>34</v>
      </c>
      <c r="M13" s="6">
        <f t="shared" ref="M13:M40" si="41">I13-I14</f>
        <v>23</v>
      </c>
      <c r="N13" s="5">
        <f t="shared" si="24"/>
        <v>149.03225806451613</v>
      </c>
      <c r="O13" s="23">
        <f t="shared" ref="O13:O41" si="42">L13</f>
        <v>34</v>
      </c>
      <c r="P13" s="5">
        <f t="shared" ref="P13:P41" si="43">N13-O13</f>
        <v>115.03225806451613</v>
      </c>
      <c r="Q13" s="5">
        <f t="shared" ref="Q13:Q41" si="44">H13-G13</f>
        <v>16.041666666627862</v>
      </c>
      <c r="R13" s="7">
        <f t="shared" si="28"/>
        <v>903.22580645161293</v>
      </c>
      <c r="S13" s="6">
        <f t="shared" ref="S13:S41" si="45">J13+K13+L13</f>
        <v>213</v>
      </c>
      <c r="T13" s="7">
        <f t="shared" ref="T13:T41" si="46">R13-S13</f>
        <v>690.22580645161293</v>
      </c>
      <c r="U13" s="7">
        <f t="shared" ref="U13:U40" si="47">U14+N13</f>
        <v>4321.9354838709678</v>
      </c>
      <c r="V13" s="7">
        <f t="shared" ref="V13:V40" si="48">V14+O13</f>
        <v>1679</v>
      </c>
      <c r="W13" s="7">
        <f t="shared" ref="W13:W41" si="49">U13-V13</f>
        <v>2642.9354838709678</v>
      </c>
      <c r="X13" s="7">
        <f t="shared" ref="X13:X40" si="50">X14+R13</f>
        <v>26193.548387096787</v>
      </c>
      <c r="Y13" s="7">
        <f t="shared" ref="Y13:Y40" si="51">Y14+S13</f>
        <v>11280</v>
      </c>
      <c r="Z13" s="7">
        <f t="shared" ref="Z13:Z41" si="52">X13-Y13</f>
        <v>14913.548387096787</v>
      </c>
      <c r="AA13" s="24">
        <f t="shared" ref="AA13:AA41" si="53">COS(ATAN(M13/S13))</f>
        <v>0.99422052047363418</v>
      </c>
      <c r="AB13" s="25"/>
    </row>
    <row r="14" spans="2:28" ht="18" x14ac:dyDescent="0.25">
      <c r="B14" s="3">
        <v>28</v>
      </c>
      <c r="C14" s="5">
        <f>C15+216</f>
        <v>244652</v>
      </c>
      <c r="D14" s="5">
        <f>D15+352</f>
        <v>538608</v>
      </c>
      <c r="E14" s="5">
        <f>E15+92</f>
        <v>119640</v>
      </c>
      <c r="F14" s="8">
        <f t="shared" ref="F14:F41" si="54">C14+D14+E14</f>
        <v>902900</v>
      </c>
      <c r="G14" s="22">
        <f t="shared" si="18"/>
        <v>902322.5</v>
      </c>
      <c r="H14" s="7">
        <f t="shared" si="19"/>
        <v>902395.83333333337</v>
      </c>
      <c r="I14" s="5">
        <f>I15+68</f>
        <v>98926</v>
      </c>
      <c r="J14" s="6">
        <f t="shared" si="38"/>
        <v>216</v>
      </c>
      <c r="K14" s="6">
        <f t="shared" si="39"/>
        <v>352</v>
      </c>
      <c r="L14" s="6">
        <f t="shared" si="40"/>
        <v>92</v>
      </c>
      <c r="M14" s="6">
        <f t="shared" si="41"/>
        <v>68</v>
      </c>
      <c r="N14" s="5">
        <f t="shared" si="24"/>
        <v>149.03225806451613</v>
      </c>
      <c r="O14" s="23">
        <f t="shared" si="42"/>
        <v>92</v>
      </c>
      <c r="P14" s="5">
        <f t="shared" si="43"/>
        <v>57.032258064516128</v>
      </c>
      <c r="Q14" s="5">
        <f t="shared" si="44"/>
        <v>73.333333333372138</v>
      </c>
      <c r="R14" s="7">
        <f t="shared" si="28"/>
        <v>903.22580645161293</v>
      </c>
      <c r="S14" s="6">
        <f t="shared" si="45"/>
        <v>660</v>
      </c>
      <c r="T14" s="7">
        <f t="shared" si="46"/>
        <v>243.22580645161293</v>
      </c>
      <c r="U14" s="7">
        <f t="shared" si="47"/>
        <v>4172.9032258064517</v>
      </c>
      <c r="V14" s="7">
        <f t="shared" si="48"/>
        <v>1645</v>
      </c>
      <c r="W14" s="7">
        <f t="shared" si="49"/>
        <v>2527.9032258064517</v>
      </c>
      <c r="X14" s="7">
        <f t="shared" si="50"/>
        <v>25290.322580645174</v>
      </c>
      <c r="Y14" s="7">
        <f t="shared" si="51"/>
        <v>11067</v>
      </c>
      <c r="Z14" s="7">
        <f t="shared" si="52"/>
        <v>14223.322580645174</v>
      </c>
      <c r="AA14" s="24">
        <f t="shared" si="53"/>
        <v>0.99473426423907862</v>
      </c>
      <c r="AB14" s="25"/>
    </row>
    <row r="15" spans="2:28" ht="18" x14ac:dyDescent="0.25">
      <c r="B15" s="3">
        <v>27</v>
      </c>
      <c r="C15" s="5">
        <v>244436</v>
      </c>
      <c r="D15" s="5">
        <v>538256</v>
      </c>
      <c r="E15" s="5">
        <v>119548</v>
      </c>
      <c r="F15" s="8">
        <f t="shared" si="54"/>
        <v>902240</v>
      </c>
      <c r="G15" s="22">
        <f t="shared" si="18"/>
        <v>901656.375</v>
      </c>
      <c r="H15" s="7">
        <f t="shared" si="19"/>
        <v>901732.625</v>
      </c>
      <c r="I15" s="5">
        <v>98858</v>
      </c>
      <c r="J15" s="6">
        <f t="shared" si="38"/>
        <v>208</v>
      </c>
      <c r="K15" s="6">
        <f t="shared" si="39"/>
        <v>366</v>
      </c>
      <c r="L15" s="6">
        <f t="shared" si="40"/>
        <v>93</v>
      </c>
      <c r="M15" s="7">
        <f>I15-I16</f>
        <v>67</v>
      </c>
      <c r="N15" s="5">
        <f t="shared" si="24"/>
        <v>149.03225806451613</v>
      </c>
      <c r="O15" s="23">
        <f t="shared" si="42"/>
        <v>93</v>
      </c>
      <c r="P15" s="5">
        <f t="shared" si="43"/>
        <v>56.032258064516128</v>
      </c>
      <c r="Q15" s="5">
        <f t="shared" si="44"/>
        <v>76.25</v>
      </c>
      <c r="R15" s="7">
        <f t="shared" si="28"/>
        <v>903.22580645161293</v>
      </c>
      <c r="S15" s="6">
        <f t="shared" si="45"/>
        <v>667</v>
      </c>
      <c r="T15" s="7">
        <f t="shared" si="46"/>
        <v>236.22580645161293</v>
      </c>
      <c r="U15" s="7">
        <f t="shared" si="47"/>
        <v>4023.8709677419351</v>
      </c>
      <c r="V15" s="7">
        <f t="shared" si="48"/>
        <v>1553</v>
      </c>
      <c r="W15" s="7">
        <f t="shared" si="49"/>
        <v>2470.8709677419351</v>
      </c>
      <c r="X15" s="7">
        <f t="shared" si="50"/>
        <v>24387.09677419356</v>
      </c>
      <c r="Y15" s="7">
        <f t="shared" si="51"/>
        <v>10407</v>
      </c>
      <c r="Z15" s="7">
        <f t="shared" si="52"/>
        <v>13980.09677419356</v>
      </c>
      <c r="AA15" s="24">
        <f t="shared" si="53"/>
        <v>0.99499278234810129</v>
      </c>
      <c r="AB15" s="25"/>
    </row>
    <row r="16" spans="2:28" ht="18" x14ac:dyDescent="0.25">
      <c r="B16" s="3">
        <v>26</v>
      </c>
      <c r="C16" s="5">
        <f>C17+209</f>
        <v>244228</v>
      </c>
      <c r="D16" s="5">
        <f>D17+335</f>
        <v>537890</v>
      </c>
      <c r="E16" s="5">
        <f>E17+90</f>
        <v>119455</v>
      </c>
      <c r="F16" s="8">
        <f t="shared" si="54"/>
        <v>901573</v>
      </c>
      <c r="G16" s="22">
        <f t="shared" si="18"/>
        <v>901018.25</v>
      </c>
      <c r="H16" s="7">
        <f t="shared" si="19"/>
        <v>901088.04166666663</v>
      </c>
      <c r="I16" s="5">
        <f>I17+62</f>
        <v>98791</v>
      </c>
      <c r="J16" s="6">
        <f t="shared" si="38"/>
        <v>209</v>
      </c>
      <c r="K16" s="6">
        <f t="shared" si="39"/>
        <v>335</v>
      </c>
      <c r="L16" s="6">
        <f t="shared" si="40"/>
        <v>90</v>
      </c>
      <c r="M16" s="6">
        <f t="shared" si="41"/>
        <v>62</v>
      </c>
      <c r="N16" s="5">
        <f t="shared" si="24"/>
        <v>149.03225806451613</v>
      </c>
      <c r="O16" s="23">
        <f t="shared" si="42"/>
        <v>90</v>
      </c>
      <c r="P16" s="5">
        <f t="shared" si="43"/>
        <v>59.032258064516128</v>
      </c>
      <c r="Q16" s="5">
        <f t="shared" si="44"/>
        <v>69.791666666627862</v>
      </c>
      <c r="R16" s="7">
        <f t="shared" si="28"/>
        <v>903.22580645161293</v>
      </c>
      <c r="S16" s="6">
        <f t="shared" si="45"/>
        <v>634</v>
      </c>
      <c r="T16" s="7">
        <f t="shared" si="46"/>
        <v>269.22580645161293</v>
      </c>
      <c r="U16" s="7">
        <f t="shared" si="47"/>
        <v>3874.838709677419</v>
      </c>
      <c r="V16" s="7">
        <f t="shared" si="48"/>
        <v>1460</v>
      </c>
      <c r="W16" s="7">
        <f t="shared" si="49"/>
        <v>2414.838709677419</v>
      </c>
      <c r="X16" s="7">
        <f t="shared" si="50"/>
        <v>23483.870967741947</v>
      </c>
      <c r="Y16" s="7">
        <f t="shared" si="51"/>
        <v>9740</v>
      </c>
      <c r="Z16" s="7">
        <f t="shared" si="52"/>
        <v>13743.870967741947</v>
      </c>
      <c r="AA16" s="24">
        <f t="shared" si="53"/>
        <v>0.99525240686774896</v>
      </c>
      <c r="AB16" s="25"/>
    </row>
    <row r="17" spans="2:28" ht="18" x14ac:dyDescent="0.25">
      <c r="B17" s="3">
        <v>25</v>
      </c>
      <c r="C17" s="5">
        <f>C18+205</f>
        <v>244019</v>
      </c>
      <c r="D17" s="5">
        <f>D18+305</f>
        <v>537555</v>
      </c>
      <c r="E17" s="5">
        <f>E18+88</f>
        <v>119365</v>
      </c>
      <c r="F17" s="8">
        <f t="shared" si="54"/>
        <v>900939</v>
      </c>
      <c r="G17" s="22">
        <f t="shared" si="18"/>
        <v>900415.75</v>
      </c>
      <c r="H17" s="7">
        <f t="shared" si="19"/>
        <v>900479.29166666663</v>
      </c>
      <c r="I17" s="5">
        <f>I18+65</f>
        <v>98729</v>
      </c>
      <c r="J17" s="6">
        <f t="shared" si="38"/>
        <v>205</v>
      </c>
      <c r="K17" s="6">
        <f t="shared" si="39"/>
        <v>305</v>
      </c>
      <c r="L17" s="6">
        <f t="shared" si="40"/>
        <v>88</v>
      </c>
      <c r="M17" s="6">
        <f t="shared" si="41"/>
        <v>65</v>
      </c>
      <c r="N17" s="5">
        <f t="shared" si="24"/>
        <v>149.03225806451613</v>
      </c>
      <c r="O17" s="23">
        <f t="shared" si="42"/>
        <v>88</v>
      </c>
      <c r="P17" s="5">
        <f t="shared" si="43"/>
        <v>61.032258064516128</v>
      </c>
      <c r="Q17" s="5">
        <f t="shared" si="44"/>
        <v>63.541666666627862</v>
      </c>
      <c r="R17" s="7">
        <f t="shared" si="28"/>
        <v>903.22580645161293</v>
      </c>
      <c r="S17" s="6">
        <f t="shared" si="45"/>
        <v>598</v>
      </c>
      <c r="T17" s="7">
        <f t="shared" si="46"/>
        <v>305.22580645161293</v>
      </c>
      <c r="U17" s="7">
        <f t="shared" si="47"/>
        <v>3725.8064516129029</v>
      </c>
      <c r="V17" s="7">
        <f t="shared" si="48"/>
        <v>1370</v>
      </c>
      <c r="W17" s="7">
        <f t="shared" si="49"/>
        <v>2355.8064516129029</v>
      </c>
      <c r="X17" s="7">
        <f t="shared" si="50"/>
        <v>22580.645161290333</v>
      </c>
      <c r="Y17" s="7">
        <f t="shared" si="51"/>
        <v>9106</v>
      </c>
      <c r="Z17" s="7">
        <f t="shared" si="52"/>
        <v>13474.645161290333</v>
      </c>
      <c r="AA17" s="24">
        <f t="shared" si="53"/>
        <v>0.99414446306945659</v>
      </c>
      <c r="AB17" s="25"/>
    </row>
    <row r="18" spans="2:28" ht="18" x14ac:dyDescent="0.25">
      <c r="B18" s="3">
        <v>24</v>
      </c>
      <c r="C18" s="5">
        <f t="shared" ref="C18" si="55">C19+203</f>
        <v>243814</v>
      </c>
      <c r="D18" s="5">
        <f>D19+290</f>
        <v>537250</v>
      </c>
      <c r="E18" s="5">
        <f>E19+83</f>
        <v>119277</v>
      </c>
      <c r="F18" s="8">
        <f t="shared" si="54"/>
        <v>900341</v>
      </c>
      <c r="G18" s="22">
        <f t="shared" si="18"/>
        <v>899837</v>
      </c>
      <c r="H18" s="7">
        <f t="shared" si="19"/>
        <v>899897.41666666663</v>
      </c>
      <c r="I18" s="5">
        <f>I19+60</f>
        <v>98664</v>
      </c>
      <c r="J18" s="6">
        <f t="shared" si="38"/>
        <v>203</v>
      </c>
      <c r="K18" s="6">
        <f t="shared" si="39"/>
        <v>290</v>
      </c>
      <c r="L18" s="6">
        <f t="shared" si="40"/>
        <v>83</v>
      </c>
      <c r="M18" s="6">
        <f t="shared" si="41"/>
        <v>60</v>
      </c>
      <c r="N18" s="5">
        <f t="shared" si="24"/>
        <v>149.03225806451613</v>
      </c>
      <c r="O18" s="23">
        <f t="shared" si="42"/>
        <v>83</v>
      </c>
      <c r="P18" s="5">
        <f t="shared" si="43"/>
        <v>66.032258064516128</v>
      </c>
      <c r="Q18" s="5">
        <f t="shared" si="44"/>
        <v>60.416666666627862</v>
      </c>
      <c r="R18" s="7">
        <f t="shared" si="28"/>
        <v>903.22580645161293</v>
      </c>
      <c r="S18" s="6">
        <f t="shared" si="45"/>
        <v>576</v>
      </c>
      <c r="T18" s="7">
        <f t="shared" si="46"/>
        <v>327.22580645161293</v>
      </c>
      <c r="U18" s="7">
        <f t="shared" si="47"/>
        <v>3576.7741935483868</v>
      </c>
      <c r="V18" s="7">
        <f t="shared" si="48"/>
        <v>1282</v>
      </c>
      <c r="W18" s="7">
        <f t="shared" si="49"/>
        <v>2294.7741935483868</v>
      </c>
      <c r="X18" s="7">
        <f t="shared" si="50"/>
        <v>21677.419354838719</v>
      </c>
      <c r="Y18" s="7">
        <f t="shared" si="51"/>
        <v>8508</v>
      </c>
      <c r="Z18" s="7">
        <f t="shared" si="52"/>
        <v>13169.419354838719</v>
      </c>
      <c r="AA18" s="24">
        <f t="shared" si="53"/>
        <v>0.99461840889077779</v>
      </c>
      <c r="AB18" s="25"/>
    </row>
    <row r="19" spans="2:28" ht="18" x14ac:dyDescent="0.25">
      <c r="B19" s="3">
        <v>23</v>
      </c>
      <c r="C19" s="5">
        <f>C20+190</f>
        <v>243611</v>
      </c>
      <c r="D19" s="5">
        <f>D20+210</f>
        <v>536960</v>
      </c>
      <c r="E19" s="5">
        <f>E20+76</f>
        <v>119194</v>
      </c>
      <c r="F19" s="8">
        <f t="shared" si="54"/>
        <v>899765</v>
      </c>
      <c r="G19" s="22">
        <f t="shared" si="18"/>
        <v>899348.5</v>
      </c>
      <c r="H19" s="7">
        <f t="shared" si="19"/>
        <v>899392.25</v>
      </c>
      <c r="I19" s="5">
        <f>I20+51</f>
        <v>98604</v>
      </c>
      <c r="J19" s="6">
        <f t="shared" si="38"/>
        <v>190</v>
      </c>
      <c r="K19" s="6">
        <f t="shared" si="39"/>
        <v>210</v>
      </c>
      <c r="L19" s="6">
        <f t="shared" si="40"/>
        <v>76</v>
      </c>
      <c r="M19" s="6">
        <f t="shared" si="41"/>
        <v>51</v>
      </c>
      <c r="N19" s="5">
        <f t="shared" si="24"/>
        <v>149.03225806451613</v>
      </c>
      <c r="O19" s="3">
        <f t="shared" si="42"/>
        <v>76</v>
      </c>
      <c r="P19" s="5">
        <f t="shared" si="43"/>
        <v>73.032258064516128</v>
      </c>
      <c r="Q19" s="5">
        <f t="shared" si="44"/>
        <v>43.75</v>
      </c>
      <c r="R19" s="7">
        <f t="shared" si="28"/>
        <v>903.22580645161293</v>
      </c>
      <c r="S19" s="6">
        <f t="shared" si="45"/>
        <v>476</v>
      </c>
      <c r="T19" s="7">
        <f t="shared" si="46"/>
        <v>427.22580645161293</v>
      </c>
      <c r="U19" s="7">
        <f t="shared" si="47"/>
        <v>3427.7419354838707</v>
      </c>
      <c r="V19" s="7">
        <f t="shared" si="48"/>
        <v>1199</v>
      </c>
      <c r="W19" s="7">
        <f t="shared" si="49"/>
        <v>2228.7419354838707</v>
      </c>
      <c r="X19" s="7">
        <f t="shared" si="50"/>
        <v>20774.193548387106</v>
      </c>
      <c r="Y19" s="7">
        <f t="shared" si="51"/>
        <v>7932</v>
      </c>
      <c r="Z19" s="7">
        <f t="shared" si="52"/>
        <v>12842.193548387106</v>
      </c>
      <c r="AA19" s="24">
        <f t="shared" si="53"/>
        <v>0.99430915391980901</v>
      </c>
      <c r="AB19" s="1"/>
    </row>
    <row r="20" spans="2:28" ht="18" x14ac:dyDescent="0.25">
      <c r="B20" s="3">
        <v>22</v>
      </c>
      <c r="C20" s="5">
        <v>243421</v>
      </c>
      <c r="D20" s="5">
        <v>536750</v>
      </c>
      <c r="E20" s="5">
        <v>119118</v>
      </c>
      <c r="F20" s="8">
        <f t="shared" si="54"/>
        <v>899289</v>
      </c>
      <c r="G20" s="22">
        <f t="shared" si="18"/>
        <v>899026.5</v>
      </c>
      <c r="H20" s="7">
        <f t="shared" si="19"/>
        <v>899054.83333333337</v>
      </c>
      <c r="I20" s="5">
        <v>98553</v>
      </c>
      <c r="J20" s="6">
        <f t="shared" si="38"/>
        <v>110</v>
      </c>
      <c r="K20" s="6">
        <f t="shared" si="39"/>
        <v>136</v>
      </c>
      <c r="L20" s="6">
        <f t="shared" si="40"/>
        <v>54</v>
      </c>
      <c r="M20" s="6">
        <f t="shared" si="41"/>
        <v>29</v>
      </c>
      <c r="N20" s="5">
        <f t="shared" si="24"/>
        <v>149.03225806451613</v>
      </c>
      <c r="O20" s="3">
        <f t="shared" si="42"/>
        <v>54</v>
      </c>
      <c r="P20" s="5">
        <f t="shared" si="43"/>
        <v>95.032258064516128</v>
      </c>
      <c r="Q20" s="5">
        <f t="shared" si="44"/>
        <v>28.333333333372138</v>
      </c>
      <c r="R20" s="7">
        <f t="shared" si="28"/>
        <v>903.22580645161293</v>
      </c>
      <c r="S20" s="6">
        <f t="shared" si="45"/>
        <v>300</v>
      </c>
      <c r="T20" s="7">
        <f t="shared" si="46"/>
        <v>603.22580645161293</v>
      </c>
      <c r="U20" s="7">
        <f t="shared" si="47"/>
        <v>3278.7096774193546</v>
      </c>
      <c r="V20" s="7">
        <f t="shared" si="48"/>
        <v>1123</v>
      </c>
      <c r="W20" s="7">
        <f t="shared" si="49"/>
        <v>2155.7096774193546</v>
      </c>
      <c r="X20" s="7">
        <f t="shared" si="50"/>
        <v>19870.967741935492</v>
      </c>
      <c r="Y20" s="7">
        <f t="shared" si="51"/>
        <v>7456</v>
      </c>
      <c r="Z20" s="7">
        <f t="shared" si="52"/>
        <v>12414.967741935492</v>
      </c>
      <c r="AA20" s="24">
        <f t="shared" si="53"/>
        <v>0.99536026935340838</v>
      </c>
      <c r="AB20" s="1"/>
    </row>
    <row r="21" spans="2:28" ht="18" x14ac:dyDescent="0.25">
      <c r="B21" s="3">
        <v>21</v>
      </c>
      <c r="C21" s="5">
        <f>C22+108</f>
        <v>243311</v>
      </c>
      <c r="D21" s="5">
        <f t="shared" ref="D21" si="56">D22+133</f>
        <v>536614</v>
      </c>
      <c r="E21" s="5">
        <f>E22+47</f>
        <v>119064</v>
      </c>
      <c r="F21" s="8">
        <f t="shared" si="54"/>
        <v>898989</v>
      </c>
      <c r="G21" s="22">
        <f t="shared" si="18"/>
        <v>898737</v>
      </c>
      <c r="H21" s="7">
        <f t="shared" si="19"/>
        <v>898764.70833333337</v>
      </c>
      <c r="I21" s="5">
        <f t="shared" ref="I21:I25" si="57">I22+32</f>
        <v>98524</v>
      </c>
      <c r="J21" s="6">
        <f t="shared" si="38"/>
        <v>108</v>
      </c>
      <c r="K21" s="6">
        <f t="shared" si="39"/>
        <v>133</v>
      </c>
      <c r="L21" s="6">
        <f t="shared" si="40"/>
        <v>47</v>
      </c>
      <c r="M21" s="6">
        <f t="shared" si="41"/>
        <v>32</v>
      </c>
      <c r="N21" s="5">
        <f t="shared" si="24"/>
        <v>149.03225806451613</v>
      </c>
      <c r="O21" s="3">
        <f t="shared" si="42"/>
        <v>47</v>
      </c>
      <c r="P21" s="5">
        <f t="shared" si="43"/>
        <v>102.03225806451613</v>
      </c>
      <c r="Q21" s="5">
        <f t="shared" si="44"/>
        <v>27.708333333372138</v>
      </c>
      <c r="R21" s="7">
        <f t="shared" si="28"/>
        <v>903.22580645161293</v>
      </c>
      <c r="S21" s="6">
        <f t="shared" si="45"/>
        <v>288</v>
      </c>
      <c r="T21" s="7">
        <f t="shared" si="46"/>
        <v>615.22580645161293</v>
      </c>
      <c r="U21" s="7">
        <f t="shared" si="47"/>
        <v>3129.6774193548385</v>
      </c>
      <c r="V21" s="7">
        <f t="shared" si="48"/>
        <v>1069</v>
      </c>
      <c r="W21" s="7">
        <f t="shared" si="49"/>
        <v>2060.6774193548385</v>
      </c>
      <c r="X21" s="7">
        <f t="shared" si="50"/>
        <v>18967.741935483878</v>
      </c>
      <c r="Y21" s="7">
        <f t="shared" si="51"/>
        <v>7156</v>
      </c>
      <c r="Z21" s="7">
        <f t="shared" si="52"/>
        <v>11811.741935483878</v>
      </c>
      <c r="AA21" s="24">
        <f t="shared" si="53"/>
        <v>0.9938837346736189</v>
      </c>
      <c r="AB21" s="1"/>
    </row>
    <row r="22" spans="2:28" ht="18" x14ac:dyDescent="0.25">
      <c r="B22" s="3">
        <v>20</v>
      </c>
      <c r="C22" s="5">
        <f>C23+109</f>
        <v>243203</v>
      </c>
      <c r="D22" s="5">
        <f>D23+132</f>
        <v>536481</v>
      </c>
      <c r="E22" s="5">
        <f>E23+50</f>
        <v>119017</v>
      </c>
      <c r="F22" s="8">
        <f t="shared" si="54"/>
        <v>898701</v>
      </c>
      <c r="G22" s="22">
        <f t="shared" si="18"/>
        <v>898446.375</v>
      </c>
      <c r="H22" s="7">
        <f t="shared" si="19"/>
        <v>898473.875</v>
      </c>
      <c r="I22" s="5">
        <f>I23+33</f>
        <v>98492</v>
      </c>
      <c r="J22" s="6">
        <f t="shared" si="38"/>
        <v>109</v>
      </c>
      <c r="K22" s="6">
        <f t="shared" si="39"/>
        <v>132</v>
      </c>
      <c r="L22" s="6">
        <f t="shared" si="40"/>
        <v>50</v>
      </c>
      <c r="M22" s="6">
        <f t="shared" si="41"/>
        <v>33</v>
      </c>
      <c r="N22" s="5">
        <f t="shared" si="24"/>
        <v>149.03225806451613</v>
      </c>
      <c r="O22" s="3">
        <f t="shared" si="42"/>
        <v>50</v>
      </c>
      <c r="P22" s="5">
        <f t="shared" si="43"/>
        <v>99.032258064516128</v>
      </c>
      <c r="Q22" s="5">
        <f t="shared" si="44"/>
        <v>27.5</v>
      </c>
      <c r="R22" s="7">
        <f t="shared" si="28"/>
        <v>903.22580645161293</v>
      </c>
      <c r="S22" s="6">
        <f t="shared" si="45"/>
        <v>291</v>
      </c>
      <c r="T22" s="7">
        <f t="shared" si="46"/>
        <v>612.22580645161293</v>
      </c>
      <c r="U22" s="7">
        <f t="shared" si="47"/>
        <v>2980.6451612903224</v>
      </c>
      <c r="V22" s="7">
        <f t="shared" si="48"/>
        <v>1022</v>
      </c>
      <c r="W22" s="7">
        <f t="shared" si="49"/>
        <v>1958.6451612903224</v>
      </c>
      <c r="X22" s="7">
        <f t="shared" si="50"/>
        <v>18064.516129032265</v>
      </c>
      <c r="Y22" s="7">
        <f t="shared" si="51"/>
        <v>6868</v>
      </c>
      <c r="Z22" s="7">
        <f t="shared" si="52"/>
        <v>11196.516129032265</v>
      </c>
      <c r="AA22" s="24">
        <f t="shared" si="53"/>
        <v>0.99363134656955365</v>
      </c>
      <c r="AB22" s="1"/>
    </row>
    <row r="23" spans="2:28" ht="18" x14ac:dyDescent="0.25">
      <c r="B23" s="3">
        <v>19</v>
      </c>
      <c r="C23" s="5">
        <f>C24+103</f>
        <v>243094</v>
      </c>
      <c r="D23" s="5">
        <f>D24+129</f>
        <v>536349</v>
      </c>
      <c r="E23" s="5">
        <f>E24+53</f>
        <v>118967</v>
      </c>
      <c r="F23" s="8">
        <f t="shared" si="54"/>
        <v>898410</v>
      </c>
      <c r="G23" s="22">
        <f t="shared" si="18"/>
        <v>898160.625</v>
      </c>
      <c r="H23" s="7">
        <f t="shared" si="19"/>
        <v>898187.5</v>
      </c>
      <c r="I23" s="5">
        <f>I24+28</f>
        <v>98459</v>
      </c>
      <c r="J23" s="6">
        <f t="shared" si="38"/>
        <v>103</v>
      </c>
      <c r="K23" s="6">
        <f t="shared" si="39"/>
        <v>129</v>
      </c>
      <c r="L23" s="6">
        <f t="shared" si="40"/>
        <v>53</v>
      </c>
      <c r="M23" s="6">
        <f t="shared" si="41"/>
        <v>28</v>
      </c>
      <c r="N23" s="5">
        <f t="shared" si="24"/>
        <v>149.03225806451613</v>
      </c>
      <c r="O23" s="3">
        <f t="shared" si="42"/>
        <v>53</v>
      </c>
      <c r="P23" s="5">
        <f t="shared" si="43"/>
        <v>96.032258064516128</v>
      </c>
      <c r="Q23" s="5">
        <f t="shared" si="44"/>
        <v>26.875</v>
      </c>
      <c r="R23" s="7">
        <f t="shared" si="28"/>
        <v>903.22580645161293</v>
      </c>
      <c r="S23" s="6">
        <f t="shared" si="45"/>
        <v>285</v>
      </c>
      <c r="T23" s="7">
        <f t="shared" si="46"/>
        <v>618.22580645161293</v>
      </c>
      <c r="U23" s="7">
        <f t="shared" si="47"/>
        <v>2831.6129032258063</v>
      </c>
      <c r="V23" s="7">
        <f t="shared" si="48"/>
        <v>972</v>
      </c>
      <c r="W23" s="7">
        <f t="shared" si="49"/>
        <v>1859.6129032258063</v>
      </c>
      <c r="X23" s="7">
        <f t="shared" si="50"/>
        <v>17161.290322580651</v>
      </c>
      <c r="Y23" s="7">
        <f t="shared" si="51"/>
        <v>6577</v>
      </c>
      <c r="Z23" s="7">
        <f t="shared" si="52"/>
        <v>10584.290322580651</v>
      </c>
      <c r="AA23" s="24">
        <f t="shared" si="53"/>
        <v>0.99520855786636653</v>
      </c>
      <c r="AB23" s="1"/>
    </row>
    <row r="24" spans="2:28" ht="18" x14ac:dyDescent="0.25">
      <c r="B24" s="3">
        <v>18</v>
      </c>
      <c r="C24" s="5">
        <f>C25+107</f>
        <v>242991</v>
      </c>
      <c r="D24" s="5">
        <f>D25+127</f>
        <v>536220</v>
      </c>
      <c r="E24" s="5">
        <f>E25+46</f>
        <v>118914</v>
      </c>
      <c r="F24" s="8">
        <f t="shared" si="54"/>
        <v>898125</v>
      </c>
      <c r="G24" s="22">
        <f t="shared" si="18"/>
        <v>897880</v>
      </c>
      <c r="H24" s="7">
        <f t="shared" si="19"/>
        <v>897906.45833333337</v>
      </c>
      <c r="I24" s="5">
        <f>I25+30</f>
        <v>98431</v>
      </c>
      <c r="J24" s="6">
        <f t="shared" si="38"/>
        <v>107</v>
      </c>
      <c r="K24" s="6">
        <f t="shared" si="39"/>
        <v>127</v>
      </c>
      <c r="L24" s="6">
        <f t="shared" si="40"/>
        <v>46</v>
      </c>
      <c r="M24" s="6">
        <f t="shared" si="41"/>
        <v>30</v>
      </c>
      <c r="N24" s="5">
        <f t="shared" si="24"/>
        <v>149.03225806451613</v>
      </c>
      <c r="O24" s="3">
        <f t="shared" si="42"/>
        <v>46</v>
      </c>
      <c r="P24" s="5">
        <f t="shared" si="43"/>
        <v>103.03225806451613</v>
      </c>
      <c r="Q24" s="5">
        <f t="shared" si="44"/>
        <v>26.458333333372138</v>
      </c>
      <c r="R24" s="7">
        <f t="shared" si="28"/>
        <v>903.22580645161293</v>
      </c>
      <c r="S24" s="6">
        <f t="shared" si="45"/>
        <v>280</v>
      </c>
      <c r="T24" s="7">
        <f t="shared" si="46"/>
        <v>623.22580645161293</v>
      </c>
      <c r="U24" s="7">
        <f t="shared" si="47"/>
        <v>2682.5806451612902</v>
      </c>
      <c r="V24" s="7">
        <f t="shared" si="48"/>
        <v>919</v>
      </c>
      <c r="W24" s="7">
        <f t="shared" si="49"/>
        <v>1763.5806451612902</v>
      </c>
      <c r="X24" s="7">
        <f t="shared" si="50"/>
        <v>16258.064516129038</v>
      </c>
      <c r="Y24" s="7">
        <f t="shared" si="51"/>
        <v>6292</v>
      </c>
      <c r="Z24" s="7">
        <f t="shared" si="52"/>
        <v>9966.0645161290377</v>
      </c>
      <c r="AA24" s="24">
        <f t="shared" si="53"/>
        <v>0.99430915391980901</v>
      </c>
      <c r="AB24" s="1"/>
    </row>
    <row r="25" spans="2:28" ht="18" x14ac:dyDescent="0.25">
      <c r="B25" s="3">
        <v>17</v>
      </c>
      <c r="C25" s="5">
        <f t="shared" ref="C25" si="58">C26+106</f>
        <v>242884</v>
      </c>
      <c r="D25" s="5">
        <f>D26+133</f>
        <v>536093</v>
      </c>
      <c r="E25" s="5">
        <f>E26+49</f>
        <v>118868</v>
      </c>
      <c r="F25" s="8">
        <f t="shared" si="54"/>
        <v>897845</v>
      </c>
      <c r="G25" s="22">
        <f>(C26+D26+E26)+((S25/24)*3)</f>
        <v>897593</v>
      </c>
      <c r="H25" s="7">
        <f t="shared" si="19"/>
        <v>897620.70833333337</v>
      </c>
      <c r="I25" s="5">
        <f t="shared" si="57"/>
        <v>98401</v>
      </c>
      <c r="J25" s="6">
        <f t="shared" ref="J25:L27" si="59">C25-C26</f>
        <v>106</v>
      </c>
      <c r="K25" s="6">
        <f t="shared" si="59"/>
        <v>133</v>
      </c>
      <c r="L25" s="6">
        <f t="shared" si="59"/>
        <v>49</v>
      </c>
      <c r="M25" s="7">
        <f t="shared" si="41"/>
        <v>32</v>
      </c>
      <c r="N25" s="5">
        <f t="shared" si="24"/>
        <v>149.03225806451613</v>
      </c>
      <c r="O25" s="3">
        <f t="shared" si="42"/>
        <v>49</v>
      </c>
      <c r="P25" s="5">
        <f t="shared" si="43"/>
        <v>100.03225806451613</v>
      </c>
      <c r="Q25" s="5">
        <f t="shared" si="44"/>
        <v>27.708333333372138</v>
      </c>
      <c r="R25" s="7">
        <f t="shared" si="28"/>
        <v>903.22580645161293</v>
      </c>
      <c r="S25" s="6">
        <f t="shared" si="45"/>
        <v>288</v>
      </c>
      <c r="T25" s="7">
        <f t="shared" si="46"/>
        <v>615.22580645161293</v>
      </c>
      <c r="U25" s="7">
        <f t="shared" si="47"/>
        <v>2533.5483870967741</v>
      </c>
      <c r="V25" s="6">
        <f t="shared" si="48"/>
        <v>873</v>
      </c>
      <c r="W25" s="7">
        <f t="shared" si="49"/>
        <v>1660.5483870967741</v>
      </c>
      <c r="X25" s="7">
        <f t="shared" si="50"/>
        <v>15354.838709677424</v>
      </c>
      <c r="Y25" s="7">
        <f t="shared" si="51"/>
        <v>6012</v>
      </c>
      <c r="Z25" s="7">
        <f t="shared" si="52"/>
        <v>9342.838709677424</v>
      </c>
      <c r="AA25" s="24">
        <f t="shared" si="53"/>
        <v>0.9938837346736189</v>
      </c>
      <c r="AB25" s="1"/>
    </row>
    <row r="26" spans="2:28" ht="18" x14ac:dyDescent="0.25">
      <c r="B26" s="3">
        <v>16</v>
      </c>
      <c r="C26" s="5">
        <f>C27+102</f>
        <v>242778</v>
      </c>
      <c r="D26" s="5">
        <f>D27+130</f>
        <v>535960</v>
      </c>
      <c r="E26" s="5">
        <f>E27+44</f>
        <v>118819</v>
      </c>
      <c r="F26" s="8">
        <f>C26+D26+E26</f>
        <v>897557</v>
      </c>
      <c r="G26" s="22">
        <f>(C27+D27+E27)+((S26/24)*3)</f>
        <v>897315.5</v>
      </c>
      <c r="H26" s="7">
        <f t="shared" si="19"/>
        <v>897342.58333333337</v>
      </c>
      <c r="I26" s="5">
        <f>I27+31</f>
        <v>98369</v>
      </c>
      <c r="J26" s="6">
        <f t="shared" si="59"/>
        <v>102</v>
      </c>
      <c r="K26" s="6">
        <f t="shared" si="59"/>
        <v>130</v>
      </c>
      <c r="L26" s="6">
        <f t="shared" si="59"/>
        <v>44</v>
      </c>
      <c r="M26" s="7">
        <f t="shared" si="41"/>
        <v>31</v>
      </c>
      <c r="N26" s="5">
        <f t="shared" si="24"/>
        <v>149.03225806451613</v>
      </c>
      <c r="O26" s="3">
        <f t="shared" si="42"/>
        <v>44</v>
      </c>
      <c r="P26" s="5">
        <f t="shared" si="43"/>
        <v>105.03225806451613</v>
      </c>
      <c r="Q26" s="5">
        <f t="shared" si="44"/>
        <v>27.083333333372138</v>
      </c>
      <c r="R26" s="7">
        <f t="shared" si="28"/>
        <v>903.22580645161293</v>
      </c>
      <c r="S26" s="6">
        <f t="shared" si="45"/>
        <v>276</v>
      </c>
      <c r="T26" s="7">
        <f t="shared" si="46"/>
        <v>627.22580645161293</v>
      </c>
      <c r="U26" s="7">
        <f t="shared" si="47"/>
        <v>2384.516129032258</v>
      </c>
      <c r="V26" s="6">
        <f t="shared" si="48"/>
        <v>824</v>
      </c>
      <c r="W26" s="7">
        <f t="shared" si="49"/>
        <v>1560.516129032258</v>
      </c>
      <c r="X26" s="7">
        <f t="shared" si="50"/>
        <v>14451.61290322581</v>
      </c>
      <c r="Y26" s="7">
        <f t="shared" si="51"/>
        <v>5724</v>
      </c>
      <c r="Z26" s="7">
        <f t="shared" si="52"/>
        <v>8727.6129032258104</v>
      </c>
      <c r="AA26" s="24">
        <f t="shared" si="53"/>
        <v>0.99375130021579405</v>
      </c>
      <c r="AB26" s="1"/>
    </row>
    <row r="27" spans="2:28" ht="18" x14ac:dyDescent="0.25">
      <c r="B27" s="3">
        <v>15</v>
      </c>
      <c r="C27" s="5">
        <f>C28+110</f>
        <v>242676</v>
      </c>
      <c r="D27" s="5">
        <f>D28+151</f>
        <v>535830</v>
      </c>
      <c r="E27" s="5">
        <f>E28+48</f>
        <v>118775</v>
      </c>
      <c r="F27" s="8">
        <f t="shared" si="54"/>
        <v>897281</v>
      </c>
      <c r="G27" s="22">
        <f t="shared" si="18"/>
        <v>897010.625</v>
      </c>
      <c r="H27" s="7">
        <f t="shared" si="19"/>
        <v>897042.08333333337</v>
      </c>
      <c r="I27" s="5">
        <f>I28+42</f>
        <v>98338</v>
      </c>
      <c r="J27" s="6">
        <f t="shared" si="59"/>
        <v>110</v>
      </c>
      <c r="K27" s="6">
        <f t="shared" si="59"/>
        <v>151</v>
      </c>
      <c r="L27" s="6">
        <f t="shared" si="59"/>
        <v>48</v>
      </c>
      <c r="M27" s="7">
        <f t="shared" si="41"/>
        <v>42</v>
      </c>
      <c r="N27" s="5">
        <f t="shared" si="24"/>
        <v>149.03225806451613</v>
      </c>
      <c r="O27" s="3">
        <f t="shared" si="42"/>
        <v>48</v>
      </c>
      <c r="P27" s="5">
        <f t="shared" si="43"/>
        <v>101.03225806451613</v>
      </c>
      <c r="Q27" s="5">
        <f t="shared" si="44"/>
        <v>31.458333333372138</v>
      </c>
      <c r="R27" s="7">
        <f t="shared" si="28"/>
        <v>903.22580645161293</v>
      </c>
      <c r="S27" s="6">
        <f>J27+K27+L27</f>
        <v>309</v>
      </c>
      <c r="T27" s="7">
        <f t="shared" si="46"/>
        <v>594.22580645161293</v>
      </c>
      <c r="U27" s="7">
        <f t="shared" si="47"/>
        <v>2235.483870967742</v>
      </c>
      <c r="V27" s="6">
        <f t="shared" si="48"/>
        <v>780</v>
      </c>
      <c r="W27" s="7">
        <f t="shared" si="49"/>
        <v>1455.483870967742</v>
      </c>
      <c r="X27" s="7">
        <f t="shared" si="50"/>
        <v>13548.387096774197</v>
      </c>
      <c r="Y27" s="7">
        <f t="shared" si="51"/>
        <v>5448</v>
      </c>
      <c r="Z27" s="7">
        <f t="shared" si="52"/>
        <v>8100.3870967741968</v>
      </c>
      <c r="AA27" s="24">
        <f t="shared" si="53"/>
        <v>0.99088861628556058</v>
      </c>
      <c r="AB27" s="1"/>
    </row>
    <row r="28" spans="2:28" ht="18" x14ac:dyDescent="0.25">
      <c r="B28" s="3">
        <v>14</v>
      </c>
      <c r="C28" s="5">
        <f>C29+120</f>
        <v>242566</v>
      </c>
      <c r="D28" s="5">
        <f>D29+227</f>
        <v>535679</v>
      </c>
      <c r="E28" s="5">
        <f>E29+50</f>
        <v>118727</v>
      </c>
      <c r="F28" s="8">
        <f t="shared" si="54"/>
        <v>896972</v>
      </c>
      <c r="G28" s="22">
        <f t="shared" si="18"/>
        <v>896624.625</v>
      </c>
      <c r="H28" s="7">
        <f t="shared" si="19"/>
        <v>896671.91666666663</v>
      </c>
      <c r="I28" s="5">
        <f>I29+45</f>
        <v>98296</v>
      </c>
      <c r="J28" s="6">
        <f t="shared" si="38"/>
        <v>120</v>
      </c>
      <c r="K28" s="6">
        <f t="shared" si="39"/>
        <v>227</v>
      </c>
      <c r="L28" s="6">
        <f t="shared" si="40"/>
        <v>50</v>
      </c>
      <c r="M28" s="7">
        <f t="shared" si="41"/>
        <v>45</v>
      </c>
      <c r="N28" s="5">
        <f t="shared" si="24"/>
        <v>149.03225806451613</v>
      </c>
      <c r="O28" s="3">
        <f t="shared" si="42"/>
        <v>50</v>
      </c>
      <c r="P28" s="5">
        <f t="shared" si="43"/>
        <v>99.032258064516128</v>
      </c>
      <c r="Q28" s="5">
        <f t="shared" si="44"/>
        <v>47.291666666627862</v>
      </c>
      <c r="R28" s="7">
        <f t="shared" si="28"/>
        <v>903.22580645161293</v>
      </c>
      <c r="S28" s="6">
        <f t="shared" si="45"/>
        <v>397</v>
      </c>
      <c r="T28" s="7">
        <f t="shared" si="46"/>
        <v>506.22580645161293</v>
      </c>
      <c r="U28" s="7">
        <f t="shared" si="47"/>
        <v>2086.4516129032259</v>
      </c>
      <c r="V28" s="6">
        <f t="shared" si="48"/>
        <v>732</v>
      </c>
      <c r="W28" s="7">
        <f t="shared" si="49"/>
        <v>1354.4516129032259</v>
      </c>
      <c r="X28" s="7">
        <f t="shared" si="50"/>
        <v>12645.161290322583</v>
      </c>
      <c r="Y28" s="7">
        <f t="shared" si="51"/>
        <v>5139</v>
      </c>
      <c r="Z28" s="7">
        <f t="shared" si="52"/>
        <v>7506.1612903225832</v>
      </c>
      <c r="AA28" s="24">
        <f t="shared" si="53"/>
        <v>0.99363712312417174</v>
      </c>
      <c r="AB28" s="1"/>
    </row>
    <row r="29" spans="2:28" ht="18" x14ac:dyDescent="0.25">
      <c r="B29" s="3">
        <v>13</v>
      </c>
      <c r="C29" s="5">
        <v>242446</v>
      </c>
      <c r="D29" s="5">
        <v>535452</v>
      </c>
      <c r="E29" s="5">
        <v>118677</v>
      </c>
      <c r="F29" s="8">
        <f t="shared" si="54"/>
        <v>896575</v>
      </c>
      <c r="G29" s="22">
        <f t="shared" si="18"/>
        <v>896216.25</v>
      </c>
      <c r="H29" s="7">
        <f t="shared" si="19"/>
        <v>896267.29166666663</v>
      </c>
      <c r="I29" s="5">
        <v>98251</v>
      </c>
      <c r="J29" s="6">
        <f t="shared" si="38"/>
        <v>118</v>
      </c>
      <c r="K29" s="6">
        <f t="shared" si="39"/>
        <v>245</v>
      </c>
      <c r="L29" s="6">
        <f t="shared" si="40"/>
        <v>47</v>
      </c>
      <c r="M29" s="6">
        <f t="shared" si="41"/>
        <v>57</v>
      </c>
      <c r="N29" s="5">
        <f t="shared" si="24"/>
        <v>149.03225806451613</v>
      </c>
      <c r="O29" s="3">
        <f t="shared" si="42"/>
        <v>47</v>
      </c>
      <c r="P29" s="5">
        <f t="shared" si="43"/>
        <v>102.03225806451613</v>
      </c>
      <c r="Q29" s="5">
        <f t="shared" si="44"/>
        <v>51.041666666627862</v>
      </c>
      <c r="R29" s="7">
        <f t="shared" si="28"/>
        <v>903.22580645161293</v>
      </c>
      <c r="S29" s="6">
        <f t="shared" si="45"/>
        <v>410</v>
      </c>
      <c r="T29" s="7">
        <f t="shared" si="46"/>
        <v>493.22580645161293</v>
      </c>
      <c r="U29" s="7">
        <f t="shared" si="47"/>
        <v>1937.4193548387095</v>
      </c>
      <c r="V29" s="6">
        <f t="shared" si="48"/>
        <v>682</v>
      </c>
      <c r="W29" s="7">
        <f t="shared" si="49"/>
        <v>1255.4193548387095</v>
      </c>
      <c r="X29" s="7">
        <f t="shared" si="50"/>
        <v>11741.93548387097</v>
      </c>
      <c r="Y29" s="7">
        <f t="shared" si="51"/>
        <v>4742</v>
      </c>
      <c r="Z29" s="7">
        <f t="shared" si="52"/>
        <v>6999.9354838709696</v>
      </c>
      <c r="AA29" s="24">
        <f t="shared" si="53"/>
        <v>0.99047397683938398</v>
      </c>
      <c r="AB29" s="1"/>
    </row>
    <row r="30" spans="2:28" ht="18" x14ac:dyDescent="0.25">
      <c r="B30" s="3">
        <v>12</v>
      </c>
      <c r="C30" s="5">
        <f>C31+115</f>
        <v>242328</v>
      </c>
      <c r="D30" s="5">
        <f>D31+249</f>
        <v>535207</v>
      </c>
      <c r="E30" s="5">
        <f>E31+53</f>
        <v>118630</v>
      </c>
      <c r="F30" s="8">
        <f t="shared" si="54"/>
        <v>896165</v>
      </c>
      <c r="G30" s="22">
        <f t="shared" si="18"/>
        <v>895800.125</v>
      </c>
      <c r="H30" s="7">
        <f t="shared" si="19"/>
        <v>895852</v>
      </c>
      <c r="I30" s="5">
        <f>I31+51</f>
        <v>98194</v>
      </c>
      <c r="J30" s="6">
        <f t="shared" si="38"/>
        <v>115</v>
      </c>
      <c r="K30" s="6">
        <f t="shared" si="39"/>
        <v>249</v>
      </c>
      <c r="L30" s="6">
        <f t="shared" si="40"/>
        <v>53</v>
      </c>
      <c r="M30" s="6">
        <f t="shared" si="41"/>
        <v>51</v>
      </c>
      <c r="N30" s="5">
        <f t="shared" si="24"/>
        <v>149.03225806451613</v>
      </c>
      <c r="O30" s="3">
        <f t="shared" si="42"/>
        <v>53</v>
      </c>
      <c r="P30" s="5">
        <f t="shared" si="43"/>
        <v>96.032258064516128</v>
      </c>
      <c r="Q30" s="5">
        <f t="shared" si="44"/>
        <v>51.875</v>
      </c>
      <c r="R30" s="7">
        <f t="shared" si="28"/>
        <v>903.22580645161293</v>
      </c>
      <c r="S30" s="6">
        <f t="shared" si="45"/>
        <v>417</v>
      </c>
      <c r="T30" s="7">
        <f t="shared" si="46"/>
        <v>486.22580645161293</v>
      </c>
      <c r="U30" s="7">
        <f t="shared" si="47"/>
        <v>1788.3870967741934</v>
      </c>
      <c r="V30" s="6">
        <f t="shared" si="48"/>
        <v>635</v>
      </c>
      <c r="W30" s="7">
        <f t="shared" si="49"/>
        <v>1153.3870967741934</v>
      </c>
      <c r="X30" s="7">
        <f t="shared" si="50"/>
        <v>10838.709677419356</v>
      </c>
      <c r="Y30" s="7">
        <f t="shared" si="51"/>
        <v>4332</v>
      </c>
      <c r="Z30" s="7">
        <f t="shared" si="52"/>
        <v>6506.709677419356</v>
      </c>
      <c r="AA30" s="24">
        <f t="shared" si="53"/>
        <v>0.99260395985089522</v>
      </c>
      <c r="AB30" s="1"/>
    </row>
    <row r="31" spans="2:28" ht="18" x14ac:dyDescent="0.25">
      <c r="B31" s="3">
        <v>11</v>
      </c>
      <c r="C31" s="5">
        <f>C32+111</f>
        <v>242213</v>
      </c>
      <c r="D31" s="5">
        <f>D32+222</f>
        <v>534958</v>
      </c>
      <c r="E31" s="5">
        <f>E32+50</f>
        <v>118577</v>
      </c>
      <c r="F31" s="8">
        <f t="shared" si="54"/>
        <v>895748</v>
      </c>
      <c r="G31" s="22">
        <f t="shared" si="18"/>
        <v>895412.875</v>
      </c>
      <c r="H31" s="7">
        <f t="shared" si="19"/>
        <v>895459.125</v>
      </c>
      <c r="I31" s="5">
        <f t="shared" ref="I31" si="60">I32+46</f>
        <v>98143</v>
      </c>
      <c r="J31" s="6">
        <f t="shared" si="38"/>
        <v>111</v>
      </c>
      <c r="K31" s="6">
        <f t="shared" si="39"/>
        <v>222</v>
      </c>
      <c r="L31" s="6">
        <f t="shared" si="40"/>
        <v>50</v>
      </c>
      <c r="M31" s="6">
        <f t="shared" si="41"/>
        <v>46</v>
      </c>
      <c r="N31" s="5">
        <f t="shared" si="24"/>
        <v>149.03225806451613</v>
      </c>
      <c r="O31" s="3">
        <f t="shared" si="42"/>
        <v>50</v>
      </c>
      <c r="P31" s="5">
        <f t="shared" si="43"/>
        <v>99.032258064516128</v>
      </c>
      <c r="Q31" s="5">
        <f t="shared" si="44"/>
        <v>46.25</v>
      </c>
      <c r="R31" s="7">
        <f t="shared" si="28"/>
        <v>903.22580645161293</v>
      </c>
      <c r="S31" s="6">
        <f t="shared" si="45"/>
        <v>383</v>
      </c>
      <c r="T31" s="7">
        <f t="shared" si="46"/>
        <v>520.22580645161293</v>
      </c>
      <c r="U31" s="7">
        <f t="shared" si="47"/>
        <v>1639.3548387096773</v>
      </c>
      <c r="V31" s="6">
        <f t="shared" si="48"/>
        <v>582</v>
      </c>
      <c r="W31" s="7">
        <f t="shared" si="49"/>
        <v>1057.3548387096773</v>
      </c>
      <c r="X31" s="7">
        <f t="shared" si="50"/>
        <v>9935.4838709677424</v>
      </c>
      <c r="Y31" s="7">
        <f t="shared" si="51"/>
        <v>3915</v>
      </c>
      <c r="Z31" s="7">
        <f t="shared" si="52"/>
        <v>6020.4838709677424</v>
      </c>
      <c r="AA31" s="24">
        <f t="shared" si="53"/>
        <v>0.9928645666521948</v>
      </c>
      <c r="AB31" s="1"/>
    </row>
    <row r="32" spans="2:28" ht="18" x14ac:dyDescent="0.25">
      <c r="B32" s="3">
        <v>10</v>
      </c>
      <c r="C32" s="5">
        <f>C33+109</f>
        <v>242102</v>
      </c>
      <c r="D32" s="5">
        <f>D33+217</f>
        <v>534736</v>
      </c>
      <c r="E32" s="5">
        <f>E33+52</f>
        <v>118527</v>
      </c>
      <c r="F32" s="8">
        <f t="shared" si="54"/>
        <v>895365</v>
      </c>
      <c r="G32" s="22">
        <f t="shared" si="18"/>
        <v>895034.25</v>
      </c>
      <c r="H32" s="7">
        <f t="shared" si="19"/>
        <v>895079.45833333337</v>
      </c>
      <c r="I32" s="5">
        <f>I33+44</f>
        <v>98097</v>
      </c>
      <c r="J32" s="6">
        <f t="shared" si="38"/>
        <v>109</v>
      </c>
      <c r="K32" s="6">
        <f t="shared" si="39"/>
        <v>217</v>
      </c>
      <c r="L32" s="6">
        <f t="shared" si="40"/>
        <v>52</v>
      </c>
      <c r="M32" s="6">
        <f t="shared" si="41"/>
        <v>44</v>
      </c>
      <c r="N32" s="5">
        <f t="shared" si="24"/>
        <v>149.03225806451613</v>
      </c>
      <c r="O32" s="3">
        <f t="shared" si="42"/>
        <v>52</v>
      </c>
      <c r="P32" s="5">
        <f t="shared" si="43"/>
        <v>97.032258064516128</v>
      </c>
      <c r="Q32" s="5">
        <f t="shared" si="44"/>
        <v>45.208333333372138</v>
      </c>
      <c r="R32" s="7">
        <f t="shared" si="28"/>
        <v>903.22580645161293</v>
      </c>
      <c r="S32" s="6">
        <f t="shared" si="45"/>
        <v>378</v>
      </c>
      <c r="T32" s="7">
        <f t="shared" si="46"/>
        <v>525.22580645161293</v>
      </c>
      <c r="U32" s="7">
        <f t="shared" si="47"/>
        <v>1490.3225806451612</v>
      </c>
      <c r="V32" s="6">
        <f t="shared" si="48"/>
        <v>532</v>
      </c>
      <c r="W32" s="7">
        <f t="shared" si="49"/>
        <v>958.32258064516122</v>
      </c>
      <c r="X32" s="7">
        <f t="shared" si="50"/>
        <v>9032.2580645161288</v>
      </c>
      <c r="Y32" s="7">
        <f t="shared" si="51"/>
        <v>3532</v>
      </c>
      <c r="Z32" s="7">
        <f t="shared" si="52"/>
        <v>5500.2580645161288</v>
      </c>
      <c r="AA32" s="24">
        <f t="shared" si="53"/>
        <v>0.99329335078167347</v>
      </c>
      <c r="AB32" s="1"/>
    </row>
    <row r="33" spans="2:28" ht="18" x14ac:dyDescent="0.25">
      <c r="B33" s="3">
        <v>9</v>
      </c>
      <c r="C33" s="5">
        <f>C34+117</f>
        <v>241993</v>
      </c>
      <c r="D33" s="5">
        <f>D34+210</f>
        <v>534519</v>
      </c>
      <c r="E33" s="5">
        <f>E34+54</f>
        <v>118475</v>
      </c>
      <c r="F33" s="8">
        <f t="shared" si="54"/>
        <v>894987</v>
      </c>
      <c r="G33" s="22">
        <f t="shared" si="18"/>
        <v>894653.625</v>
      </c>
      <c r="H33" s="7">
        <f t="shared" si="19"/>
        <v>894697.375</v>
      </c>
      <c r="I33" s="5">
        <f>I34+41</f>
        <v>98053</v>
      </c>
      <c r="J33" s="6">
        <f t="shared" si="38"/>
        <v>117</v>
      </c>
      <c r="K33" s="6">
        <f t="shared" si="39"/>
        <v>210</v>
      </c>
      <c r="L33" s="6">
        <f t="shared" si="40"/>
        <v>54</v>
      </c>
      <c r="M33" s="6">
        <f t="shared" si="41"/>
        <v>41</v>
      </c>
      <c r="N33" s="5">
        <f t="shared" si="24"/>
        <v>149.03225806451613</v>
      </c>
      <c r="O33" s="3">
        <f t="shared" si="42"/>
        <v>54</v>
      </c>
      <c r="P33" s="5">
        <f t="shared" si="43"/>
        <v>95.032258064516128</v>
      </c>
      <c r="Q33" s="5">
        <f t="shared" si="44"/>
        <v>43.75</v>
      </c>
      <c r="R33" s="7">
        <f t="shared" si="28"/>
        <v>903.22580645161293</v>
      </c>
      <c r="S33" s="6">
        <f t="shared" si="45"/>
        <v>381</v>
      </c>
      <c r="T33" s="7">
        <f t="shared" si="46"/>
        <v>522.22580645161293</v>
      </c>
      <c r="U33" s="7">
        <f t="shared" si="47"/>
        <v>1341.2903225806451</v>
      </c>
      <c r="V33" s="6">
        <f t="shared" si="48"/>
        <v>480</v>
      </c>
      <c r="W33" s="7">
        <f t="shared" si="49"/>
        <v>861.29032258064512</v>
      </c>
      <c r="X33" s="7">
        <f t="shared" si="50"/>
        <v>8129.0322580645152</v>
      </c>
      <c r="Y33" s="7">
        <f t="shared" si="51"/>
        <v>3154</v>
      </c>
      <c r="Z33" s="7">
        <f t="shared" si="52"/>
        <v>4975.0322580645152</v>
      </c>
      <c r="AA33" s="24">
        <f t="shared" si="53"/>
        <v>0.99425968516423457</v>
      </c>
      <c r="AB33" s="1"/>
    </row>
    <row r="34" spans="2:28" ht="18" x14ac:dyDescent="0.25">
      <c r="B34" s="3">
        <v>8</v>
      </c>
      <c r="C34" s="5">
        <f>C35+113</f>
        <v>241876</v>
      </c>
      <c r="D34" s="5">
        <f>D35+190</f>
        <v>534309</v>
      </c>
      <c r="E34" s="5">
        <f>E35+51</f>
        <v>118421</v>
      </c>
      <c r="F34" s="8">
        <f t="shared" si="54"/>
        <v>894606</v>
      </c>
      <c r="G34" s="22">
        <f t="shared" si="18"/>
        <v>894296.25</v>
      </c>
      <c r="H34" s="7">
        <f t="shared" si="19"/>
        <v>894335.83333333337</v>
      </c>
      <c r="I34" s="5">
        <f>I35+38</f>
        <v>98012</v>
      </c>
      <c r="J34" s="6">
        <f t="shared" si="38"/>
        <v>113</v>
      </c>
      <c r="K34" s="6">
        <f t="shared" si="39"/>
        <v>190</v>
      </c>
      <c r="L34" s="6">
        <f t="shared" si="40"/>
        <v>51</v>
      </c>
      <c r="M34" s="6">
        <f t="shared" si="41"/>
        <v>38</v>
      </c>
      <c r="N34" s="5">
        <f t="shared" si="24"/>
        <v>149.03225806451613</v>
      </c>
      <c r="O34" s="3">
        <f t="shared" si="42"/>
        <v>51</v>
      </c>
      <c r="P34" s="5">
        <f t="shared" si="43"/>
        <v>98.032258064516128</v>
      </c>
      <c r="Q34" s="5">
        <f t="shared" si="44"/>
        <v>39.583333333372138</v>
      </c>
      <c r="R34" s="7">
        <f t="shared" si="28"/>
        <v>903.22580645161293</v>
      </c>
      <c r="S34" s="6">
        <f t="shared" si="45"/>
        <v>354</v>
      </c>
      <c r="T34" s="7">
        <f t="shared" si="46"/>
        <v>549.22580645161293</v>
      </c>
      <c r="U34" s="7">
        <f t="shared" si="47"/>
        <v>1192.258064516129</v>
      </c>
      <c r="V34" s="6">
        <f t="shared" si="48"/>
        <v>426</v>
      </c>
      <c r="W34" s="7">
        <f t="shared" si="49"/>
        <v>766.25806451612902</v>
      </c>
      <c r="X34" s="7">
        <f t="shared" si="50"/>
        <v>7225.8064516129025</v>
      </c>
      <c r="Y34" s="7">
        <f t="shared" si="51"/>
        <v>2773</v>
      </c>
      <c r="Z34" s="7">
        <f t="shared" si="52"/>
        <v>4452.8064516129025</v>
      </c>
      <c r="AA34" s="24">
        <f t="shared" si="53"/>
        <v>0.99428788276589375</v>
      </c>
      <c r="AB34" s="1"/>
    </row>
    <row r="35" spans="2:28" ht="18" x14ac:dyDescent="0.25">
      <c r="B35" s="3">
        <v>7</v>
      </c>
      <c r="C35" s="5">
        <v>241763</v>
      </c>
      <c r="D35" s="5">
        <v>534119</v>
      </c>
      <c r="E35" s="5">
        <v>118370</v>
      </c>
      <c r="F35" s="8">
        <f t="shared" si="54"/>
        <v>894252</v>
      </c>
      <c r="G35" s="22">
        <f t="shared" si="18"/>
        <v>893930</v>
      </c>
      <c r="H35" s="7">
        <f t="shared" si="19"/>
        <v>893967.70833333337</v>
      </c>
      <c r="I35" s="5">
        <v>97974</v>
      </c>
      <c r="J35" s="6">
        <f t="shared" si="38"/>
        <v>122</v>
      </c>
      <c r="K35" s="6">
        <f t="shared" si="39"/>
        <v>181</v>
      </c>
      <c r="L35" s="6">
        <f t="shared" si="40"/>
        <v>65</v>
      </c>
      <c r="M35" s="6">
        <f t="shared" si="41"/>
        <v>19</v>
      </c>
      <c r="N35" s="5">
        <f t="shared" si="24"/>
        <v>149.03225806451613</v>
      </c>
      <c r="O35" s="3">
        <f t="shared" si="42"/>
        <v>65</v>
      </c>
      <c r="P35" s="5">
        <f t="shared" si="43"/>
        <v>84.032258064516128</v>
      </c>
      <c r="Q35" s="5">
        <f t="shared" si="44"/>
        <v>37.708333333372138</v>
      </c>
      <c r="R35" s="7">
        <f t="shared" si="28"/>
        <v>903.22580645161293</v>
      </c>
      <c r="S35" s="6">
        <f t="shared" si="45"/>
        <v>368</v>
      </c>
      <c r="T35" s="7">
        <f t="shared" si="46"/>
        <v>535.22580645161293</v>
      </c>
      <c r="U35" s="7">
        <f t="shared" si="47"/>
        <v>1043.2258064516129</v>
      </c>
      <c r="V35" s="6">
        <f t="shared" si="48"/>
        <v>375</v>
      </c>
      <c r="W35" s="7">
        <f t="shared" si="49"/>
        <v>668.22580645161293</v>
      </c>
      <c r="X35" s="7">
        <f t="shared" si="50"/>
        <v>6322.5806451612898</v>
      </c>
      <c r="Y35" s="7">
        <f t="shared" si="51"/>
        <v>2419</v>
      </c>
      <c r="Z35" s="7">
        <f t="shared" si="52"/>
        <v>3903.5806451612898</v>
      </c>
      <c r="AA35" s="24">
        <f t="shared" si="53"/>
        <v>0.99866980793363191</v>
      </c>
      <c r="AB35" s="1"/>
    </row>
    <row r="36" spans="2:28" ht="18" x14ac:dyDescent="0.25">
      <c r="B36" s="3">
        <v>6</v>
      </c>
      <c r="C36" s="5">
        <f t="shared" ref="C36:C40" si="61">C37+118</f>
        <v>241641</v>
      </c>
      <c r="D36" s="5">
        <f>D37+177</f>
        <v>533938</v>
      </c>
      <c r="E36" s="5">
        <f>E37+63</f>
        <v>118305</v>
      </c>
      <c r="F36" s="8">
        <f t="shared" si="54"/>
        <v>893884</v>
      </c>
      <c r="G36" s="22">
        <f t="shared" si="18"/>
        <v>893570.75</v>
      </c>
      <c r="H36" s="7">
        <f t="shared" si="19"/>
        <v>893607.625</v>
      </c>
      <c r="I36" s="5">
        <f>I37+17</f>
        <v>97955</v>
      </c>
      <c r="J36" s="6">
        <f t="shared" si="38"/>
        <v>118</v>
      </c>
      <c r="K36" s="6">
        <f t="shared" si="39"/>
        <v>177</v>
      </c>
      <c r="L36" s="6">
        <f t="shared" si="40"/>
        <v>63</v>
      </c>
      <c r="M36" s="6">
        <f t="shared" si="41"/>
        <v>17</v>
      </c>
      <c r="N36" s="5">
        <f t="shared" si="24"/>
        <v>149.03225806451613</v>
      </c>
      <c r="O36" s="3">
        <f t="shared" si="42"/>
        <v>63</v>
      </c>
      <c r="P36" s="5">
        <f t="shared" si="43"/>
        <v>86.032258064516128</v>
      </c>
      <c r="Q36" s="5">
        <f t="shared" si="44"/>
        <v>36.875</v>
      </c>
      <c r="R36" s="7">
        <f t="shared" si="28"/>
        <v>903.22580645161293</v>
      </c>
      <c r="S36" s="6">
        <f t="shared" si="45"/>
        <v>358</v>
      </c>
      <c r="T36" s="7">
        <f t="shared" si="46"/>
        <v>545.22580645161293</v>
      </c>
      <c r="U36" s="7">
        <f t="shared" si="47"/>
        <v>894.19354838709671</v>
      </c>
      <c r="V36" s="6">
        <f t="shared" si="48"/>
        <v>310</v>
      </c>
      <c r="W36" s="7">
        <f t="shared" si="49"/>
        <v>584.19354838709671</v>
      </c>
      <c r="X36" s="7">
        <f t="shared" si="50"/>
        <v>5419.3548387096771</v>
      </c>
      <c r="Y36" s="7">
        <f t="shared" si="51"/>
        <v>2051</v>
      </c>
      <c r="Z36" s="7">
        <f t="shared" si="52"/>
        <v>3368.3548387096771</v>
      </c>
      <c r="AA36" s="24">
        <f t="shared" si="53"/>
        <v>0.99887444148914939</v>
      </c>
      <c r="AB36" s="1"/>
    </row>
    <row r="37" spans="2:28" ht="18" x14ac:dyDescent="0.25">
      <c r="B37" s="3">
        <v>5</v>
      </c>
      <c r="C37" s="5">
        <f t="shared" si="61"/>
        <v>241523</v>
      </c>
      <c r="D37" s="5">
        <f>D38+179</f>
        <v>533761</v>
      </c>
      <c r="E37" s="5">
        <f>E38+59</f>
        <v>118242</v>
      </c>
      <c r="F37" s="8">
        <f t="shared" si="54"/>
        <v>893526</v>
      </c>
      <c r="G37" s="22">
        <f t="shared" si="18"/>
        <v>893214.5</v>
      </c>
      <c r="H37" s="7">
        <f t="shared" si="19"/>
        <v>893251.79166666663</v>
      </c>
      <c r="I37" s="5">
        <f>I38+19</f>
        <v>97938</v>
      </c>
      <c r="J37" s="6">
        <f t="shared" si="38"/>
        <v>118</v>
      </c>
      <c r="K37" s="6">
        <f t="shared" si="39"/>
        <v>179</v>
      </c>
      <c r="L37" s="6">
        <f t="shared" si="40"/>
        <v>59</v>
      </c>
      <c r="M37" s="6">
        <f t="shared" si="41"/>
        <v>19</v>
      </c>
      <c r="N37" s="5">
        <f t="shared" si="24"/>
        <v>149.03225806451613</v>
      </c>
      <c r="O37" s="3">
        <f t="shared" si="42"/>
        <v>59</v>
      </c>
      <c r="P37" s="5">
        <f t="shared" si="43"/>
        <v>90.032258064516128</v>
      </c>
      <c r="Q37" s="5">
        <f t="shared" si="44"/>
        <v>37.291666666627862</v>
      </c>
      <c r="R37" s="7">
        <f t="shared" si="28"/>
        <v>903.22580645161293</v>
      </c>
      <c r="S37" s="6">
        <f t="shared" si="45"/>
        <v>356</v>
      </c>
      <c r="T37" s="7">
        <f t="shared" si="46"/>
        <v>547.22580645161293</v>
      </c>
      <c r="U37" s="7">
        <f t="shared" si="47"/>
        <v>745.16129032258061</v>
      </c>
      <c r="V37" s="6">
        <f t="shared" si="48"/>
        <v>247</v>
      </c>
      <c r="W37" s="7">
        <f t="shared" si="49"/>
        <v>498.16129032258061</v>
      </c>
      <c r="X37" s="7">
        <f t="shared" si="50"/>
        <v>4516.1290322580644</v>
      </c>
      <c r="Y37" s="7">
        <f t="shared" si="51"/>
        <v>1693</v>
      </c>
      <c r="Z37" s="7">
        <f t="shared" si="52"/>
        <v>2823.1290322580644</v>
      </c>
      <c r="AA37" s="24">
        <f t="shared" si="53"/>
        <v>0.99857881497474121</v>
      </c>
      <c r="AB37" s="1"/>
    </row>
    <row r="38" spans="2:28" ht="18" x14ac:dyDescent="0.25">
      <c r="B38" s="3">
        <v>4</v>
      </c>
      <c r="C38" s="5">
        <f t="shared" si="61"/>
        <v>241405</v>
      </c>
      <c r="D38" s="5">
        <f>D39+175</f>
        <v>533582</v>
      </c>
      <c r="E38" s="5">
        <f>E39+56</f>
        <v>118183</v>
      </c>
      <c r="F38" s="8">
        <f t="shared" si="54"/>
        <v>893170</v>
      </c>
      <c r="G38" s="22">
        <f t="shared" si="18"/>
        <v>892864.625</v>
      </c>
      <c r="H38" s="7">
        <f t="shared" si="19"/>
        <v>892901.08333333337</v>
      </c>
      <c r="I38" s="5">
        <f>I39+17</f>
        <v>97919</v>
      </c>
      <c r="J38" s="6">
        <f t="shared" si="38"/>
        <v>118</v>
      </c>
      <c r="K38" s="6">
        <f t="shared" si="39"/>
        <v>175</v>
      </c>
      <c r="L38" s="6">
        <f t="shared" si="40"/>
        <v>56</v>
      </c>
      <c r="M38" s="6">
        <f t="shared" si="41"/>
        <v>17</v>
      </c>
      <c r="N38" s="5">
        <f t="shared" si="24"/>
        <v>149.03225806451613</v>
      </c>
      <c r="O38" s="3">
        <f t="shared" si="42"/>
        <v>56</v>
      </c>
      <c r="P38" s="5">
        <f t="shared" si="43"/>
        <v>93.032258064516128</v>
      </c>
      <c r="Q38" s="5">
        <f t="shared" si="44"/>
        <v>36.458333333372138</v>
      </c>
      <c r="R38" s="7">
        <f t="shared" si="28"/>
        <v>903.22580645161293</v>
      </c>
      <c r="S38" s="6">
        <f t="shared" si="45"/>
        <v>349</v>
      </c>
      <c r="T38" s="7">
        <f t="shared" si="46"/>
        <v>554.22580645161293</v>
      </c>
      <c r="U38" s="7">
        <f t="shared" si="47"/>
        <v>596.12903225806451</v>
      </c>
      <c r="V38" s="6">
        <f t="shared" si="48"/>
        <v>188</v>
      </c>
      <c r="W38" s="7">
        <f t="shared" si="49"/>
        <v>408.12903225806451</v>
      </c>
      <c r="X38" s="7">
        <f t="shared" si="50"/>
        <v>3612.9032258064517</v>
      </c>
      <c r="Y38" s="7">
        <f t="shared" si="51"/>
        <v>1337</v>
      </c>
      <c r="Z38" s="7">
        <f t="shared" si="52"/>
        <v>2275.9032258064517</v>
      </c>
      <c r="AA38" s="24">
        <f t="shared" si="53"/>
        <v>0.99881574565426889</v>
      </c>
      <c r="AB38" s="1"/>
    </row>
    <row r="39" spans="2:28" ht="18" x14ac:dyDescent="0.25">
      <c r="B39" s="3">
        <v>3</v>
      </c>
      <c r="C39" s="5">
        <f t="shared" si="61"/>
        <v>241287</v>
      </c>
      <c r="D39" s="5">
        <f>D40+170</f>
        <v>533407</v>
      </c>
      <c r="E39" s="5">
        <f>E40+48</f>
        <v>118127</v>
      </c>
      <c r="F39" s="8">
        <f t="shared" si="54"/>
        <v>892821</v>
      </c>
      <c r="G39" s="22">
        <f t="shared" si="18"/>
        <v>892527</v>
      </c>
      <c r="H39" s="7">
        <f t="shared" si="19"/>
        <v>892562.41666666663</v>
      </c>
      <c r="I39" s="5">
        <f>I40+15</f>
        <v>97902</v>
      </c>
      <c r="J39" s="6">
        <f t="shared" si="38"/>
        <v>118</v>
      </c>
      <c r="K39" s="6">
        <f t="shared" si="39"/>
        <v>170</v>
      </c>
      <c r="L39" s="6">
        <f t="shared" si="40"/>
        <v>48</v>
      </c>
      <c r="M39" s="6">
        <f t="shared" si="41"/>
        <v>15</v>
      </c>
      <c r="N39" s="5">
        <f t="shared" si="24"/>
        <v>149.03225806451613</v>
      </c>
      <c r="O39" s="3">
        <f t="shared" si="42"/>
        <v>48</v>
      </c>
      <c r="P39" s="5">
        <f t="shared" si="43"/>
        <v>101.03225806451613</v>
      </c>
      <c r="Q39" s="5">
        <f t="shared" si="44"/>
        <v>35.416666666627862</v>
      </c>
      <c r="R39" s="7">
        <f t="shared" si="28"/>
        <v>903.22580645161293</v>
      </c>
      <c r="S39" s="6">
        <f t="shared" si="45"/>
        <v>336</v>
      </c>
      <c r="T39" s="7">
        <f t="shared" si="46"/>
        <v>567.22580645161293</v>
      </c>
      <c r="U39" s="7">
        <f t="shared" si="47"/>
        <v>447.09677419354841</v>
      </c>
      <c r="V39" s="6">
        <f t="shared" si="48"/>
        <v>132</v>
      </c>
      <c r="W39" s="7">
        <f t="shared" si="49"/>
        <v>315.09677419354841</v>
      </c>
      <c r="X39" s="7">
        <f t="shared" si="50"/>
        <v>2709.677419354839</v>
      </c>
      <c r="Y39" s="7">
        <f t="shared" si="51"/>
        <v>988</v>
      </c>
      <c r="Z39" s="7">
        <f t="shared" si="52"/>
        <v>1721.677419354839</v>
      </c>
      <c r="AA39" s="24">
        <f t="shared" si="53"/>
        <v>0.99900499467907888</v>
      </c>
      <c r="AB39" s="1"/>
    </row>
    <row r="40" spans="2:28" ht="18" x14ac:dyDescent="0.25">
      <c r="B40" s="3">
        <v>2</v>
      </c>
      <c r="C40" s="5">
        <f t="shared" si="61"/>
        <v>241169</v>
      </c>
      <c r="D40" s="5">
        <f>D41+169</f>
        <v>533237</v>
      </c>
      <c r="E40" s="5">
        <f>E41+43</f>
        <v>118079</v>
      </c>
      <c r="F40" s="8">
        <f t="shared" si="54"/>
        <v>892485</v>
      </c>
      <c r="G40" s="22">
        <f t="shared" si="18"/>
        <v>892196.25</v>
      </c>
      <c r="H40" s="7">
        <f t="shared" si="19"/>
        <v>892231.45833333337</v>
      </c>
      <c r="I40" s="5">
        <f>I41+12</f>
        <v>97887</v>
      </c>
      <c r="J40" s="6">
        <f t="shared" si="38"/>
        <v>118</v>
      </c>
      <c r="K40" s="6">
        <f t="shared" si="39"/>
        <v>169</v>
      </c>
      <c r="L40" s="6">
        <f t="shared" si="40"/>
        <v>43</v>
      </c>
      <c r="M40" s="6">
        <f t="shared" si="41"/>
        <v>12</v>
      </c>
      <c r="N40" s="5">
        <f t="shared" si="24"/>
        <v>149.03225806451613</v>
      </c>
      <c r="O40" s="3">
        <f t="shared" si="42"/>
        <v>43</v>
      </c>
      <c r="P40" s="5">
        <f t="shared" si="43"/>
        <v>106.03225806451613</v>
      </c>
      <c r="Q40" s="5">
        <f t="shared" si="44"/>
        <v>35.208333333372138</v>
      </c>
      <c r="R40" s="7">
        <f>R41</f>
        <v>903.22580645161293</v>
      </c>
      <c r="S40" s="6">
        <f t="shared" si="45"/>
        <v>330</v>
      </c>
      <c r="T40" s="7">
        <f t="shared" si="46"/>
        <v>573.22580645161293</v>
      </c>
      <c r="U40" s="7">
        <f t="shared" si="47"/>
        <v>298.06451612903226</v>
      </c>
      <c r="V40" s="6">
        <f t="shared" si="48"/>
        <v>84</v>
      </c>
      <c r="W40" s="7">
        <f t="shared" si="49"/>
        <v>214.06451612903226</v>
      </c>
      <c r="X40" s="7">
        <f t="shared" si="50"/>
        <v>1806.4516129032259</v>
      </c>
      <c r="Y40" s="7">
        <f t="shared" si="51"/>
        <v>652</v>
      </c>
      <c r="Z40" s="7">
        <f t="shared" si="52"/>
        <v>1154.4516129032259</v>
      </c>
      <c r="AA40" s="24">
        <f t="shared" si="53"/>
        <v>0.99933949794643206</v>
      </c>
      <c r="AB40" s="1"/>
    </row>
    <row r="41" spans="2:28" ht="18.75" thickBot="1" x14ac:dyDescent="0.3">
      <c r="B41" s="3">
        <v>1</v>
      </c>
      <c r="C41" s="5">
        <f>C42+118</f>
        <v>241051</v>
      </c>
      <c r="D41" s="5">
        <f>D42+163</f>
        <v>533068</v>
      </c>
      <c r="E41" s="5">
        <f>E42+41</f>
        <v>118036</v>
      </c>
      <c r="F41" s="8">
        <f t="shared" si="54"/>
        <v>892155</v>
      </c>
      <c r="G41" s="22">
        <f>(C42+D42+E42)+((S41/24)*3)</f>
        <v>891873.25</v>
      </c>
      <c r="H41" s="7">
        <f>G41+((K41/12)*2.5)</f>
        <v>891907.20833333337</v>
      </c>
      <c r="I41" s="5">
        <f>I42+10</f>
        <v>97875</v>
      </c>
      <c r="J41" s="6">
        <f>C41-C42</f>
        <v>118</v>
      </c>
      <c r="K41" s="6">
        <f>D41-D42</f>
        <v>163</v>
      </c>
      <c r="L41" s="6">
        <f>E41-E42</f>
        <v>41</v>
      </c>
      <c r="M41" s="6">
        <f>I41-I42</f>
        <v>10</v>
      </c>
      <c r="N41" s="43">
        <f>O6/31</f>
        <v>149.03225806451613</v>
      </c>
      <c r="O41" s="3">
        <f t="shared" si="42"/>
        <v>41</v>
      </c>
      <c r="P41" s="5">
        <f t="shared" si="43"/>
        <v>108.03225806451613</v>
      </c>
      <c r="Q41" s="5">
        <f t="shared" si="44"/>
        <v>33.958333333372138</v>
      </c>
      <c r="R41" s="45">
        <f>S6/31</f>
        <v>903.22580645161293</v>
      </c>
      <c r="S41" s="6">
        <f t="shared" si="45"/>
        <v>322</v>
      </c>
      <c r="T41" s="7">
        <f t="shared" si="46"/>
        <v>581.22580645161293</v>
      </c>
      <c r="U41" s="7">
        <f>N41</f>
        <v>149.03225806451613</v>
      </c>
      <c r="V41" s="6">
        <f>O41</f>
        <v>41</v>
      </c>
      <c r="W41" s="7">
        <f t="shared" si="49"/>
        <v>108.03225806451613</v>
      </c>
      <c r="X41" s="7">
        <f>R41</f>
        <v>903.22580645161293</v>
      </c>
      <c r="Y41" s="7">
        <f>S41</f>
        <v>322</v>
      </c>
      <c r="Z41" s="7">
        <f t="shared" si="52"/>
        <v>581.22580645161293</v>
      </c>
      <c r="AA41" s="56">
        <f t="shared" si="53"/>
        <v>0.9995181140633258</v>
      </c>
      <c r="AB41" s="1"/>
    </row>
    <row r="42" spans="2:28" ht="54.75" thickBot="1" x14ac:dyDescent="0.3">
      <c r="B42" s="33" t="s">
        <v>13</v>
      </c>
      <c r="C42" s="3">
        <v>240933</v>
      </c>
      <c r="D42" s="3">
        <v>532905</v>
      </c>
      <c r="E42" s="3">
        <v>117995</v>
      </c>
      <c r="F42" s="9">
        <v>891833</v>
      </c>
      <c r="G42" s="9">
        <v>891635.4375</v>
      </c>
      <c r="H42" s="9">
        <v>891663.77083333337</v>
      </c>
      <c r="I42" s="3">
        <v>97865</v>
      </c>
      <c r="J42" s="10"/>
      <c r="K42" s="10"/>
      <c r="L42" s="10"/>
      <c r="M42" s="46">
        <f>SUM(M11:M41)</f>
        <v>1123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7">
        <f>AVERAGE(AA11:AA41)</f>
        <v>0.99412039493191862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9" spans="26:27" ht="18" x14ac:dyDescent="0.25">
      <c r="Z49" s="10" t="s">
        <v>38</v>
      </c>
    </row>
    <row r="50" spans="26:27" ht="18" x14ac:dyDescent="0.25">
      <c r="Z50" s="10" t="s">
        <v>44</v>
      </c>
      <c r="AA50" s="10"/>
    </row>
    <row r="51" spans="26:27" ht="18" x14ac:dyDescent="0.25">
      <c r="Z51" s="10" t="s">
        <v>45</v>
      </c>
      <c r="AA51" s="10"/>
    </row>
    <row r="52" spans="26:27" ht="18" x14ac:dyDescent="0.25">
      <c r="Z52" s="10" t="s">
        <v>12</v>
      </c>
      <c r="AA52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B2:AB54"/>
  <sheetViews>
    <sheetView topLeftCell="L19" zoomScale="85" zoomScaleNormal="85" zoomScaleSheetLayoutView="70" workbookViewId="0">
      <selection activeCell="U6" sqref="U6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'Ciencia A'!N4</f>
        <v>45658</v>
      </c>
    </row>
    <row r="5" spans="2:28" x14ac:dyDescent="0.25">
      <c r="C5" s="82" t="s">
        <v>31</v>
      </c>
      <c r="D5" s="82"/>
      <c r="T5" s="52"/>
      <c r="U5" s="52" t="s">
        <v>42</v>
      </c>
      <c r="V5" s="52" t="s">
        <v>43</v>
      </c>
    </row>
    <row r="6" spans="2:28" ht="18.75" x14ac:dyDescent="0.3">
      <c r="N6" s="13" t="s">
        <v>27</v>
      </c>
      <c r="O6" s="29">
        <f>S6*16.5%</f>
        <v>1650</v>
      </c>
      <c r="P6" s="30" t="s">
        <v>26</v>
      </c>
      <c r="Q6" s="11">
        <f>(S6*8)/100</f>
        <v>800</v>
      </c>
      <c r="R6" s="13" t="s">
        <v>25</v>
      </c>
      <c r="S6" s="12">
        <v>10000</v>
      </c>
      <c r="T6" s="52" t="s">
        <v>41</v>
      </c>
      <c r="U6" s="52">
        <v>362</v>
      </c>
      <c r="V6" s="51">
        <f>U6/31</f>
        <v>11.67741935483871</v>
      </c>
    </row>
    <row r="7" spans="2:28" ht="46.5" customHeight="1" x14ac:dyDescent="0.25">
      <c r="B7" s="80" t="s">
        <v>24</v>
      </c>
      <c r="C7" s="78" t="s">
        <v>9</v>
      </c>
      <c r="D7" s="78"/>
      <c r="E7" s="78"/>
      <c r="F7" s="78"/>
      <c r="G7" s="78"/>
      <c r="H7" s="78"/>
      <c r="I7" s="78"/>
      <c r="J7" s="78" t="s">
        <v>23</v>
      </c>
      <c r="K7" s="78"/>
      <c r="L7" s="78"/>
      <c r="M7" s="78"/>
      <c r="N7" s="78" t="s">
        <v>22</v>
      </c>
      <c r="O7" s="78"/>
      <c r="P7" s="78"/>
      <c r="Q7" s="79" t="s">
        <v>21</v>
      </c>
      <c r="R7" s="78" t="s">
        <v>20</v>
      </c>
      <c r="S7" s="78"/>
      <c r="T7" s="78"/>
      <c r="U7" s="78" t="s">
        <v>10</v>
      </c>
      <c r="V7" s="78"/>
      <c r="W7" s="78"/>
      <c r="X7" s="78" t="s">
        <v>11</v>
      </c>
      <c r="Y7" s="78"/>
      <c r="Z7" s="78"/>
      <c r="AA7" s="78"/>
      <c r="AB7" s="79" t="s">
        <v>8</v>
      </c>
    </row>
    <row r="8" spans="2:28" ht="30" x14ac:dyDescent="0.25">
      <c r="B8" s="8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7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7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>
        <v>31</v>
      </c>
      <c r="C11" s="60">
        <v>255451</v>
      </c>
      <c r="D11" s="60">
        <v>510330</v>
      </c>
      <c r="E11" s="60">
        <v>168514</v>
      </c>
      <c r="F11" s="61">
        <f t="shared" ref="F11" si="0">C11+D11+E11</f>
        <v>934295</v>
      </c>
      <c r="G11" s="62">
        <f t="shared" ref="G11" si="1">(C12+D12+E12)+((S11/24)*9.5)</f>
        <v>934264.79166666663</v>
      </c>
      <c r="H11" s="60">
        <f t="shared" ref="H11" si="2">G11+((K11/12)*2.5)</f>
        <v>934266.875</v>
      </c>
      <c r="I11" s="60">
        <v>298958</v>
      </c>
      <c r="J11" s="63">
        <f t="shared" ref="J11:L11" si="3">C11-C12</f>
        <v>32</v>
      </c>
      <c r="K11" s="63">
        <f t="shared" si="3"/>
        <v>10</v>
      </c>
      <c r="L11" s="63">
        <f t="shared" si="3"/>
        <v>8</v>
      </c>
      <c r="M11" s="63">
        <f t="shared" ref="M11" si="4">I11-I12</f>
        <v>8</v>
      </c>
      <c r="N11" s="64">
        <f t="shared" ref="N11:N16" si="5">N12</f>
        <v>53.225806451612904</v>
      </c>
      <c r="O11" s="65">
        <f t="shared" ref="O11:O41" si="6">L11</f>
        <v>8</v>
      </c>
      <c r="P11" s="64">
        <f t="shared" ref="P11" si="7">N11-O11</f>
        <v>45.225806451612904</v>
      </c>
      <c r="Q11" s="64">
        <f t="shared" ref="Q11" si="8">H11-G11</f>
        <v>2.0833333333721384</v>
      </c>
      <c r="R11" s="60">
        <f t="shared" ref="R11:R16" si="9">R12</f>
        <v>322.58064516129031</v>
      </c>
      <c r="S11" s="63">
        <f t="shared" ref="S11" si="10">J11+K11+L11</f>
        <v>50</v>
      </c>
      <c r="T11" s="60">
        <f t="shared" ref="T11" si="11">R11-S11</f>
        <v>272.58064516129031</v>
      </c>
      <c r="U11" s="60">
        <f t="shared" ref="U11:V11" si="12">U12+N11</f>
        <v>1650.0000000000005</v>
      </c>
      <c r="V11" s="60">
        <f t="shared" si="12"/>
        <v>232</v>
      </c>
      <c r="W11" s="60">
        <f t="shared" ref="W11" si="13">U11-V11</f>
        <v>1418.0000000000005</v>
      </c>
      <c r="X11" s="60">
        <f t="shared" ref="X11:Y11" si="14">X12+R11</f>
        <v>10000.000000000002</v>
      </c>
      <c r="Y11" s="60">
        <f t="shared" si="14"/>
        <v>1736</v>
      </c>
      <c r="Z11" s="60">
        <f t="shared" ref="Z11" si="15">X11-Y11</f>
        <v>8264.0000000000018</v>
      </c>
      <c r="AA11" s="66">
        <f t="shared" ref="AA11" si="16">COS(ATAN(M11/S11))</f>
        <v>0.98744063191670539</v>
      </c>
      <c r="AB11" s="67"/>
    </row>
    <row r="12" spans="2:28" ht="18" x14ac:dyDescent="0.25">
      <c r="B12" s="3">
        <v>30</v>
      </c>
      <c r="C12" s="3">
        <f>C13+30</f>
        <v>255419</v>
      </c>
      <c r="D12" s="3">
        <f>D13+14</f>
        <v>510320</v>
      </c>
      <c r="E12" s="3">
        <f>E13+6</f>
        <v>168506</v>
      </c>
      <c r="F12" s="8">
        <f t="shared" ref="F12" si="17">C12+D12+E12</f>
        <v>934245</v>
      </c>
      <c r="G12" s="22">
        <f t="shared" ref="G12" si="18">(C13+D13+E13)+((S12/24)*7.5)</f>
        <v>934210.625</v>
      </c>
      <c r="H12" s="7">
        <f t="shared" ref="H12" si="19">G12+((K12/12)*2.5)</f>
        <v>934213.54166666663</v>
      </c>
      <c r="I12" s="3">
        <f>I13+7</f>
        <v>298950</v>
      </c>
      <c r="J12" s="6">
        <f t="shared" ref="J12" si="20">C12-C13</f>
        <v>30</v>
      </c>
      <c r="K12" s="6">
        <f t="shared" ref="K12" si="21">D12-D13</f>
        <v>14</v>
      </c>
      <c r="L12" s="6">
        <f t="shared" ref="L12" si="22">E12-E13</f>
        <v>6</v>
      </c>
      <c r="M12" s="6">
        <f t="shared" ref="M12" si="23">I12-I13</f>
        <v>7</v>
      </c>
      <c r="N12" s="5">
        <f t="shared" si="5"/>
        <v>53.225806451612904</v>
      </c>
      <c r="O12" s="23">
        <f t="shared" si="6"/>
        <v>6</v>
      </c>
      <c r="P12" s="5">
        <f t="shared" ref="P12" si="24">N12-O12</f>
        <v>47.225806451612904</v>
      </c>
      <c r="Q12" s="5">
        <f t="shared" ref="Q12" si="25">H12-G12</f>
        <v>2.9166666666278616</v>
      </c>
      <c r="R12" s="7">
        <f t="shared" si="9"/>
        <v>322.58064516129031</v>
      </c>
      <c r="S12" s="6">
        <f t="shared" ref="S12" si="26">J12+K12+L12</f>
        <v>50</v>
      </c>
      <c r="T12" s="7">
        <f t="shared" ref="T12" si="27">R12-S12</f>
        <v>272.58064516129031</v>
      </c>
      <c r="U12" s="7">
        <f t="shared" ref="U12" si="28">U13+N12</f>
        <v>1596.7741935483875</v>
      </c>
      <c r="V12" s="7">
        <f t="shared" ref="V12" si="29">V13+O12</f>
        <v>224</v>
      </c>
      <c r="W12" s="7">
        <f t="shared" ref="W12" si="30">U12-V12</f>
        <v>1372.7741935483875</v>
      </c>
      <c r="X12" s="7">
        <f t="shared" ref="X12" si="31">X13+R12</f>
        <v>9677.419354838712</v>
      </c>
      <c r="Y12" s="7">
        <f t="shared" ref="Y12" si="32">Y13+S12</f>
        <v>1686</v>
      </c>
      <c r="Z12" s="7">
        <f t="shared" ref="Z12" si="33">X12-Y12</f>
        <v>7991.419354838712</v>
      </c>
      <c r="AA12" s="24">
        <f t="shared" ref="AA12" si="34">COS(ATAN(M12/S12))</f>
        <v>0.99034174667433017</v>
      </c>
      <c r="AB12" s="25"/>
    </row>
    <row r="13" spans="2:28" ht="18" x14ac:dyDescent="0.25">
      <c r="B13" s="3">
        <v>29</v>
      </c>
      <c r="C13" s="3">
        <f>C14+27</f>
        <v>255389</v>
      </c>
      <c r="D13" s="3">
        <f>D14+34</f>
        <v>510306</v>
      </c>
      <c r="E13" s="3">
        <f>E14+6</f>
        <v>168500</v>
      </c>
      <c r="F13" s="8">
        <f t="shared" ref="F13:F40" si="35">C13+D13+E13</f>
        <v>934195</v>
      </c>
      <c r="G13" s="22">
        <f t="shared" ref="G13:G40" si="36">(C14+D14+E14)+((S13/24)*7.5)</f>
        <v>934148.9375</v>
      </c>
      <c r="H13" s="7">
        <f t="shared" ref="H13:H40" si="37">G13+((K13/12)*2.5)</f>
        <v>934156.02083333337</v>
      </c>
      <c r="I13" s="3">
        <f>I14+6</f>
        <v>298943</v>
      </c>
      <c r="J13" s="6">
        <f t="shared" ref="J13:L41" si="38">C13-C14</f>
        <v>27</v>
      </c>
      <c r="K13" s="6">
        <f t="shared" si="38"/>
        <v>34</v>
      </c>
      <c r="L13" s="6">
        <f t="shared" si="38"/>
        <v>6</v>
      </c>
      <c r="M13" s="6">
        <f>I13-I14</f>
        <v>6</v>
      </c>
      <c r="N13" s="5">
        <f t="shared" si="5"/>
        <v>53.225806451612904</v>
      </c>
      <c r="O13" s="23">
        <f t="shared" si="6"/>
        <v>6</v>
      </c>
      <c r="P13" s="5">
        <f t="shared" ref="P13:P41" si="39">N13-O13</f>
        <v>47.225806451612904</v>
      </c>
      <c r="Q13" s="5">
        <f t="shared" ref="Q13:Q41" si="40">H13-G13</f>
        <v>7.0833333333721384</v>
      </c>
      <c r="R13" s="7">
        <f t="shared" si="9"/>
        <v>322.58064516129031</v>
      </c>
      <c r="S13" s="6">
        <f t="shared" ref="S13:S41" si="41">J13+K13+L13</f>
        <v>67</v>
      </c>
      <c r="T13" s="7">
        <f t="shared" ref="T13:T41" si="42">R13-S13</f>
        <v>255.58064516129031</v>
      </c>
      <c r="U13" s="7">
        <f t="shared" ref="U13:V40" si="43">U14+N13</f>
        <v>1543.5483870967746</v>
      </c>
      <c r="V13" s="7">
        <f t="shared" si="43"/>
        <v>218</v>
      </c>
      <c r="W13" s="7">
        <f t="shared" ref="W13:W41" si="44">U13-V13</f>
        <v>1325.5483870967746</v>
      </c>
      <c r="X13" s="7">
        <f t="shared" ref="X13:Y40" si="45">X14+R13</f>
        <v>9354.8387096774222</v>
      </c>
      <c r="Y13" s="7">
        <f t="shared" si="45"/>
        <v>1636</v>
      </c>
      <c r="Z13" s="7">
        <f t="shared" ref="Z13:Z41" si="46">X13-Y13</f>
        <v>7718.8387096774222</v>
      </c>
      <c r="AA13" s="24">
        <f t="shared" ref="AA13:AA41" si="47">COS(ATAN(M13/S13))</f>
        <v>0.99601415597120291</v>
      </c>
      <c r="AB13" s="25"/>
    </row>
    <row r="14" spans="2:28" ht="18" x14ac:dyDescent="0.25">
      <c r="B14" s="3">
        <v>28</v>
      </c>
      <c r="C14" s="3">
        <v>255362</v>
      </c>
      <c r="D14" s="3">
        <v>510272</v>
      </c>
      <c r="E14" s="3">
        <v>168494</v>
      </c>
      <c r="F14" s="8">
        <f t="shared" si="35"/>
        <v>934128</v>
      </c>
      <c r="G14" s="22">
        <f t="shared" si="36"/>
        <v>934062</v>
      </c>
      <c r="H14" s="7">
        <f t="shared" si="37"/>
        <v>934074.08333333337</v>
      </c>
      <c r="I14" s="3">
        <f>I15+4</f>
        <v>298937</v>
      </c>
      <c r="J14" s="6">
        <f t="shared" si="38"/>
        <v>29</v>
      </c>
      <c r="K14" s="6">
        <f t="shared" si="38"/>
        <v>58</v>
      </c>
      <c r="L14" s="6">
        <f t="shared" si="38"/>
        <v>9</v>
      </c>
      <c r="M14" s="6">
        <f>I14-I15</f>
        <v>4</v>
      </c>
      <c r="N14" s="5">
        <f t="shared" si="5"/>
        <v>53.225806451612904</v>
      </c>
      <c r="O14" s="23">
        <f t="shared" si="6"/>
        <v>9</v>
      </c>
      <c r="P14" s="5">
        <f t="shared" si="39"/>
        <v>44.225806451612904</v>
      </c>
      <c r="Q14" s="5">
        <f t="shared" si="40"/>
        <v>12.083333333372138</v>
      </c>
      <c r="R14" s="7">
        <f t="shared" si="9"/>
        <v>322.58064516129031</v>
      </c>
      <c r="S14" s="6">
        <f t="shared" si="41"/>
        <v>96</v>
      </c>
      <c r="T14" s="7">
        <f t="shared" si="42"/>
        <v>226.58064516129031</v>
      </c>
      <c r="U14" s="7">
        <f t="shared" si="43"/>
        <v>1490.3225806451617</v>
      </c>
      <c r="V14" s="7">
        <f t="shared" si="43"/>
        <v>212</v>
      </c>
      <c r="W14" s="7">
        <f t="shared" si="44"/>
        <v>1278.3225806451617</v>
      </c>
      <c r="X14" s="7">
        <f t="shared" si="45"/>
        <v>9032.2580645161324</v>
      </c>
      <c r="Y14" s="7">
        <f t="shared" si="45"/>
        <v>1569</v>
      </c>
      <c r="Z14" s="7">
        <f t="shared" si="46"/>
        <v>7463.2580645161324</v>
      </c>
      <c r="AA14" s="24">
        <f t="shared" si="47"/>
        <v>0.99913307309235189</v>
      </c>
      <c r="AB14" s="25"/>
    </row>
    <row r="15" spans="2:28" ht="18" x14ac:dyDescent="0.25">
      <c r="B15" s="3">
        <v>27</v>
      </c>
      <c r="C15" s="3">
        <f>C16+28</f>
        <v>255333</v>
      </c>
      <c r="D15" s="3">
        <f t="shared" ref="D15:D18" si="48">D16+53</f>
        <v>510214</v>
      </c>
      <c r="E15" s="3">
        <f>E16+12</f>
        <v>168485</v>
      </c>
      <c r="F15" s="8">
        <f t="shared" si="35"/>
        <v>934032</v>
      </c>
      <c r="G15" s="22">
        <f t="shared" si="36"/>
        <v>933968.0625</v>
      </c>
      <c r="H15" s="7">
        <f t="shared" si="37"/>
        <v>933979.10416666663</v>
      </c>
      <c r="I15" s="3">
        <f>I16+5</f>
        <v>298933</v>
      </c>
      <c r="J15" s="6">
        <f t="shared" si="38"/>
        <v>28</v>
      </c>
      <c r="K15" s="6">
        <f t="shared" si="38"/>
        <v>53</v>
      </c>
      <c r="L15" s="6">
        <f t="shared" si="38"/>
        <v>12</v>
      </c>
      <c r="M15" s="6">
        <f t="shared" ref="M15:M41" si="49">I15-I16</f>
        <v>5</v>
      </c>
      <c r="N15" s="5">
        <f t="shared" si="5"/>
        <v>53.225806451612904</v>
      </c>
      <c r="O15" s="23">
        <f t="shared" si="6"/>
        <v>12</v>
      </c>
      <c r="P15" s="5">
        <f t="shared" si="39"/>
        <v>41.225806451612904</v>
      </c>
      <c r="Q15" s="5">
        <f t="shared" si="40"/>
        <v>11.041666666627862</v>
      </c>
      <c r="R15" s="7">
        <f t="shared" si="9"/>
        <v>322.58064516129031</v>
      </c>
      <c r="S15" s="6">
        <f t="shared" si="41"/>
        <v>93</v>
      </c>
      <c r="T15" s="7">
        <f t="shared" si="42"/>
        <v>229.58064516129031</v>
      </c>
      <c r="U15" s="7">
        <f t="shared" si="43"/>
        <v>1437.0967741935488</v>
      </c>
      <c r="V15" s="7">
        <f t="shared" si="43"/>
        <v>203</v>
      </c>
      <c r="W15" s="7">
        <f t="shared" si="44"/>
        <v>1234.0967741935488</v>
      </c>
      <c r="X15" s="7">
        <f t="shared" si="45"/>
        <v>8709.6774193548426</v>
      </c>
      <c r="Y15" s="7">
        <f t="shared" si="45"/>
        <v>1473</v>
      </c>
      <c r="Z15" s="7">
        <f t="shared" si="46"/>
        <v>7236.6774193548426</v>
      </c>
      <c r="AA15" s="24">
        <f t="shared" si="47"/>
        <v>0.99855787182326927</v>
      </c>
      <c r="AB15" s="25"/>
    </row>
    <row r="16" spans="2:28" s="68" customFormat="1" ht="18" x14ac:dyDescent="0.25">
      <c r="B16" s="59">
        <v>26</v>
      </c>
      <c r="C16" s="3">
        <f>C17+30</f>
        <v>255305</v>
      </c>
      <c r="D16" s="3">
        <f>D17+51</f>
        <v>510161</v>
      </c>
      <c r="E16" s="3">
        <f>E17+9</f>
        <v>168473</v>
      </c>
      <c r="F16" s="61">
        <f t="shared" si="35"/>
        <v>933939</v>
      </c>
      <c r="G16" s="62">
        <f t="shared" si="36"/>
        <v>933877.125</v>
      </c>
      <c r="H16" s="60">
        <f t="shared" si="37"/>
        <v>933887.75</v>
      </c>
      <c r="I16" s="3">
        <f>I17+5</f>
        <v>298928</v>
      </c>
      <c r="J16" s="63">
        <f t="shared" si="38"/>
        <v>30</v>
      </c>
      <c r="K16" s="63">
        <f t="shared" si="38"/>
        <v>51</v>
      </c>
      <c r="L16" s="63">
        <f t="shared" si="38"/>
        <v>9</v>
      </c>
      <c r="M16" s="63">
        <f t="shared" si="49"/>
        <v>5</v>
      </c>
      <c r="N16" s="64">
        <f t="shared" si="5"/>
        <v>53.225806451612904</v>
      </c>
      <c r="O16" s="65">
        <f t="shared" si="6"/>
        <v>9</v>
      </c>
      <c r="P16" s="64">
        <f t="shared" si="39"/>
        <v>44.225806451612904</v>
      </c>
      <c r="Q16" s="64">
        <f t="shared" si="40"/>
        <v>10.625</v>
      </c>
      <c r="R16" s="60">
        <f t="shared" si="9"/>
        <v>322.58064516129031</v>
      </c>
      <c r="S16" s="63">
        <f t="shared" si="41"/>
        <v>90</v>
      </c>
      <c r="T16" s="60">
        <f t="shared" si="42"/>
        <v>232.58064516129031</v>
      </c>
      <c r="U16" s="60">
        <f t="shared" si="43"/>
        <v>1383.8709677419358</v>
      </c>
      <c r="V16" s="60">
        <f t="shared" si="43"/>
        <v>191</v>
      </c>
      <c r="W16" s="60">
        <f t="shared" si="44"/>
        <v>1192.8709677419358</v>
      </c>
      <c r="X16" s="60">
        <f t="shared" si="45"/>
        <v>8387.0967741935528</v>
      </c>
      <c r="Y16" s="60">
        <f t="shared" si="45"/>
        <v>1380</v>
      </c>
      <c r="Z16" s="60">
        <f t="shared" si="46"/>
        <v>7007.0967741935528</v>
      </c>
      <c r="AA16" s="66">
        <f t="shared" si="47"/>
        <v>0.99846035320541238</v>
      </c>
      <c r="AB16" s="67"/>
    </row>
    <row r="17" spans="2:28" ht="18" x14ac:dyDescent="0.25">
      <c r="B17" s="3">
        <v>25</v>
      </c>
      <c r="C17" s="3">
        <f>C18+29</f>
        <v>255275</v>
      </c>
      <c r="D17" s="3">
        <f>D18+55</f>
        <v>510110</v>
      </c>
      <c r="E17" s="3">
        <f>E18+10</f>
        <v>168464</v>
      </c>
      <c r="F17" s="8">
        <f t="shared" si="35"/>
        <v>933849</v>
      </c>
      <c r="G17" s="22">
        <f t="shared" si="36"/>
        <v>933784.375</v>
      </c>
      <c r="H17" s="7">
        <f t="shared" si="37"/>
        <v>933795.83333333337</v>
      </c>
      <c r="I17" s="3">
        <f>I18+10</f>
        <v>298923</v>
      </c>
      <c r="J17" s="6">
        <f t="shared" si="38"/>
        <v>29</v>
      </c>
      <c r="K17" s="6">
        <f t="shared" si="38"/>
        <v>55</v>
      </c>
      <c r="L17" s="6">
        <f t="shared" si="38"/>
        <v>10</v>
      </c>
      <c r="M17" s="6">
        <f t="shared" si="49"/>
        <v>10</v>
      </c>
      <c r="N17" s="5">
        <f t="shared" ref="N17:N40" si="50">N18</f>
        <v>53.225806451612904</v>
      </c>
      <c r="O17" s="23">
        <f t="shared" si="6"/>
        <v>10</v>
      </c>
      <c r="P17" s="5">
        <f t="shared" si="39"/>
        <v>43.225806451612904</v>
      </c>
      <c r="Q17" s="5">
        <f t="shared" si="40"/>
        <v>11.458333333372138</v>
      </c>
      <c r="R17" s="7">
        <f t="shared" ref="R17:R39" si="51">R18</f>
        <v>322.58064516129031</v>
      </c>
      <c r="S17" s="6">
        <f t="shared" si="41"/>
        <v>94</v>
      </c>
      <c r="T17" s="7">
        <f t="shared" si="42"/>
        <v>228.58064516129031</v>
      </c>
      <c r="U17" s="7">
        <f t="shared" si="43"/>
        <v>1330.6451612903229</v>
      </c>
      <c r="V17" s="7">
        <f t="shared" si="43"/>
        <v>182</v>
      </c>
      <c r="W17" s="7">
        <f t="shared" si="44"/>
        <v>1148.6451612903229</v>
      </c>
      <c r="X17" s="7">
        <f t="shared" si="45"/>
        <v>8064.5161290322621</v>
      </c>
      <c r="Y17" s="7">
        <f t="shared" si="45"/>
        <v>1290</v>
      </c>
      <c r="Z17" s="7">
        <f t="shared" si="46"/>
        <v>6774.5161290322621</v>
      </c>
      <c r="AA17" s="24">
        <f t="shared" si="47"/>
        <v>0.99438891317911238</v>
      </c>
      <c r="AB17" s="25"/>
    </row>
    <row r="18" spans="2:28" ht="18" x14ac:dyDescent="0.25">
      <c r="B18" s="3">
        <v>24</v>
      </c>
      <c r="C18" s="3">
        <f>C19+24</f>
        <v>255246</v>
      </c>
      <c r="D18" s="3">
        <f t="shared" si="48"/>
        <v>510055</v>
      </c>
      <c r="E18" s="3">
        <f>E19+13</f>
        <v>168454</v>
      </c>
      <c r="F18" s="8">
        <f t="shared" si="35"/>
        <v>933755</v>
      </c>
      <c r="G18" s="22">
        <f t="shared" si="36"/>
        <v>933693.125</v>
      </c>
      <c r="H18" s="7">
        <f t="shared" si="37"/>
        <v>933704.16666666663</v>
      </c>
      <c r="I18" s="3">
        <f>I19+8</f>
        <v>298913</v>
      </c>
      <c r="J18" s="6">
        <f t="shared" si="38"/>
        <v>24</v>
      </c>
      <c r="K18" s="6">
        <f t="shared" si="38"/>
        <v>53</v>
      </c>
      <c r="L18" s="6">
        <f t="shared" si="38"/>
        <v>13</v>
      </c>
      <c r="M18" s="6">
        <f t="shared" si="49"/>
        <v>8</v>
      </c>
      <c r="N18" s="5">
        <f t="shared" si="50"/>
        <v>53.225806451612904</v>
      </c>
      <c r="O18" s="23">
        <f t="shared" si="6"/>
        <v>13</v>
      </c>
      <c r="P18" s="5">
        <f t="shared" si="39"/>
        <v>40.225806451612904</v>
      </c>
      <c r="Q18" s="5">
        <f t="shared" si="40"/>
        <v>11.041666666627862</v>
      </c>
      <c r="R18" s="7">
        <f t="shared" si="51"/>
        <v>322.58064516129031</v>
      </c>
      <c r="S18" s="6">
        <f t="shared" si="41"/>
        <v>90</v>
      </c>
      <c r="T18" s="7">
        <f t="shared" si="42"/>
        <v>232.58064516129031</v>
      </c>
      <c r="U18" s="7">
        <f t="shared" si="43"/>
        <v>1277.41935483871</v>
      </c>
      <c r="V18" s="7">
        <f t="shared" si="43"/>
        <v>172</v>
      </c>
      <c r="W18" s="7">
        <f t="shared" si="44"/>
        <v>1105.41935483871</v>
      </c>
      <c r="X18" s="7">
        <f t="shared" si="45"/>
        <v>7741.9354838709714</v>
      </c>
      <c r="Y18" s="7">
        <f t="shared" si="45"/>
        <v>1196</v>
      </c>
      <c r="Z18" s="7">
        <f t="shared" si="46"/>
        <v>6545.9354838709714</v>
      </c>
      <c r="AA18" s="24">
        <f t="shared" si="47"/>
        <v>0.99607264069268653</v>
      </c>
      <c r="AB18" s="25"/>
    </row>
    <row r="19" spans="2:28" ht="18" x14ac:dyDescent="0.25">
      <c r="B19" s="3">
        <v>23</v>
      </c>
      <c r="C19" s="3">
        <f>C20+27</f>
        <v>255222</v>
      </c>
      <c r="D19" s="3">
        <f>D20+49</f>
        <v>510002</v>
      </c>
      <c r="E19" s="3">
        <f>E20+11</f>
        <v>168441</v>
      </c>
      <c r="F19" s="8">
        <f t="shared" si="35"/>
        <v>933665</v>
      </c>
      <c r="G19" s="22">
        <f t="shared" si="36"/>
        <v>933605.1875</v>
      </c>
      <c r="H19" s="7">
        <f t="shared" si="37"/>
        <v>933615.39583333337</v>
      </c>
      <c r="I19" s="3">
        <f>I20+8</f>
        <v>298905</v>
      </c>
      <c r="J19" s="7">
        <f>C19-C20</f>
        <v>27</v>
      </c>
      <c r="K19" s="6">
        <f t="shared" si="38"/>
        <v>49</v>
      </c>
      <c r="L19" s="6">
        <f t="shared" si="38"/>
        <v>11</v>
      </c>
      <c r="M19" s="6">
        <f t="shared" si="49"/>
        <v>8</v>
      </c>
      <c r="N19" s="5">
        <f t="shared" si="50"/>
        <v>53.225806451612904</v>
      </c>
      <c r="O19" s="3">
        <f t="shared" si="6"/>
        <v>11</v>
      </c>
      <c r="P19" s="5">
        <f t="shared" si="39"/>
        <v>42.225806451612904</v>
      </c>
      <c r="Q19" s="5">
        <f t="shared" si="40"/>
        <v>10.208333333372138</v>
      </c>
      <c r="R19" s="7">
        <f t="shared" si="51"/>
        <v>322.58064516129031</v>
      </c>
      <c r="S19" s="6">
        <f t="shared" si="41"/>
        <v>87</v>
      </c>
      <c r="T19" s="7">
        <f t="shared" si="42"/>
        <v>235.58064516129031</v>
      </c>
      <c r="U19" s="7">
        <f t="shared" si="43"/>
        <v>1224.1935483870971</v>
      </c>
      <c r="V19" s="7">
        <f t="shared" si="43"/>
        <v>159</v>
      </c>
      <c r="W19" s="7">
        <f t="shared" si="44"/>
        <v>1065.1935483870971</v>
      </c>
      <c r="X19" s="7">
        <f t="shared" si="45"/>
        <v>7419.3548387096807</v>
      </c>
      <c r="Y19" s="7">
        <f t="shared" si="45"/>
        <v>1106</v>
      </c>
      <c r="Z19" s="7">
        <f t="shared" si="46"/>
        <v>6313.3548387096807</v>
      </c>
      <c r="AA19" s="24">
        <f t="shared" si="47"/>
        <v>0.99579885237044108</v>
      </c>
      <c r="AB19" s="1"/>
    </row>
    <row r="20" spans="2:28" ht="18" x14ac:dyDescent="0.25">
      <c r="B20" s="3">
        <v>22</v>
      </c>
      <c r="C20" s="3">
        <v>255195</v>
      </c>
      <c r="D20" s="3">
        <v>509953</v>
      </c>
      <c r="E20" s="3">
        <v>168430</v>
      </c>
      <c r="F20" s="8">
        <f t="shared" si="35"/>
        <v>933578</v>
      </c>
      <c r="G20" s="22">
        <f t="shared" si="36"/>
        <v>933538.8125</v>
      </c>
      <c r="H20" s="7">
        <f t="shared" si="37"/>
        <v>933543.39583333337</v>
      </c>
      <c r="I20" s="3">
        <v>298897</v>
      </c>
      <c r="J20" s="6">
        <f t="shared" si="38"/>
        <v>25</v>
      </c>
      <c r="K20" s="6">
        <f t="shared" si="38"/>
        <v>22</v>
      </c>
      <c r="L20" s="6">
        <f t="shared" si="38"/>
        <v>10</v>
      </c>
      <c r="M20" s="6">
        <f t="shared" si="49"/>
        <v>8</v>
      </c>
      <c r="N20" s="5">
        <f t="shared" si="50"/>
        <v>53.225806451612904</v>
      </c>
      <c r="O20" s="3">
        <f t="shared" si="6"/>
        <v>10</v>
      </c>
      <c r="P20" s="5">
        <f t="shared" si="39"/>
        <v>43.225806451612904</v>
      </c>
      <c r="Q20" s="5">
        <f t="shared" si="40"/>
        <v>4.5833333333721384</v>
      </c>
      <c r="R20" s="7">
        <f t="shared" si="51"/>
        <v>322.58064516129031</v>
      </c>
      <c r="S20" s="6">
        <f t="shared" si="41"/>
        <v>57</v>
      </c>
      <c r="T20" s="7">
        <f t="shared" si="42"/>
        <v>265.58064516129031</v>
      </c>
      <c r="U20" s="7">
        <f t="shared" si="43"/>
        <v>1170.9677419354841</v>
      </c>
      <c r="V20" s="7">
        <f t="shared" si="43"/>
        <v>148</v>
      </c>
      <c r="W20" s="7">
        <f t="shared" si="44"/>
        <v>1022.9677419354841</v>
      </c>
      <c r="X20" s="7">
        <f t="shared" si="45"/>
        <v>7096.77419354839</v>
      </c>
      <c r="Y20" s="7">
        <f t="shared" si="45"/>
        <v>1019</v>
      </c>
      <c r="Z20" s="7">
        <f t="shared" si="46"/>
        <v>6077.77419354839</v>
      </c>
      <c r="AA20" s="24">
        <f t="shared" si="47"/>
        <v>0.99029397715184431</v>
      </c>
      <c r="AB20" s="1"/>
    </row>
    <row r="21" spans="2:28" ht="18" x14ac:dyDescent="0.25">
      <c r="B21" s="3">
        <v>21</v>
      </c>
      <c r="C21" s="3">
        <f t="shared" ref="C21:C23" si="52">C22+21</f>
        <v>255170</v>
      </c>
      <c r="D21" s="3">
        <f t="shared" ref="D21:D26" si="53">D22+25</f>
        <v>509931</v>
      </c>
      <c r="E21" s="3">
        <f t="shared" ref="E21:E23" si="54">E22+9</f>
        <v>168420</v>
      </c>
      <c r="F21" s="8">
        <f t="shared" si="35"/>
        <v>933521</v>
      </c>
      <c r="G21" s="22">
        <f t="shared" si="36"/>
        <v>933483.1875</v>
      </c>
      <c r="H21" s="7">
        <f t="shared" si="37"/>
        <v>933488.39583333337</v>
      </c>
      <c r="I21" s="3">
        <f t="shared" ref="I21:I25" si="55">I22+5</f>
        <v>298889</v>
      </c>
      <c r="J21" s="6">
        <f t="shared" si="38"/>
        <v>21</v>
      </c>
      <c r="K21" s="6">
        <f t="shared" si="38"/>
        <v>25</v>
      </c>
      <c r="L21" s="6">
        <f t="shared" si="38"/>
        <v>9</v>
      </c>
      <c r="M21" s="6">
        <f t="shared" si="49"/>
        <v>5</v>
      </c>
      <c r="N21" s="5">
        <f t="shared" si="50"/>
        <v>53.225806451612904</v>
      </c>
      <c r="O21" s="3">
        <f t="shared" si="6"/>
        <v>9</v>
      </c>
      <c r="P21" s="5">
        <f t="shared" si="39"/>
        <v>44.225806451612904</v>
      </c>
      <c r="Q21" s="5">
        <f t="shared" si="40"/>
        <v>5.2083333333721384</v>
      </c>
      <c r="R21" s="7">
        <f t="shared" si="51"/>
        <v>322.58064516129031</v>
      </c>
      <c r="S21" s="6">
        <f t="shared" si="41"/>
        <v>55</v>
      </c>
      <c r="T21" s="7">
        <f t="shared" si="42"/>
        <v>267.58064516129031</v>
      </c>
      <c r="U21" s="7">
        <f t="shared" si="43"/>
        <v>1117.7419354838712</v>
      </c>
      <c r="V21" s="7">
        <f t="shared" si="43"/>
        <v>138</v>
      </c>
      <c r="W21" s="7">
        <f t="shared" si="44"/>
        <v>979.7419354838712</v>
      </c>
      <c r="X21" s="7">
        <f t="shared" si="45"/>
        <v>6774.1935483870993</v>
      </c>
      <c r="Y21" s="7">
        <f t="shared" si="45"/>
        <v>962</v>
      </c>
      <c r="Z21" s="7">
        <f t="shared" si="46"/>
        <v>5812.1935483870993</v>
      </c>
      <c r="AA21" s="24">
        <f t="shared" si="47"/>
        <v>0.99589320646770385</v>
      </c>
      <c r="AB21" s="1"/>
    </row>
    <row r="22" spans="2:28" ht="18" x14ac:dyDescent="0.25">
      <c r="B22" s="3">
        <v>20</v>
      </c>
      <c r="C22" s="3">
        <f>C23+20</f>
        <v>255149</v>
      </c>
      <c r="D22" s="3">
        <f>D23+27</f>
        <v>509906</v>
      </c>
      <c r="E22" s="3">
        <f>E23+10</f>
        <v>168411</v>
      </c>
      <c r="F22" s="8">
        <f t="shared" si="35"/>
        <v>933466</v>
      </c>
      <c r="G22" s="22">
        <f t="shared" si="36"/>
        <v>933426.8125</v>
      </c>
      <c r="H22" s="7">
        <f t="shared" si="37"/>
        <v>933432.4375</v>
      </c>
      <c r="I22" s="3">
        <f>I23+6</f>
        <v>298884</v>
      </c>
      <c r="J22" s="6">
        <f t="shared" si="38"/>
        <v>20</v>
      </c>
      <c r="K22" s="6">
        <f t="shared" si="38"/>
        <v>27</v>
      </c>
      <c r="L22" s="6">
        <f t="shared" si="38"/>
        <v>10</v>
      </c>
      <c r="M22" s="6">
        <f t="shared" si="49"/>
        <v>6</v>
      </c>
      <c r="N22" s="5">
        <f t="shared" si="50"/>
        <v>53.225806451612904</v>
      </c>
      <c r="O22" s="3">
        <f t="shared" si="6"/>
        <v>10</v>
      </c>
      <c r="P22" s="5">
        <f t="shared" si="39"/>
        <v>43.225806451612904</v>
      </c>
      <c r="Q22" s="5">
        <f t="shared" si="40"/>
        <v>5.625</v>
      </c>
      <c r="R22" s="7">
        <f t="shared" si="51"/>
        <v>322.58064516129031</v>
      </c>
      <c r="S22" s="6">
        <f t="shared" si="41"/>
        <v>57</v>
      </c>
      <c r="T22" s="7">
        <f t="shared" si="42"/>
        <v>265.58064516129031</v>
      </c>
      <c r="U22" s="7">
        <f t="shared" si="43"/>
        <v>1064.5161290322583</v>
      </c>
      <c r="V22" s="7">
        <f t="shared" si="43"/>
        <v>129</v>
      </c>
      <c r="W22" s="7">
        <f t="shared" si="44"/>
        <v>935.51612903225828</v>
      </c>
      <c r="X22" s="7">
        <f t="shared" si="45"/>
        <v>6451.6129032258086</v>
      </c>
      <c r="Y22" s="7">
        <f t="shared" si="45"/>
        <v>907</v>
      </c>
      <c r="Z22" s="7">
        <f t="shared" si="46"/>
        <v>5544.6129032258086</v>
      </c>
      <c r="AA22" s="24">
        <f t="shared" si="47"/>
        <v>0.99450545292140602</v>
      </c>
      <c r="AB22" s="1"/>
    </row>
    <row r="23" spans="2:28" ht="18" x14ac:dyDescent="0.25">
      <c r="B23" s="3">
        <v>19</v>
      </c>
      <c r="C23" s="3">
        <f t="shared" si="52"/>
        <v>255129</v>
      </c>
      <c r="D23" s="3">
        <f>D24+24</f>
        <v>509879</v>
      </c>
      <c r="E23" s="3">
        <f t="shared" si="54"/>
        <v>168401</v>
      </c>
      <c r="F23" s="8">
        <f t="shared" si="35"/>
        <v>933409</v>
      </c>
      <c r="G23" s="22">
        <f t="shared" si="36"/>
        <v>933371.875</v>
      </c>
      <c r="H23" s="7">
        <f t="shared" si="37"/>
        <v>933376.875</v>
      </c>
      <c r="I23" s="3">
        <f t="shared" si="55"/>
        <v>298878</v>
      </c>
      <c r="J23" s="6">
        <f t="shared" si="38"/>
        <v>21</v>
      </c>
      <c r="K23" s="6">
        <f t="shared" si="38"/>
        <v>24</v>
      </c>
      <c r="L23" s="6">
        <f t="shared" si="38"/>
        <v>9</v>
      </c>
      <c r="M23" s="6">
        <f t="shared" si="49"/>
        <v>5</v>
      </c>
      <c r="N23" s="5">
        <f t="shared" si="50"/>
        <v>53.225806451612904</v>
      </c>
      <c r="O23" s="3">
        <f t="shared" si="6"/>
        <v>9</v>
      </c>
      <c r="P23" s="5">
        <f t="shared" si="39"/>
        <v>44.225806451612904</v>
      </c>
      <c r="Q23" s="5">
        <v>9</v>
      </c>
      <c r="R23" s="7">
        <f t="shared" si="51"/>
        <v>322.58064516129031</v>
      </c>
      <c r="S23" s="6">
        <f t="shared" si="41"/>
        <v>54</v>
      </c>
      <c r="T23" s="7">
        <f t="shared" si="42"/>
        <v>268.58064516129031</v>
      </c>
      <c r="U23" s="7">
        <f t="shared" si="43"/>
        <v>1011.2903225806455</v>
      </c>
      <c r="V23" s="7">
        <f t="shared" si="43"/>
        <v>119</v>
      </c>
      <c r="W23" s="7">
        <f t="shared" si="44"/>
        <v>892.29032258064547</v>
      </c>
      <c r="X23" s="7">
        <f t="shared" si="45"/>
        <v>6129.0322580645179</v>
      </c>
      <c r="Y23" s="7">
        <f t="shared" si="45"/>
        <v>850</v>
      </c>
      <c r="Z23" s="7">
        <f t="shared" si="46"/>
        <v>5279.0322580645179</v>
      </c>
      <c r="AA23" s="24">
        <f t="shared" si="47"/>
        <v>0.99574067405595024</v>
      </c>
      <c r="AB23" s="1"/>
    </row>
    <row r="24" spans="2:28" ht="18" x14ac:dyDescent="0.25">
      <c r="B24" s="3">
        <v>18</v>
      </c>
      <c r="C24" s="3">
        <f>C25+23</f>
        <v>255108</v>
      </c>
      <c r="D24" s="3">
        <f>D25+26</f>
        <v>509855</v>
      </c>
      <c r="E24" s="3">
        <f>E25+8</f>
        <v>168392</v>
      </c>
      <c r="F24" s="8">
        <f t="shared" si="35"/>
        <v>933355</v>
      </c>
      <c r="G24" s="22">
        <f t="shared" si="36"/>
        <v>933315.8125</v>
      </c>
      <c r="H24" s="7">
        <f>G24+((K24/12)*2.5)</f>
        <v>933321.22916666663</v>
      </c>
      <c r="I24" s="3">
        <f>I25+4</f>
        <v>298873</v>
      </c>
      <c r="J24" s="6">
        <f t="shared" si="38"/>
        <v>23</v>
      </c>
      <c r="K24" s="6">
        <f t="shared" si="38"/>
        <v>26</v>
      </c>
      <c r="L24" s="6">
        <f t="shared" si="38"/>
        <v>8</v>
      </c>
      <c r="M24" s="6">
        <f t="shared" si="49"/>
        <v>4</v>
      </c>
      <c r="N24" s="5">
        <f t="shared" si="50"/>
        <v>53.225806451612904</v>
      </c>
      <c r="O24" s="3">
        <f t="shared" si="6"/>
        <v>8</v>
      </c>
      <c r="P24" s="5">
        <f t="shared" si="39"/>
        <v>45.225806451612904</v>
      </c>
      <c r="Q24" s="5">
        <v>7</v>
      </c>
      <c r="R24" s="7">
        <f t="shared" si="51"/>
        <v>322.58064516129031</v>
      </c>
      <c r="S24" s="6">
        <f t="shared" si="41"/>
        <v>57</v>
      </c>
      <c r="T24" s="7">
        <f t="shared" si="42"/>
        <v>265.58064516129031</v>
      </c>
      <c r="U24" s="7">
        <f t="shared" si="43"/>
        <v>958.06451612903254</v>
      </c>
      <c r="V24" s="7">
        <f t="shared" si="43"/>
        <v>110</v>
      </c>
      <c r="W24" s="7">
        <f t="shared" si="44"/>
        <v>848.06451612903254</v>
      </c>
      <c r="X24" s="7">
        <f t="shared" si="45"/>
        <v>5806.4516129032272</v>
      </c>
      <c r="Y24" s="7">
        <f t="shared" si="45"/>
        <v>796</v>
      </c>
      <c r="Z24" s="7">
        <f t="shared" si="46"/>
        <v>5010.4516129032272</v>
      </c>
      <c r="AA24" s="24">
        <f t="shared" si="47"/>
        <v>0.99754676110041551</v>
      </c>
      <c r="AB24" s="1"/>
    </row>
    <row r="25" spans="2:28" ht="18" x14ac:dyDescent="0.25">
      <c r="B25" s="3">
        <v>17</v>
      </c>
      <c r="C25" s="3">
        <f>C26+19</f>
        <v>255085</v>
      </c>
      <c r="D25" s="3">
        <f>D26+23</f>
        <v>509829</v>
      </c>
      <c r="E25" s="3">
        <f>E26+11</f>
        <v>168384</v>
      </c>
      <c r="F25" s="8">
        <f t="shared" si="35"/>
        <v>933298</v>
      </c>
      <c r="G25" s="22">
        <f t="shared" si="36"/>
        <v>933261.5625</v>
      </c>
      <c r="H25" s="7">
        <f t="shared" si="37"/>
        <v>933266.35416666663</v>
      </c>
      <c r="I25" s="3">
        <f t="shared" si="55"/>
        <v>298869</v>
      </c>
      <c r="J25" s="6">
        <f t="shared" si="38"/>
        <v>19</v>
      </c>
      <c r="K25" s="6">
        <f t="shared" si="38"/>
        <v>23</v>
      </c>
      <c r="L25" s="6">
        <f t="shared" si="38"/>
        <v>11</v>
      </c>
      <c r="M25" s="7">
        <f t="shared" si="49"/>
        <v>5</v>
      </c>
      <c r="N25" s="5">
        <f t="shared" si="50"/>
        <v>53.225806451612904</v>
      </c>
      <c r="O25" s="3">
        <f t="shared" si="6"/>
        <v>11</v>
      </c>
      <c r="P25" s="5">
        <f t="shared" si="39"/>
        <v>42.225806451612904</v>
      </c>
      <c r="Q25" s="5">
        <f t="shared" si="40"/>
        <v>4.7916666666278616</v>
      </c>
      <c r="R25" s="7">
        <f t="shared" si="51"/>
        <v>322.58064516129031</v>
      </c>
      <c r="S25" s="6">
        <f t="shared" si="41"/>
        <v>53</v>
      </c>
      <c r="T25" s="7">
        <f t="shared" si="42"/>
        <v>269.58064516129031</v>
      </c>
      <c r="U25" s="7">
        <f t="shared" si="43"/>
        <v>904.83870967741962</v>
      </c>
      <c r="V25" s="6">
        <f t="shared" si="43"/>
        <v>102</v>
      </c>
      <c r="W25" s="7">
        <f t="shared" si="44"/>
        <v>802.83870967741962</v>
      </c>
      <c r="X25" s="7">
        <f t="shared" si="45"/>
        <v>5483.8709677419365</v>
      </c>
      <c r="Y25" s="7">
        <f t="shared" si="45"/>
        <v>739</v>
      </c>
      <c r="Z25" s="7">
        <f t="shared" si="46"/>
        <v>4744.8709677419365</v>
      </c>
      <c r="AA25" s="24">
        <f t="shared" si="47"/>
        <v>0.99557950271408147</v>
      </c>
      <c r="AB25" s="1"/>
    </row>
    <row r="26" spans="2:28" ht="18" x14ac:dyDescent="0.25">
      <c r="B26" s="3">
        <v>16</v>
      </c>
      <c r="C26" s="3">
        <f>C27+22</f>
        <v>255066</v>
      </c>
      <c r="D26" s="3">
        <f t="shared" si="53"/>
        <v>509806</v>
      </c>
      <c r="E26" s="3">
        <f>E27+7</f>
        <v>168373</v>
      </c>
      <c r="F26" s="8">
        <f t="shared" si="35"/>
        <v>933245</v>
      </c>
      <c r="G26" s="22">
        <f t="shared" si="36"/>
        <v>933207.875</v>
      </c>
      <c r="H26" s="7">
        <f t="shared" si="37"/>
        <v>933213.08333333337</v>
      </c>
      <c r="I26" s="3">
        <f>I27+7</f>
        <v>298864</v>
      </c>
      <c r="J26" s="6">
        <f t="shared" si="38"/>
        <v>22</v>
      </c>
      <c r="K26" s="6">
        <f t="shared" si="38"/>
        <v>25</v>
      </c>
      <c r="L26" s="6">
        <f t="shared" si="38"/>
        <v>7</v>
      </c>
      <c r="M26" s="7">
        <f t="shared" si="49"/>
        <v>7</v>
      </c>
      <c r="N26" s="5">
        <f t="shared" si="50"/>
        <v>53.225806451612904</v>
      </c>
      <c r="O26" s="3">
        <f t="shared" si="6"/>
        <v>7</v>
      </c>
      <c r="P26" s="5">
        <f t="shared" si="39"/>
        <v>46.225806451612904</v>
      </c>
      <c r="Q26" s="5">
        <f t="shared" si="40"/>
        <v>5.2083333333721384</v>
      </c>
      <c r="R26" s="7">
        <f t="shared" si="51"/>
        <v>322.58064516129031</v>
      </c>
      <c r="S26" s="6">
        <f t="shared" si="41"/>
        <v>54</v>
      </c>
      <c r="T26" s="7">
        <f t="shared" si="42"/>
        <v>268.58064516129031</v>
      </c>
      <c r="U26" s="7">
        <f t="shared" si="43"/>
        <v>851.61290322580669</v>
      </c>
      <c r="V26" s="6">
        <f t="shared" si="43"/>
        <v>91</v>
      </c>
      <c r="W26" s="7">
        <f t="shared" si="44"/>
        <v>760.61290322580669</v>
      </c>
      <c r="X26" s="7">
        <f t="shared" si="45"/>
        <v>5161.2903225806458</v>
      </c>
      <c r="Y26" s="7">
        <f t="shared" si="45"/>
        <v>686</v>
      </c>
      <c r="Z26" s="7">
        <f t="shared" si="46"/>
        <v>4475.2903225806458</v>
      </c>
      <c r="AA26" s="24">
        <f t="shared" si="47"/>
        <v>0.99170250666218818</v>
      </c>
      <c r="AB26" s="1"/>
    </row>
    <row r="27" spans="2:28" ht="18" x14ac:dyDescent="0.25">
      <c r="B27" s="3">
        <v>15</v>
      </c>
      <c r="C27" s="3">
        <f>C28+20</f>
        <v>255044</v>
      </c>
      <c r="D27" s="3">
        <f>D28+29</f>
        <v>509781</v>
      </c>
      <c r="E27" s="3">
        <f>E28+9</f>
        <v>168366</v>
      </c>
      <c r="F27" s="8">
        <f t="shared" si="35"/>
        <v>933191</v>
      </c>
      <c r="G27" s="22">
        <f t="shared" si="36"/>
        <v>933151.125</v>
      </c>
      <c r="H27" s="7">
        <f t="shared" si="37"/>
        <v>933157.16666666663</v>
      </c>
      <c r="I27" s="3">
        <f>I28+5</f>
        <v>298857</v>
      </c>
      <c r="J27" s="6">
        <f t="shared" si="38"/>
        <v>20</v>
      </c>
      <c r="K27" s="6">
        <f t="shared" si="38"/>
        <v>29</v>
      </c>
      <c r="L27" s="6">
        <f t="shared" si="38"/>
        <v>9</v>
      </c>
      <c r="M27" s="7">
        <f t="shared" si="49"/>
        <v>5</v>
      </c>
      <c r="N27" s="5">
        <f t="shared" si="50"/>
        <v>53.225806451612904</v>
      </c>
      <c r="O27" s="3">
        <f t="shared" si="6"/>
        <v>9</v>
      </c>
      <c r="P27" s="5">
        <f t="shared" si="39"/>
        <v>44.225806451612904</v>
      </c>
      <c r="Q27" s="5">
        <f t="shared" si="40"/>
        <v>6.0416666666278616</v>
      </c>
      <c r="R27" s="7">
        <f t="shared" si="51"/>
        <v>322.58064516129031</v>
      </c>
      <c r="S27" s="6">
        <f t="shared" si="41"/>
        <v>58</v>
      </c>
      <c r="T27" s="7">
        <f t="shared" si="42"/>
        <v>264.58064516129031</v>
      </c>
      <c r="U27" s="7">
        <f t="shared" si="43"/>
        <v>798.38709677419376</v>
      </c>
      <c r="V27" s="6">
        <f t="shared" si="43"/>
        <v>84</v>
      </c>
      <c r="W27" s="7">
        <f t="shared" si="44"/>
        <v>714.38709677419376</v>
      </c>
      <c r="X27" s="7">
        <f t="shared" si="45"/>
        <v>4838.7096774193551</v>
      </c>
      <c r="Y27" s="7">
        <f t="shared" si="45"/>
        <v>632</v>
      </c>
      <c r="Z27" s="7">
        <f t="shared" si="46"/>
        <v>4206.7096774193551</v>
      </c>
      <c r="AA27" s="24">
        <f t="shared" si="47"/>
        <v>0.99630476897493925</v>
      </c>
      <c r="AB27" s="1"/>
    </row>
    <row r="28" spans="2:28" ht="18" x14ac:dyDescent="0.25">
      <c r="B28" s="3">
        <v>14</v>
      </c>
      <c r="C28" s="3">
        <f>C29+11</f>
        <v>255024</v>
      </c>
      <c r="D28" s="3">
        <f>D29+31</f>
        <v>509752</v>
      </c>
      <c r="E28" s="3">
        <f>E29+8</f>
        <v>168357</v>
      </c>
      <c r="F28" s="8">
        <f t="shared" si="35"/>
        <v>933133</v>
      </c>
      <c r="G28" s="22">
        <f t="shared" si="36"/>
        <v>933098.625</v>
      </c>
      <c r="H28" s="7">
        <f t="shared" si="37"/>
        <v>933105.08333333337</v>
      </c>
      <c r="I28" s="3">
        <f>I29+12</f>
        <v>298852</v>
      </c>
      <c r="J28" s="6">
        <f t="shared" si="38"/>
        <v>11</v>
      </c>
      <c r="K28" s="6">
        <f t="shared" si="38"/>
        <v>31</v>
      </c>
      <c r="L28" s="6">
        <f t="shared" si="38"/>
        <v>8</v>
      </c>
      <c r="M28" s="7">
        <f t="shared" si="49"/>
        <v>12</v>
      </c>
      <c r="N28" s="5">
        <f t="shared" si="50"/>
        <v>53.225806451612904</v>
      </c>
      <c r="O28" s="3">
        <f t="shared" si="6"/>
        <v>8</v>
      </c>
      <c r="P28" s="5">
        <f t="shared" si="39"/>
        <v>45.225806451612904</v>
      </c>
      <c r="Q28" s="5">
        <f t="shared" si="40"/>
        <v>6.4583333333721384</v>
      </c>
      <c r="R28" s="7">
        <f t="shared" si="51"/>
        <v>322.58064516129031</v>
      </c>
      <c r="S28" s="6">
        <f t="shared" si="41"/>
        <v>50</v>
      </c>
      <c r="T28" s="7">
        <f t="shared" si="42"/>
        <v>272.58064516129031</v>
      </c>
      <c r="U28" s="7">
        <f t="shared" si="43"/>
        <v>745.16129032258084</v>
      </c>
      <c r="V28" s="6">
        <f t="shared" si="43"/>
        <v>75</v>
      </c>
      <c r="W28" s="7">
        <f t="shared" si="44"/>
        <v>670.16129032258084</v>
      </c>
      <c r="X28" s="7">
        <f t="shared" si="45"/>
        <v>4516.1290322580644</v>
      </c>
      <c r="Y28" s="7">
        <f t="shared" si="45"/>
        <v>574</v>
      </c>
      <c r="Z28" s="7">
        <f t="shared" si="46"/>
        <v>3942.1290322580644</v>
      </c>
      <c r="AA28" s="24">
        <f t="shared" si="47"/>
        <v>0.97238730198051748</v>
      </c>
      <c r="AB28" s="1"/>
    </row>
    <row r="29" spans="2:28" ht="18" x14ac:dyDescent="0.25">
      <c r="B29" s="3">
        <v>13</v>
      </c>
      <c r="C29" s="3">
        <v>255013</v>
      </c>
      <c r="D29" s="3">
        <v>509721</v>
      </c>
      <c r="E29" s="3">
        <v>168349</v>
      </c>
      <c r="F29" s="8">
        <f t="shared" si="35"/>
        <v>933083</v>
      </c>
      <c r="G29" s="22">
        <f t="shared" si="36"/>
        <v>933052.75</v>
      </c>
      <c r="H29" s="7">
        <f t="shared" si="37"/>
        <v>933058.58333333337</v>
      </c>
      <c r="I29" s="3">
        <v>298840</v>
      </c>
      <c r="J29" s="6">
        <f t="shared" si="38"/>
        <v>13</v>
      </c>
      <c r="K29" s="6">
        <f t="shared" si="38"/>
        <v>28</v>
      </c>
      <c r="L29" s="6">
        <f t="shared" si="38"/>
        <v>3</v>
      </c>
      <c r="M29" s="6">
        <f t="shared" si="49"/>
        <v>11</v>
      </c>
      <c r="N29" s="5">
        <f t="shared" si="50"/>
        <v>53.225806451612904</v>
      </c>
      <c r="O29" s="3">
        <f t="shared" si="6"/>
        <v>3</v>
      </c>
      <c r="P29" s="5">
        <f t="shared" si="39"/>
        <v>50.225806451612904</v>
      </c>
      <c r="Q29" s="5">
        <f t="shared" si="40"/>
        <v>5.8333333333721384</v>
      </c>
      <c r="R29" s="7">
        <f t="shared" si="51"/>
        <v>322.58064516129031</v>
      </c>
      <c r="S29" s="6">
        <f t="shared" si="41"/>
        <v>44</v>
      </c>
      <c r="T29" s="7">
        <f t="shared" si="42"/>
        <v>278.58064516129031</v>
      </c>
      <c r="U29" s="7">
        <f t="shared" si="43"/>
        <v>691.93548387096791</v>
      </c>
      <c r="V29" s="6">
        <f t="shared" si="43"/>
        <v>67</v>
      </c>
      <c r="W29" s="7">
        <f t="shared" si="44"/>
        <v>624.93548387096791</v>
      </c>
      <c r="X29" s="7">
        <f t="shared" si="45"/>
        <v>4193.5483870967737</v>
      </c>
      <c r="Y29" s="7">
        <f t="shared" si="45"/>
        <v>524</v>
      </c>
      <c r="Z29" s="7">
        <f t="shared" si="46"/>
        <v>3669.5483870967737</v>
      </c>
      <c r="AA29" s="24">
        <f t="shared" si="47"/>
        <v>0.97014250014533188</v>
      </c>
      <c r="AB29" s="1"/>
    </row>
    <row r="30" spans="2:28" ht="18" x14ac:dyDescent="0.25">
      <c r="B30" s="3">
        <v>12</v>
      </c>
      <c r="C30" s="5">
        <f t="shared" ref="C30" si="56">C31+12</f>
        <v>255000</v>
      </c>
      <c r="D30" s="5">
        <f>D31+29</f>
        <v>509693</v>
      </c>
      <c r="E30" s="3">
        <f t="shared" ref="E30" si="57">E31+6</f>
        <v>168346</v>
      </c>
      <c r="F30" s="8">
        <f t="shared" si="35"/>
        <v>933039</v>
      </c>
      <c r="G30" s="22">
        <f t="shared" si="36"/>
        <v>933006.6875</v>
      </c>
      <c r="H30" s="7">
        <f t="shared" si="37"/>
        <v>933012.72916666663</v>
      </c>
      <c r="I30" s="3">
        <f>I31+7</f>
        <v>298829</v>
      </c>
      <c r="J30" s="6">
        <f t="shared" si="38"/>
        <v>12</v>
      </c>
      <c r="K30" s="6">
        <f t="shared" si="38"/>
        <v>29</v>
      </c>
      <c r="L30" s="6">
        <f t="shared" si="38"/>
        <v>6</v>
      </c>
      <c r="M30" s="6">
        <f t="shared" si="49"/>
        <v>7</v>
      </c>
      <c r="N30" s="5">
        <f t="shared" si="50"/>
        <v>53.225806451612904</v>
      </c>
      <c r="O30" s="3">
        <f t="shared" si="6"/>
        <v>6</v>
      </c>
      <c r="P30" s="5">
        <f t="shared" si="39"/>
        <v>47.225806451612904</v>
      </c>
      <c r="Q30" s="5">
        <f t="shared" si="40"/>
        <v>6.0416666666278616</v>
      </c>
      <c r="R30" s="7">
        <f t="shared" si="51"/>
        <v>322.58064516129031</v>
      </c>
      <c r="S30" s="6">
        <f t="shared" si="41"/>
        <v>47</v>
      </c>
      <c r="T30" s="7">
        <f t="shared" si="42"/>
        <v>275.58064516129031</v>
      </c>
      <c r="U30" s="7">
        <f t="shared" si="43"/>
        <v>638.70967741935499</v>
      </c>
      <c r="V30" s="6">
        <f t="shared" si="43"/>
        <v>64</v>
      </c>
      <c r="W30" s="7">
        <f t="shared" si="44"/>
        <v>574.70967741935499</v>
      </c>
      <c r="X30" s="7">
        <f t="shared" si="45"/>
        <v>3870.9677419354834</v>
      </c>
      <c r="Y30" s="7">
        <f t="shared" si="45"/>
        <v>480</v>
      </c>
      <c r="Z30" s="7">
        <f t="shared" si="46"/>
        <v>3390.9677419354834</v>
      </c>
      <c r="AA30" s="24">
        <f t="shared" si="47"/>
        <v>0.98909017788181741</v>
      </c>
      <c r="AB30" s="1"/>
    </row>
    <row r="31" spans="2:28" ht="18" x14ac:dyDescent="0.25">
      <c r="B31" s="3">
        <v>11</v>
      </c>
      <c r="C31" s="5">
        <f>C32+10</f>
        <v>254988</v>
      </c>
      <c r="D31" s="5">
        <f>D32+24</f>
        <v>509664</v>
      </c>
      <c r="E31" s="3">
        <f>E32+5</f>
        <v>168340</v>
      </c>
      <c r="F31" s="8">
        <f t="shared" si="35"/>
        <v>932992</v>
      </c>
      <c r="G31" s="22">
        <f t="shared" si="36"/>
        <v>932965.1875</v>
      </c>
      <c r="H31" s="7">
        <f t="shared" si="37"/>
        <v>932970.1875</v>
      </c>
      <c r="I31" s="3">
        <f t="shared" ref="I31" si="58">I32+9</f>
        <v>298822</v>
      </c>
      <c r="J31" s="6">
        <f t="shared" si="38"/>
        <v>10</v>
      </c>
      <c r="K31" s="6">
        <f t="shared" si="38"/>
        <v>24</v>
      </c>
      <c r="L31" s="6">
        <f t="shared" si="38"/>
        <v>5</v>
      </c>
      <c r="M31" s="6">
        <f t="shared" si="49"/>
        <v>9</v>
      </c>
      <c r="N31" s="5">
        <f t="shared" si="50"/>
        <v>53.225806451612904</v>
      </c>
      <c r="O31" s="3">
        <f t="shared" si="6"/>
        <v>5</v>
      </c>
      <c r="P31" s="5">
        <f t="shared" si="39"/>
        <v>48.225806451612904</v>
      </c>
      <c r="Q31" s="5">
        <f t="shared" si="40"/>
        <v>5</v>
      </c>
      <c r="R31" s="7">
        <f t="shared" si="51"/>
        <v>322.58064516129031</v>
      </c>
      <c r="S31" s="6">
        <f t="shared" si="41"/>
        <v>39</v>
      </c>
      <c r="T31" s="7">
        <f t="shared" si="42"/>
        <v>283.58064516129031</v>
      </c>
      <c r="U31" s="7">
        <f t="shared" si="43"/>
        <v>585.48387096774206</v>
      </c>
      <c r="V31" s="6">
        <f t="shared" si="43"/>
        <v>58</v>
      </c>
      <c r="W31" s="7">
        <f t="shared" si="44"/>
        <v>527.48387096774206</v>
      </c>
      <c r="X31" s="7">
        <f t="shared" si="45"/>
        <v>3548.3870967741932</v>
      </c>
      <c r="Y31" s="7">
        <f t="shared" si="45"/>
        <v>433</v>
      </c>
      <c r="Z31" s="7">
        <f t="shared" si="46"/>
        <v>3115.3870967741932</v>
      </c>
      <c r="AA31" s="24">
        <f t="shared" si="47"/>
        <v>0.97439119569461985</v>
      </c>
      <c r="AB31" s="1"/>
    </row>
    <row r="32" spans="2:28" ht="18" x14ac:dyDescent="0.25">
      <c r="B32" s="3">
        <v>10</v>
      </c>
      <c r="C32" s="5">
        <f>C33+14</f>
        <v>254978</v>
      </c>
      <c r="D32" s="5">
        <f>D33+30</f>
        <v>509640</v>
      </c>
      <c r="E32" s="3">
        <f>E33+7</f>
        <v>168335</v>
      </c>
      <c r="F32" s="8">
        <f t="shared" si="35"/>
        <v>932953</v>
      </c>
      <c r="G32" s="22">
        <f t="shared" si="36"/>
        <v>932917.9375</v>
      </c>
      <c r="H32" s="7">
        <f t="shared" si="37"/>
        <v>932924.1875</v>
      </c>
      <c r="I32" s="3">
        <f>I33+8</f>
        <v>298813</v>
      </c>
      <c r="J32" s="6">
        <f t="shared" si="38"/>
        <v>14</v>
      </c>
      <c r="K32" s="6">
        <f t="shared" si="38"/>
        <v>30</v>
      </c>
      <c r="L32" s="6">
        <f t="shared" si="38"/>
        <v>7</v>
      </c>
      <c r="M32" s="6">
        <f t="shared" si="49"/>
        <v>8</v>
      </c>
      <c r="N32" s="5">
        <f t="shared" si="50"/>
        <v>53.225806451612904</v>
      </c>
      <c r="O32" s="3">
        <f t="shared" si="6"/>
        <v>7</v>
      </c>
      <c r="P32" s="5">
        <f t="shared" si="39"/>
        <v>46.225806451612904</v>
      </c>
      <c r="Q32" s="5">
        <f t="shared" si="40"/>
        <v>6.25</v>
      </c>
      <c r="R32" s="7">
        <f t="shared" si="51"/>
        <v>322.58064516129031</v>
      </c>
      <c r="S32" s="6">
        <f t="shared" si="41"/>
        <v>51</v>
      </c>
      <c r="T32" s="7">
        <f t="shared" si="42"/>
        <v>271.58064516129031</v>
      </c>
      <c r="U32" s="7">
        <f t="shared" si="43"/>
        <v>532.25806451612914</v>
      </c>
      <c r="V32" s="6">
        <f t="shared" si="43"/>
        <v>53</v>
      </c>
      <c r="W32" s="7">
        <f t="shared" si="44"/>
        <v>479.25806451612914</v>
      </c>
      <c r="X32" s="7">
        <f t="shared" si="45"/>
        <v>3225.8064516129029</v>
      </c>
      <c r="Y32" s="7">
        <f t="shared" si="45"/>
        <v>394</v>
      </c>
      <c r="Z32" s="7">
        <f t="shared" si="46"/>
        <v>2831.8064516129029</v>
      </c>
      <c r="AA32" s="24">
        <f t="shared" si="47"/>
        <v>0.98791952638822611</v>
      </c>
      <c r="AB32" s="1"/>
    </row>
    <row r="33" spans="2:28" ht="18" x14ac:dyDescent="0.25">
      <c r="B33" s="3">
        <v>9</v>
      </c>
      <c r="C33" s="5">
        <f>C34+11</f>
        <v>254964</v>
      </c>
      <c r="D33" s="5">
        <f>D34+28</f>
        <v>509610</v>
      </c>
      <c r="E33" s="3">
        <f>E34+4</f>
        <v>168328</v>
      </c>
      <c r="F33" s="8">
        <f t="shared" si="35"/>
        <v>932902</v>
      </c>
      <c r="G33" s="22">
        <f t="shared" si="36"/>
        <v>932872.4375</v>
      </c>
      <c r="H33" s="7">
        <f t="shared" si="37"/>
        <v>932878.27083333337</v>
      </c>
      <c r="I33" s="3">
        <f>I34+10</f>
        <v>298805</v>
      </c>
      <c r="J33" s="6">
        <f t="shared" si="38"/>
        <v>11</v>
      </c>
      <c r="K33" s="6">
        <f t="shared" si="38"/>
        <v>28</v>
      </c>
      <c r="L33" s="6">
        <f t="shared" si="38"/>
        <v>4</v>
      </c>
      <c r="M33" s="6">
        <f t="shared" si="49"/>
        <v>10</v>
      </c>
      <c r="N33" s="5">
        <f t="shared" si="50"/>
        <v>53.225806451612904</v>
      </c>
      <c r="O33" s="3">
        <f t="shared" si="6"/>
        <v>4</v>
      </c>
      <c r="P33" s="5">
        <f t="shared" si="39"/>
        <v>49.225806451612904</v>
      </c>
      <c r="Q33" s="5">
        <f t="shared" si="40"/>
        <v>5.8333333333721384</v>
      </c>
      <c r="R33" s="7">
        <f t="shared" si="51"/>
        <v>322.58064516129031</v>
      </c>
      <c r="S33" s="6">
        <f t="shared" si="41"/>
        <v>43</v>
      </c>
      <c r="T33" s="7">
        <f t="shared" si="42"/>
        <v>279.58064516129031</v>
      </c>
      <c r="U33" s="7">
        <f t="shared" si="43"/>
        <v>479.03225806451621</v>
      </c>
      <c r="V33" s="6">
        <f t="shared" si="43"/>
        <v>46</v>
      </c>
      <c r="W33" s="7">
        <f t="shared" si="44"/>
        <v>433.03225806451621</v>
      </c>
      <c r="X33" s="7">
        <f t="shared" si="45"/>
        <v>2903.2258064516127</v>
      </c>
      <c r="Y33" s="7">
        <f t="shared" si="45"/>
        <v>343</v>
      </c>
      <c r="Z33" s="7">
        <f t="shared" si="46"/>
        <v>2560.2258064516127</v>
      </c>
      <c r="AA33" s="24">
        <f t="shared" si="47"/>
        <v>0.97400802703919642</v>
      </c>
      <c r="AB33" s="1"/>
    </row>
    <row r="34" spans="2:28" ht="18" x14ac:dyDescent="0.25">
      <c r="B34" s="3">
        <v>8</v>
      </c>
      <c r="C34" s="5">
        <f>C35+12</f>
        <v>254953</v>
      </c>
      <c r="D34" s="5">
        <f>D35+26</f>
        <v>509582</v>
      </c>
      <c r="E34" s="3">
        <f>E35+6</f>
        <v>168324</v>
      </c>
      <c r="F34" s="8">
        <f t="shared" si="35"/>
        <v>932859</v>
      </c>
      <c r="G34" s="22">
        <f t="shared" si="36"/>
        <v>932828.75</v>
      </c>
      <c r="H34" s="7">
        <f t="shared" si="37"/>
        <v>932834.16666666663</v>
      </c>
      <c r="I34" s="3">
        <f>I35+9</f>
        <v>298795</v>
      </c>
      <c r="J34" s="6">
        <f t="shared" si="38"/>
        <v>12</v>
      </c>
      <c r="K34" s="6">
        <f t="shared" si="38"/>
        <v>26</v>
      </c>
      <c r="L34" s="6">
        <f t="shared" si="38"/>
        <v>6</v>
      </c>
      <c r="M34" s="6">
        <f t="shared" si="49"/>
        <v>9</v>
      </c>
      <c r="N34" s="5">
        <f t="shared" si="50"/>
        <v>53.225806451612904</v>
      </c>
      <c r="O34" s="3">
        <f t="shared" si="6"/>
        <v>6</v>
      </c>
      <c r="P34" s="5">
        <f t="shared" si="39"/>
        <v>47.225806451612904</v>
      </c>
      <c r="Q34" s="5">
        <f t="shared" si="40"/>
        <v>5.4166666666278616</v>
      </c>
      <c r="R34" s="7">
        <f t="shared" si="51"/>
        <v>322.58064516129031</v>
      </c>
      <c r="S34" s="6">
        <f t="shared" si="41"/>
        <v>44</v>
      </c>
      <c r="T34" s="7">
        <f t="shared" si="42"/>
        <v>278.58064516129031</v>
      </c>
      <c r="U34" s="7">
        <f t="shared" si="43"/>
        <v>425.80645161290329</v>
      </c>
      <c r="V34" s="6">
        <f t="shared" si="43"/>
        <v>42</v>
      </c>
      <c r="W34" s="7">
        <f t="shared" si="44"/>
        <v>383.80645161290329</v>
      </c>
      <c r="X34" s="7">
        <f t="shared" si="45"/>
        <v>2580.6451612903224</v>
      </c>
      <c r="Y34" s="7">
        <f t="shared" si="45"/>
        <v>300</v>
      </c>
      <c r="Z34" s="7">
        <f t="shared" si="46"/>
        <v>2280.6451612903224</v>
      </c>
      <c r="AA34" s="24">
        <f t="shared" si="47"/>
        <v>0.97971493228256545</v>
      </c>
      <c r="AB34" s="1"/>
    </row>
    <row r="35" spans="2:28" ht="18" x14ac:dyDescent="0.25">
      <c r="B35" s="3">
        <v>7</v>
      </c>
      <c r="C35" s="5">
        <v>254941</v>
      </c>
      <c r="D35" s="5">
        <v>509556</v>
      </c>
      <c r="E35" s="3">
        <v>168318</v>
      </c>
      <c r="F35" s="8">
        <f t="shared" si="35"/>
        <v>932815</v>
      </c>
      <c r="G35" s="22">
        <f t="shared" si="36"/>
        <v>932780.625</v>
      </c>
      <c r="H35" s="7">
        <f t="shared" si="37"/>
        <v>932786.25</v>
      </c>
      <c r="I35" s="3">
        <v>298786</v>
      </c>
      <c r="J35" s="6">
        <f t="shared" si="38"/>
        <v>14</v>
      </c>
      <c r="K35" s="6">
        <f t="shared" si="38"/>
        <v>27</v>
      </c>
      <c r="L35" s="6">
        <f t="shared" si="38"/>
        <v>9</v>
      </c>
      <c r="M35" s="6">
        <f t="shared" si="49"/>
        <v>14</v>
      </c>
      <c r="N35" s="5">
        <f t="shared" si="50"/>
        <v>53.225806451612904</v>
      </c>
      <c r="O35" s="3">
        <f t="shared" si="6"/>
        <v>9</v>
      </c>
      <c r="P35" s="5">
        <f t="shared" si="39"/>
        <v>44.225806451612904</v>
      </c>
      <c r="Q35" s="5">
        <f t="shared" si="40"/>
        <v>5.625</v>
      </c>
      <c r="R35" s="7">
        <f t="shared" si="51"/>
        <v>322.58064516129031</v>
      </c>
      <c r="S35" s="6">
        <f t="shared" si="41"/>
        <v>50</v>
      </c>
      <c r="T35" s="7">
        <f t="shared" si="42"/>
        <v>272.58064516129031</v>
      </c>
      <c r="U35" s="7">
        <f t="shared" si="43"/>
        <v>372.58064516129036</v>
      </c>
      <c r="V35" s="6">
        <f t="shared" si="43"/>
        <v>36</v>
      </c>
      <c r="W35" s="7">
        <f t="shared" si="44"/>
        <v>336.58064516129036</v>
      </c>
      <c r="X35" s="7">
        <f t="shared" si="45"/>
        <v>2258.0645161290322</v>
      </c>
      <c r="Y35" s="7">
        <f t="shared" si="45"/>
        <v>256</v>
      </c>
      <c r="Z35" s="7">
        <f t="shared" si="46"/>
        <v>2002.0645161290322</v>
      </c>
      <c r="AA35" s="24">
        <f t="shared" si="47"/>
        <v>0.96296401971418166</v>
      </c>
      <c r="AB35" s="1"/>
    </row>
    <row r="36" spans="2:28" ht="18" x14ac:dyDescent="0.25">
      <c r="B36" s="3">
        <v>6</v>
      </c>
      <c r="C36" s="5">
        <f>C37+15</f>
        <v>254927</v>
      </c>
      <c r="D36" s="5">
        <f>D37+26</f>
        <v>509529</v>
      </c>
      <c r="E36" s="5">
        <f>E37+9</f>
        <v>168309</v>
      </c>
      <c r="F36" s="8">
        <f t="shared" si="35"/>
        <v>932765</v>
      </c>
      <c r="G36" s="22">
        <f t="shared" si="36"/>
        <v>932730.625</v>
      </c>
      <c r="H36" s="7">
        <f t="shared" si="37"/>
        <v>932736.04166666663</v>
      </c>
      <c r="I36" s="5">
        <f>I37+13</f>
        <v>298772</v>
      </c>
      <c r="J36" s="6">
        <f t="shared" si="38"/>
        <v>15</v>
      </c>
      <c r="K36" s="6">
        <f t="shared" si="38"/>
        <v>26</v>
      </c>
      <c r="L36" s="6">
        <f t="shared" si="38"/>
        <v>9</v>
      </c>
      <c r="M36" s="6">
        <f t="shared" si="49"/>
        <v>13</v>
      </c>
      <c r="N36" s="5">
        <f t="shared" si="50"/>
        <v>53.225806451612904</v>
      </c>
      <c r="O36" s="3">
        <f t="shared" si="6"/>
        <v>9</v>
      </c>
      <c r="P36" s="5">
        <f t="shared" si="39"/>
        <v>44.225806451612904</v>
      </c>
      <c r="Q36" s="5">
        <f t="shared" si="40"/>
        <v>5.4166666666278616</v>
      </c>
      <c r="R36" s="7">
        <f t="shared" si="51"/>
        <v>322.58064516129031</v>
      </c>
      <c r="S36" s="6">
        <f t="shared" si="41"/>
        <v>50</v>
      </c>
      <c r="T36" s="7">
        <f t="shared" si="42"/>
        <v>272.58064516129031</v>
      </c>
      <c r="U36" s="7">
        <f t="shared" si="43"/>
        <v>319.35483870967744</v>
      </c>
      <c r="V36" s="6">
        <f t="shared" si="43"/>
        <v>27</v>
      </c>
      <c r="W36" s="7">
        <f t="shared" si="44"/>
        <v>292.35483870967744</v>
      </c>
      <c r="X36" s="7">
        <f t="shared" si="45"/>
        <v>1935.4838709677417</v>
      </c>
      <c r="Y36" s="7">
        <f t="shared" si="45"/>
        <v>206</v>
      </c>
      <c r="Z36" s="7">
        <f t="shared" si="46"/>
        <v>1729.4838709677417</v>
      </c>
      <c r="AA36" s="24">
        <f t="shared" si="47"/>
        <v>0.96782250678827197</v>
      </c>
      <c r="AB36" s="1"/>
    </row>
    <row r="37" spans="2:28" ht="18" x14ac:dyDescent="0.25">
      <c r="B37" s="3">
        <v>5</v>
      </c>
      <c r="C37" s="5">
        <f>C38+14</f>
        <v>254912</v>
      </c>
      <c r="D37" s="5">
        <f>D38+22</f>
        <v>509503</v>
      </c>
      <c r="E37" s="5">
        <f>E38+6</f>
        <v>168300</v>
      </c>
      <c r="F37" s="8">
        <f t="shared" si="35"/>
        <v>932715</v>
      </c>
      <c r="G37" s="22">
        <f t="shared" si="36"/>
        <v>932686.125</v>
      </c>
      <c r="H37" s="7">
        <f t="shared" si="37"/>
        <v>932690.70833333337</v>
      </c>
      <c r="I37" s="5">
        <f>I38+10</f>
        <v>298759</v>
      </c>
      <c r="J37" s="6">
        <f t="shared" si="38"/>
        <v>14</v>
      </c>
      <c r="K37" s="6">
        <f t="shared" si="38"/>
        <v>22</v>
      </c>
      <c r="L37" s="6">
        <f t="shared" si="38"/>
        <v>6</v>
      </c>
      <c r="M37" s="6">
        <f t="shared" si="49"/>
        <v>10</v>
      </c>
      <c r="N37" s="5">
        <f t="shared" si="50"/>
        <v>53.225806451612904</v>
      </c>
      <c r="O37" s="3">
        <f t="shared" si="6"/>
        <v>6</v>
      </c>
      <c r="P37" s="5">
        <f t="shared" si="39"/>
        <v>47.225806451612904</v>
      </c>
      <c r="Q37" s="5">
        <f t="shared" si="40"/>
        <v>4.5833333333721384</v>
      </c>
      <c r="R37" s="7">
        <f t="shared" si="51"/>
        <v>322.58064516129031</v>
      </c>
      <c r="S37" s="6">
        <f t="shared" si="41"/>
        <v>42</v>
      </c>
      <c r="T37" s="7">
        <f t="shared" si="42"/>
        <v>280.58064516129031</v>
      </c>
      <c r="U37" s="7">
        <f t="shared" si="43"/>
        <v>266.12903225806451</v>
      </c>
      <c r="V37" s="6">
        <f t="shared" si="43"/>
        <v>18</v>
      </c>
      <c r="W37" s="7">
        <f t="shared" si="44"/>
        <v>248.12903225806451</v>
      </c>
      <c r="X37" s="7">
        <f t="shared" si="45"/>
        <v>1612.9032258064515</v>
      </c>
      <c r="Y37" s="7">
        <f t="shared" si="45"/>
        <v>156</v>
      </c>
      <c r="Z37" s="7">
        <f t="shared" si="46"/>
        <v>1456.9032258064515</v>
      </c>
      <c r="AA37" s="24">
        <f t="shared" si="47"/>
        <v>0.97280621468536688</v>
      </c>
      <c r="AB37" s="1"/>
    </row>
    <row r="38" spans="2:28" ht="18" x14ac:dyDescent="0.25">
      <c r="B38" s="3">
        <v>4</v>
      </c>
      <c r="C38" s="5">
        <f>C39+13</f>
        <v>254898</v>
      </c>
      <c r="D38" s="5">
        <f>D39+19</f>
        <v>509481</v>
      </c>
      <c r="E38" s="5">
        <f>E39+4</f>
        <v>168294</v>
      </c>
      <c r="F38" s="8">
        <f t="shared" si="35"/>
        <v>932673</v>
      </c>
      <c r="G38" s="22">
        <f t="shared" si="36"/>
        <v>932648.25</v>
      </c>
      <c r="H38" s="7">
        <f t="shared" si="37"/>
        <v>932652.20833333337</v>
      </c>
      <c r="I38" s="5">
        <f>I39+9</f>
        <v>298749</v>
      </c>
      <c r="J38" s="6">
        <f t="shared" si="38"/>
        <v>13</v>
      </c>
      <c r="K38" s="6">
        <f t="shared" si="38"/>
        <v>19</v>
      </c>
      <c r="L38" s="6">
        <f t="shared" si="38"/>
        <v>4</v>
      </c>
      <c r="M38" s="6">
        <f>I38-I39</f>
        <v>9</v>
      </c>
      <c r="N38" s="5">
        <f t="shared" si="50"/>
        <v>53.225806451612904</v>
      </c>
      <c r="O38" s="3">
        <f t="shared" si="6"/>
        <v>4</v>
      </c>
      <c r="P38" s="5">
        <f t="shared" si="39"/>
        <v>49.225806451612904</v>
      </c>
      <c r="Q38" s="5">
        <f t="shared" si="40"/>
        <v>3.9583333333721384</v>
      </c>
      <c r="R38" s="7">
        <f t="shared" si="51"/>
        <v>322.58064516129031</v>
      </c>
      <c r="S38" s="6">
        <f t="shared" si="41"/>
        <v>36</v>
      </c>
      <c r="T38" s="7">
        <f t="shared" si="42"/>
        <v>286.58064516129031</v>
      </c>
      <c r="U38" s="7">
        <f t="shared" si="43"/>
        <v>212.90322580645162</v>
      </c>
      <c r="V38" s="6">
        <f t="shared" si="43"/>
        <v>12</v>
      </c>
      <c r="W38" s="7">
        <f t="shared" si="44"/>
        <v>200.90322580645162</v>
      </c>
      <c r="X38" s="7">
        <f t="shared" si="45"/>
        <v>1290.3225806451612</v>
      </c>
      <c r="Y38" s="7">
        <f t="shared" si="45"/>
        <v>114</v>
      </c>
      <c r="Z38" s="7">
        <f t="shared" si="46"/>
        <v>1176.3225806451612</v>
      </c>
      <c r="AA38" s="24">
        <f t="shared" si="47"/>
        <v>0.97014250014533188</v>
      </c>
      <c r="AB38" s="1"/>
    </row>
    <row r="39" spans="2:28" ht="18" x14ac:dyDescent="0.25">
      <c r="B39" s="3">
        <v>3</v>
      </c>
      <c r="C39" s="5">
        <f>C40+10</f>
        <v>254885</v>
      </c>
      <c r="D39" s="5">
        <f>D40+16</f>
        <v>509462</v>
      </c>
      <c r="E39" s="5">
        <f>E40+4</f>
        <v>168290</v>
      </c>
      <c r="F39" s="8">
        <f t="shared" si="35"/>
        <v>932637</v>
      </c>
      <c r="G39" s="22">
        <f t="shared" si="36"/>
        <v>932616.375</v>
      </c>
      <c r="H39" s="7">
        <f t="shared" si="37"/>
        <v>932619.70833333337</v>
      </c>
      <c r="I39" s="5">
        <f>I40+8</f>
        <v>298740</v>
      </c>
      <c r="J39" s="6">
        <f t="shared" si="38"/>
        <v>10</v>
      </c>
      <c r="K39" s="6">
        <f t="shared" si="38"/>
        <v>16</v>
      </c>
      <c r="L39" s="6">
        <f t="shared" si="38"/>
        <v>4</v>
      </c>
      <c r="M39" s="6">
        <f>I39-I40</f>
        <v>8</v>
      </c>
      <c r="N39" s="5">
        <f t="shared" si="50"/>
        <v>53.225806451612904</v>
      </c>
      <c r="O39" s="3">
        <f t="shared" si="6"/>
        <v>4</v>
      </c>
      <c r="P39" s="5">
        <f t="shared" si="39"/>
        <v>49.225806451612904</v>
      </c>
      <c r="Q39" s="5">
        <f t="shared" si="40"/>
        <v>3.3333333333721384</v>
      </c>
      <c r="R39" s="7">
        <f t="shared" si="51"/>
        <v>322.58064516129031</v>
      </c>
      <c r="S39" s="6">
        <f t="shared" si="41"/>
        <v>30</v>
      </c>
      <c r="T39" s="7">
        <f t="shared" si="42"/>
        <v>292.58064516129031</v>
      </c>
      <c r="U39" s="7">
        <f t="shared" si="43"/>
        <v>159.67741935483872</v>
      </c>
      <c r="V39" s="6">
        <f t="shared" si="43"/>
        <v>8</v>
      </c>
      <c r="W39" s="7">
        <f t="shared" si="44"/>
        <v>151.67741935483872</v>
      </c>
      <c r="X39" s="7">
        <f t="shared" si="45"/>
        <v>967.74193548387098</v>
      </c>
      <c r="Y39" s="7">
        <f t="shared" si="45"/>
        <v>78</v>
      </c>
      <c r="Z39" s="7">
        <f t="shared" si="46"/>
        <v>889.74193548387098</v>
      </c>
      <c r="AA39" s="24">
        <f t="shared" si="47"/>
        <v>0.96623493960124629</v>
      </c>
      <c r="AB39" s="1"/>
    </row>
    <row r="40" spans="2:28" ht="18" x14ac:dyDescent="0.25">
      <c r="B40" s="3">
        <v>2</v>
      </c>
      <c r="C40" s="5">
        <f>C41+9</f>
        <v>254875</v>
      </c>
      <c r="D40" s="5">
        <f>D41+15</f>
        <v>509446</v>
      </c>
      <c r="E40" s="5">
        <f>E41+2</f>
        <v>168286</v>
      </c>
      <c r="F40" s="8">
        <f t="shared" si="35"/>
        <v>932607</v>
      </c>
      <c r="G40" s="22">
        <f t="shared" si="36"/>
        <v>932589.125</v>
      </c>
      <c r="H40" s="7">
        <f t="shared" si="37"/>
        <v>932592.25</v>
      </c>
      <c r="I40" s="5">
        <f>I41+7</f>
        <v>298732</v>
      </c>
      <c r="J40" s="6">
        <f t="shared" si="38"/>
        <v>9</v>
      </c>
      <c r="K40" s="6">
        <f t="shared" si="38"/>
        <v>15</v>
      </c>
      <c r="L40" s="6">
        <f t="shared" si="38"/>
        <v>2</v>
      </c>
      <c r="M40" s="6">
        <f>I40-I41</f>
        <v>7</v>
      </c>
      <c r="N40" s="5">
        <f t="shared" si="50"/>
        <v>53.225806451612904</v>
      </c>
      <c r="O40" s="3">
        <f t="shared" si="6"/>
        <v>2</v>
      </c>
      <c r="P40" s="5">
        <f t="shared" si="39"/>
        <v>51.225806451612904</v>
      </c>
      <c r="Q40" s="5">
        <f t="shared" si="40"/>
        <v>3.125</v>
      </c>
      <c r="R40" s="7">
        <f>R41</f>
        <v>322.58064516129031</v>
      </c>
      <c r="S40" s="6">
        <f t="shared" si="41"/>
        <v>26</v>
      </c>
      <c r="T40" s="7">
        <f t="shared" si="42"/>
        <v>296.58064516129031</v>
      </c>
      <c r="U40" s="7">
        <f t="shared" si="43"/>
        <v>106.45161290322581</v>
      </c>
      <c r="V40" s="6">
        <f t="shared" si="43"/>
        <v>4</v>
      </c>
      <c r="W40" s="7">
        <f t="shared" si="44"/>
        <v>102.45161290322581</v>
      </c>
      <c r="X40" s="7">
        <f t="shared" si="45"/>
        <v>645.16129032258061</v>
      </c>
      <c r="Y40" s="7">
        <f t="shared" si="45"/>
        <v>48</v>
      </c>
      <c r="Z40" s="7">
        <f t="shared" si="46"/>
        <v>597.16129032258061</v>
      </c>
      <c r="AA40" s="24">
        <f t="shared" si="47"/>
        <v>0.96561575852066972</v>
      </c>
      <c r="AB40" s="1"/>
    </row>
    <row r="41" spans="2:28" ht="18.75" thickBot="1" x14ac:dyDescent="0.3">
      <c r="B41" s="3">
        <v>1</v>
      </c>
      <c r="C41" s="5">
        <f>C42+7</f>
        <v>254866</v>
      </c>
      <c r="D41" s="5">
        <f>D42+13</f>
        <v>509431</v>
      </c>
      <c r="E41" s="5">
        <f>E42+2</f>
        <v>168284</v>
      </c>
      <c r="F41" s="8">
        <f>C41+D41+E41</f>
        <v>932581</v>
      </c>
      <c r="G41" s="22">
        <f>(C42+D42+E42)+((S41/24)*7.5)</f>
        <v>932565.875</v>
      </c>
      <c r="H41" s="7">
        <f>G41+((K41/12)*2.5)</f>
        <v>932568.58333333337</v>
      </c>
      <c r="I41" s="5">
        <f>I42+7</f>
        <v>298725</v>
      </c>
      <c r="J41" s="6">
        <f t="shared" si="38"/>
        <v>7</v>
      </c>
      <c r="K41" s="6">
        <f t="shared" si="38"/>
        <v>13</v>
      </c>
      <c r="L41" s="6">
        <f t="shared" si="38"/>
        <v>2</v>
      </c>
      <c r="M41" s="6">
        <f t="shared" si="49"/>
        <v>7</v>
      </c>
      <c r="N41" s="43">
        <f>O6/31</f>
        <v>53.225806451612904</v>
      </c>
      <c r="O41" s="3">
        <f t="shared" si="6"/>
        <v>2</v>
      </c>
      <c r="P41" s="5">
        <f t="shared" si="39"/>
        <v>51.225806451612904</v>
      </c>
      <c r="Q41" s="5">
        <f t="shared" si="40"/>
        <v>2.7083333333721384</v>
      </c>
      <c r="R41" s="45">
        <f>S6/31</f>
        <v>322.58064516129031</v>
      </c>
      <c r="S41" s="6">
        <f t="shared" si="41"/>
        <v>22</v>
      </c>
      <c r="T41" s="7">
        <f t="shared" si="42"/>
        <v>300.58064516129031</v>
      </c>
      <c r="U41" s="7">
        <f>N41</f>
        <v>53.225806451612904</v>
      </c>
      <c r="V41" s="6">
        <f>O41</f>
        <v>2</v>
      </c>
      <c r="W41" s="7">
        <f t="shared" si="44"/>
        <v>51.225806451612904</v>
      </c>
      <c r="X41" s="7">
        <f>R41</f>
        <v>322.58064516129031</v>
      </c>
      <c r="Y41" s="7">
        <f>S41</f>
        <v>22</v>
      </c>
      <c r="Z41" s="7">
        <f t="shared" si="46"/>
        <v>300.58064516129031</v>
      </c>
      <c r="AA41" s="56">
        <f t="shared" si="47"/>
        <v>0.95292578001326189</v>
      </c>
      <c r="AB41" s="1"/>
    </row>
    <row r="42" spans="2:28" ht="54.75" thickBot="1" x14ac:dyDescent="0.3">
      <c r="B42" s="33" t="s">
        <v>13</v>
      </c>
      <c r="C42" s="3">
        <v>254859</v>
      </c>
      <c r="D42" s="3">
        <v>509418</v>
      </c>
      <c r="E42" s="3">
        <v>168282</v>
      </c>
      <c r="F42" s="8">
        <v>932559</v>
      </c>
      <c r="G42" s="9">
        <v>932539.66666666663</v>
      </c>
      <c r="H42" s="9">
        <v>932543.41666666663</v>
      </c>
      <c r="I42" s="3">
        <v>298718</v>
      </c>
      <c r="J42" s="10"/>
      <c r="K42" s="10"/>
      <c r="L42" s="10"/>
      <c r="M42" s="46">
        <f>SUM(M11:M41)</f>
        <v>240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8">
        <f>AVERAGE(AA11:AA41)</f>
        <v>0.98451420870498874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5.75" customHeight="1" x14ac:dyDescent="0.25">
      <c r="B45" s="48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39"/>
      <c r="R45" s="83"/>
      <c r="S45" s="83"/>
      <c r="T45" s="83"/>
      <c r="U45" s="83"/>
      <c r="V45" s="83"/>
      <c r="W45" s="83"/>
      <c r="X45" s="10"/>
      <c r="Y45" s="10"/>
      <c r="Z45" s="10"/>
      <c r="AA45" s="10"/>
      <c r="AB45" s="39"/>
    </row>
    <row r="51" spans="26:27" ht="18" x14ac:dyDescent="0.25">
      <c r="Z51" s="10" t="s">
        <v>38</v>
      </c>
    </row>
    <row r="52" spans="26:27" ht="18" x14ac:dyDescent="0.25">
      <c r="Z52" s="10" t="s">
        <v>44</v>
      </c>
      <c r="AA52" s="10"/>
    </row>
    <row r="53" spans="26:27" ht="18" x14ac:dyDescent="0.25">
      <c r="Z53" s="10" t="s">
        <v>45</v>
      </c>
      <c r="AA53" s="10"/>
    </row>
    <row r="54" spans="26:27" ht="18" x14ac:dyDescent="0.25">
      <c r="Z54" s="10" t="s">
        <v>12</v>
      </c>
      <c r="AA54" s="10"/>
    </row>
  </sheetData>
  <mergeCells count="15">
    <mergeCell ref="C45:I45"/>
    <mergeCell ref="J45:M45"/>
    <mergeCell ref="N45:P45"/>
    <mergeCell ref="R45:T45"/>
    <mergeCell ref="U45:W45"/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B51"/>
  <sheetViews>
    <sheetView topLeftCell="K1" zoomScale="85" zoomScaleNormal="85" zoomScaleSheetLayoutView="93" workbookViewId="0">
      <pane ySplit="8" topLeftCell="A33" activePane="bottomLeft" state="frozen"/>
      <selection pane="bottomLeft" activeCell="Q29" sqref="Q29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3.85546875" bestFit="1" customWidth="1"/>
    <col min="5" max="5" width="11.42578125" customWidth="1"/>
    <col min="6" max="6" width="12.28515625" customWidth="1"/>
    <col min="7" max="7" width="13.28515625" customWidth="1"/>
    <col min="8" max="8" width="13.5703125" customWidth="1"/>
    <col min="9" max="9" width="12.28515625" bestFit="1" customWidth="1"/>
    <col min="16" max="16" width="13.42578125" bestFit="1" customWidth="1"/>
    <col min="17" max="17" width="13.140625" customWidth="1"/>
    <col min="19" max="19" width="13.710937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45658</v>
      </c>
    </row>
    <row r="5" spans="2:28" x14ac:dyDescent="0.25">
      <c r="C5" s="77" t="s">
        <v>36</v>
      </c>
      <c r="D5" s="77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3960</v>
      </c>
      <c r="P6" s="30" t="s">
        <v>26</v>
      </c>
      <c r="Q6" s="11">
        <f>(S6*8)/100</f>
        <v>1920</v>
      </c>
      <c r="R6" s="13" t="s">
        <v>25</v>
      </c>
      <c r="S6" s="11">
        <v>24000</v>
      </c>
      <c r="T6" s="52" t="s">
        <v>41</v>
      </c>
      <c r="U6" s="52">
        <v>395</v>
      </c>
      <c r="V6" s="51">
        <f>U6/31</f>
        <v>12.741935483870968</v>
      </c>
    </row>
    <row r="7" spans="2:28" ht="46.5" customHeight="1" x14ac:dyDescent="0.25">
      <c r="B7" s="80" t="s">
        <v>24</v>
      </c>
      <c r="C7" s="78"/>
      <c r="D7" s="78"/>
      <c r="E7" s="78"/>
      <c r="F7" s="78"/>
      <c r="G7" s="78"/>
      <c r="H7" s="78"/>
      <c r="I7" s="78"/>
      <c r="J7" s="78" t="s">
        <v>23</v>
      </c>
      <c r="K7" s="78"/>
      <c r="L7" s="78"/>
      <c r="M7" s="78"/>
      <c r="N7" s="78" t="s">
        <v>22</v>
      </c>
      <c r="O7" s="78"/>
      <c r="P7" s="78"/>
      <c r="Q7" s="79" t="s">
        <v>21</v>
      </c>
      <c r="R7" s="78" t="s">
        <v>20</v>
      </c>
      <c r="S7" s="78"/>
      <c r="T7" s="78"/>
      <c r="U7" s="78" t="s">
        <v>10</v>
      </c>
      <c r="V7" s="78"/>
      <c r="W7" s="78"/>
      <c r="X7" s="78" t="s">
        <v>11</v>
      </c>
      <c r="Y7" s="78"/>
      <c r="Z7" s="78"/>
      <c r="AA7" s="78"/>
      <c r="AB7" s="79" t="s">
        <v>8</v>
      </c>
    </row>
    <row r="8" spans="2:28" ht="30" x14ac:dyDescent="0.25">
      <c r="B8" s="8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7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7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7.25" customHeight="1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>
        <v>31</v>
      </c>
      <c r="C11" s="60">
        <v>701674</v>
      </c>
      <c r="D11" s="60">
        <v>1386015</v>
      </c>
      <c r="E11" s="60">
        <v>465019</v>
      </c>
      <c r="F11" s="61">
        <f t="shared" ref="F11" si="0">C11+D11+E11</f>
        <v>2552708</v>
      </c>
      <c r="G11" s="62">
        <f t="shared" ref="G11" si="1">(C12+D12+E12)+((S11/24)*9.5)</f>
        <v>2552636.7083333335</v>
      </c>
      <c r="H11" s="60">
        <f t="shared" ref="H11" si="2">G11+((K11/12)*2.5)</f>
        <v>2552636.7083333335</v>
      </c>
      <c r="I11" s="60">
        <v>808116</v>
      </c>
      <c r="J11" s="63">
        <f t="shared" ref="J11:L11" si="3">C11-C12</f>
        <v>108</v>
      </c>
      <c r="K11" s="63">
        <f t="shared" si="3"/>
        <v>0</v>
      </c>
      <c r="L11" s="63">
        <f t="shared" si="3"/>
        <v>10</v>
      </c>
      <c r="M11" s="63">
        <f t="shared" ref="M11" si="4">I11-I12</f>
        <v>59</v>
      </c>
      <c r="N11" s="64">
        <f t="shared" ref="N11" si="5">N12</f>
        <v>127.74193548387096</v>
      </c>
      <c r="O11" s="65">
        <f t="shared" ref="O11" si="6">L11</f>
        <v>10</v>
      </c>
      <c r="P11" s="64">
        <f t="shared" ref="P11" si="7">N11-O11</f>
        <v>117.74193548387096</v>
      </c>
      <c r="Q11" s="64">
        <f t="shared" ref="Q11" si="8">H11-G11</f>
        <v>0</v>
      </c>
      <c r="R11" s="60">
        <f t="shared" ref="R11" si="9">R12</f>
        <v>774.19354838709683</v>
      </c>
      <c r="S11" s="63">
        <f t="shared" ref="S11" si="10">J11+K11+L11</f>
        <v>118</v>
      </c>
      <c r="T11" s="60">
        <f t="shared" ref="T11" si="11">R11-S11</f>
        <v>656.19354838709683</v>
      </c>
      <c r="U11" s="60">
        <f t="shared" ref="U11:V11" si="12">U12+N11</f>
        <v>3959.9999999999968</v>
      </c>
      <c r="V11" s="60">
        <f t="shared" si="12"/>
        <v>1859</v>
      </c>
      <c r="W11" s="60">
        <f t="shared" ref="W11" si="13">U11-V11</f>
        <v>2100.9999999999968</v>
      </c>
      <c r="X11" s="60">
        <f t="shared" ref="X11:Y11" si="14">X12+R11</f>
        <v>24000.000000000015</v>
      </c>
      <c r="Y11" s="60">
        <f t="shared" si="14"/>
        <v>9789</v>
      </c>
      <c r="Z11" s="60">
        <f t="shared" ref="Z11" si="15">X11-Y11</f>
        <v>14211.000000000015</v>
      </c>
      <c r="AA11" s="66">
        <f t="shared" ref="AA11" si="16">COS(ATAN(M11/S11))</f>
        <v>0.89442719099991586</v>
      </c>
      <c r="AB11" s="67"/>
    </row>
    <row r="12" spans="2:28" ht="18" x14ac:dyDescent="0.25">
      <c r="B12" s="3">
        <v>30</v>
      </c>
      <c r="C12" s="5">
        <f>C13+113</f>
        <v>701566</v>
      </c>
      <c r="D12" s="5">
        <f>D13+76</f>
        <v>1386015</v>
      </c>
      <c r="E12" s="5">
        <f>E13+32</f>
        <v>465009</v>
      </c>
      <c r="F12" s="71">
        <f t="shared" ref="F12" si="17">C12+D12+E12</f>
        <v>2552590</v>
      </c>
      <c r="G12" s="72">
        <f t="shared" ref="G12" si="18">(C13+D13+E13)+((S12/24)*7.5)</f>
        <v>2552438.0625</v>
      </c>
      <c r="H12" s="20">
        <f t="shared" ref="H12" si="19">G12+((K12/12)*1.5)</f>
        <v>2552447.5625</v>
      </c>
      <c r="I12" s="5">
        <f t="shared" ref="I12:I23" si="20">I13+188</f>
        <v>808057</v>
      </c>
      <c r="J12" s="6">
        <f t="shared" ref="J12" si="21">C12-C13</f>
        <v>113</v>
      </c>
      <c r="K12" s="6">
        <f t="shared" ref="K12" si="22">D12-D13</f>
        <v>76</v>
      </c>
      <c r="L12" s="6">
        <f t="shared" ref="L12" si="23">E12-E13</f>
        <v>32</v>
      </c>
      <c r="M12" s="6">
        <f t="shared" ref="M12" si="24">I12-I13</f>
        <v>188</v>
      </c>
      <c r="N12" s="5">
        <f t="shared" ref="N12:N40" si="25">N13</f>
        <v>127.74193548387096</v>
      </c>
      <c r="O12" s="23">
        <f t="shared" ref="O12" si="26">L12</f>
        <v>32</v>
      </c>
      <c r="P12" s="5">
        <f t="shared" ref="P12" si="27">N12-O12</f>
        <v>95.741935483870961</v>
      </c>
      <c r="Q12" s="5">
        <f t="shared" ref="Q12" si="28">H12-G12</f>
        <v>9.5</v>
      </c>
      <c r="R12" s="7">
        <f t="shared" ref="R12:R39" si="29">R13</f>
        <v>774.19354838709683</v>
      </c>
      <c r="S12" s="6">
        <f t="shared" ref="S12" si="30">J12+K12+L12</f>
        <v>221</v>
      </c>
      <c r="T12" s="7">
        <f t="shared" ref="T12" si="31">R12-S12</f>
        <v>553.19354838709683</v>
      </c>
      <c r="U12" s="7">
        <f t="shared" ref="U12" si="32">U13+N12</f>
        <v>3832.2580645161261</v>
      </c>
      <c r="V12" s="7">
        <f t="shared" ref="V12" si="33">V13+O12</f>
        <v>1849</v>
      </c>
      <c r="W12" s="7">
        <f t="shared" ref="W12" si="34">U12-V12</f>
        <v>1983.2580645161261</v>
      </c>
      <c r="X12" s="7">
        <f t="shared" ref="X12" si="35">X13+R12</f>
        <v>23225.806451612916</v>
      </c>
      <c r="Y12" s="7">
        <f t="shared" ref="Y12" si="36">Y13+S12</f>
        <v>9671</v>
      </c>
      <c r="Z12" s="7">
        <f t="shared" ref="Z12" si="37">X12-Y12</f>
        <v>13554.806451612916</v>
      </c>
      <c r="AA12" s="24">
        <f t="shared" ref="AA12" si="38">COS(ATAN(M12/S12))</f>
        <v>0.76168414505594206</v>
      </c>
      <c r="AB12" s="25"/>
    </row>
    <row r="13" spans="2:28" ht="18" x14ac:dyDescent="0.25">
      <c r="B13" s="3">
        <v>29</v>
      </c>
      <c r="C13" s="5">
        <f>C14+119</f>
        <v>701453</v>
      </c>
      <c r="D13" s="5">
        <f>D14+178</f>
        <v>1385939</v>
      </c>
      <c r="E13" s="5">
        <f>E14+53</f>
        <v>464977</v>
      </c>
      <c r="F13" s="71">
        <f t="shared" ref="F13:F41" si="39">C13+D13+E13</f>
        <v>2552369</v>
      </c>
      <c r="G13" s="72">
        <f t="shared" ref="G13:G40" si="40">(C14+D14+E14)+((S13/24)*7.5)</f>
        <v>2552128.375</v>
      </c>
      <c r="H13" s="20">
        <f t="shared" ref="H13:H40" si="41">G13+((K13/12)*1.5)</f>
        <v>2552150.625</v>
      </c>
      <c r="I13" s="5">
        <f>I14+187</f>
        <v>807869</v>
      </c>
      <c r="J13" s="6">
        <f t="shared" ref="J13:L41" si="42">C13-C14</f>
        <v>119</v>
      </c>
      <c r="K13" s="6">
        <f t="shared" si="42"/>
        <v>178</v>
      </c>
      <c r="L13" s="6">
        <f t="shared" si="42"/>
        <v>53</v>
      </c>
      <c r="M13" s="6">
        <f t="shared" ref="M13:M41" si="43">I13-I14</f>
        <v>187</v>
      </c>
      <c r="N13" s="5">
        <f t="shared" si="25"/>
        <v>127.74193548387096</v>
      </c>
      <c r="O13" s="23">
        <f t="shared" ref="O13:O41" si="44">L13</f>
        <v>53</v>
      </c>
      <c r="P13" s="5">
        <f t="shared" ref="P13:P41" si="45">N13-O13</f>
        <v>74.741935483870961</v>
      </c>
      <c r="Q13" s="5">
        <f t="shared" ref="Q13:Q41" si="46">H13-G13</f>
        <v>22.25</v>
      </c>
      <c r="R13" s="7">
        <f t="shared" si="29"/>
        <v>774.19354838709683</v>
      </c>
      <c r="S13" s="6">
        <f t="shared" ref="S13:S41" si="47">J13+K13+L13</f>
        <v>350</v>
      </c>
      <c r="T13" s="7">
        <f t="shared" ref="T13:T41" si="48">R13-S13</f>
        <v>424.19354838709683</v>
      </c>
      <c r="U13" s="7">
        <f t="shared" ref="U13:V40" si="49">U14+N13</f>
        <v>3704.5161290322553</v>
      </c>
      <c r="V13" s="7">
        <f t="shared" si="49"/>
        <v>1817</v>
      </c>
      <c r="W13" s="7">
        <f t="shared" ref="W13:W41" si="50">U13-V13</f>
        <v>1887.5161290322553</v>
      </c>
      <c r="X13" s="7">
        <f t="shared" ref="X13:Y40" si="51">X14+R13</f>
        <v>22451.612903225818</v>
      </c>
      <c r="Y13" s="7">
        <f t="shared" si="51"/>
        <v>9450</v>
      </c>
      <c r="Z13" s="7">
        <f t="shared" ref="Z13:Z41" si="52">X13-Y13</f>
        <v>13001.612903225818</v>
      </c>
      <c r="AA13" s="24">
        <f t="shared" ref="AA13:AA41" si="53">COS(ATAN(M13/S13))</f>
        <v>0.88200390834437803</v>
      </c>
      <c r="AB13" s="25"/>
    </row>
    <row r="14" spans="2:28" ht="18" x14ac:dyDescent="0.25">
      <c r="B14" s="3">
        <v>28</v>
      </c>
      <c r="C14" s="5">
        <v>701334</v>
      </c>
      <c r="D14" s="5">
        <v>1385761</v>
      </c>
      <c r="E14" s="5">
        <v>464924</v>
      </c>
      <c r="F14" s="71">
        <f t="shared" si="39"/>
        <v>2552019</v>
      </c>
      <c r="G14" s="72">
        <f>(C15+D15+E15)+((S14/24)*7.5)</f>
        <v>2551703.4375</v>
      </c>
      <c r="H14" s="20">
        <f>G14+((K14/12)*1.5)</f>
        <v>2551731.1875</v>
      </c>
      <c r="I14" s="5">
        <f>I15+134</f>
        <v>807682</v>
      </c>
      <c r="J14" s="6">
        <f t="shared" ref="J14:K19" si="54">C14-C15</f>
        <v>159</v>
      </c>
      <c r="K14" s="6">
        <f t="shared" si="54"/>
        <v>222</v>
      </c>
      <c r="L14" s="6">
        <f t="shared" si="42"/>
        <v>78</v>
      </c>
      <c r="M14" s="6">
        <f t="shared" si="43"/>
        <v>134</v>
      </c>
      <c r="N14" s="5">
        <f t="shared" si="25"/>
        <v>127.74193548387096</v>
      </c>
      <c r="O14" s="23">
        <f t="shared" si="44"/>
        <v>78</v>
      </c>
      <c r="P14" s="5">
        <f t="shared" si="45"/>
        <v>49.741935483870961</v>
      </c>
      <c r="Q14" s="5">
        <f t="shared" si="46"/>
        <v>27.75</v>
      </c>
      <c r="R14" s="7">
        <f t="shared" si="29"/>
        <v>774.19354838709683</v>
      </c>
      <c r="S14" s="6">
        <f t="shared" si="47"/>
        <v>459</v>
      </c>
      <c r="T14" s="7">
        <f t="shared" si="48"/>
        <v>315.19354838709683</v>
      </c>
      <c r="U14" s="7">
        <f t="shared" si="49"/>
        <v>3576.7741935483846</v>
      </c>
      <c r="V14" s="7">
        <f t="shared" si="49"/>
        <v>1764</v>
      </c>
      <c r="W14" s="7">
        <f t="shared" si="50"/>
        <v>1812.7741935483846</v>
      </c>
      <c r="X14" s="7">
        <f t="shared" si="51"/>
        <v>21677.419354838719</v>
      </c>
      <c r="Y14" s="7">
        <f t="shared" si="51"/>
        <v>9100</v>
      </c>
      <c r="Z14" s="7">
        <f t="shared" si="52"/>
        <v>12577.419354838719</v>
      </c>
      <c r="AA14" s="24">
        <f t="shared" si="53"/>
        <v>0.95992970040498238</v>
      </c>
      <c r="AB14" s="25"/>
    </row>
    <row r="15" spans="2:28" ht="18" x14ac:dyDescent="0.25">
      <c r="B15" s="3">
        <v>27</v>
      </c>
      <c r="C15" s="5">
        <f>C16+139</f>
        <v>701175</v>
      </c>
      <c r="D15" s="5">
        <f>D16+211</f>
        <v>1385539</v>
      </c>
      <c r="E15" s="5">
        <f>E16+79</f>
        <v>464846</v>
      </c>
      <c r="F15" s="71">
        <f t="shared" si="39"/>
        <v>2551560</v>
      </c>
      <c r="G15" s="72">
        <f t="shared" si="40"/>
        <v>2551265.0625</v>
      </c>
      <c r="H15" s="20">
        <f>G15+((K15/12)*1.5)</f>
        <v>2551291.4375</v>
      </c>
      <c r="I15" s="5">
        <f>I16+183</f>
        <v>807548</v>
      </c>
      <c r="J15" s="6">
        <f t="shared" si="54"/>
        <v>139</v>
      </c>
      <c r="K15" s="6">
        <f t="shared" si="54"/>
        <v>211</v>
      </c>
      <c r="L15" s="6">
        <f t="shared" si="42"/>
        <v>79</v>
      </c>
      <c r="M15" s="6">
        <f>I15-I16</f>
        <v>183</v>
      </c>
      <c r="N15" s="5">
        <f t="shared" si="25"/>
        <v>127.74193548387096</v>
      </c>
      <c r="O15" s="23">
        <f t="shared" si="44"/>
        <v>79</v>
      </c>
      <c r="P15" s="5">
        <f t="shared" si="45"/>
        <v>48.741935483870961</v>
      </c>
      <c r="Q15" s="5">
        <f t="shared" si="46"/>
        <v>26.375</v>
      </c>
      <c r="R15" s="7">
        <f t="shared" si="29"/>
        <v>774.19354838709683</v>
      </c>
      <c r="S15" s="6">
        <f t="shared" si="47"/>
        <v>429</v>
      </c>
      <c r="T15" s="7">
        <f t="shared" si="48"/>
        <v>345.19354838709683</v>
      </c>
      <c r="U15" s="7">
        <f t="shared" si="49"/>
        <v>3449.0322580645138</v>
      </c>
      <c r="V15" s="7">
        <f t="shared" si="49"/>
        <v>1686</v>
      </c>
      <c r="W15" s="7">
        <f t="shared" si="50"/>
        <v>1763.0322580645138</v>
      </c>
      <c r="X15" s="7">
        <f t="shared" si="51"/>
        <v>20903.225806451621</v>
      </c>
      <c r="Y15" s="7">
        <f t="shared" si="51"/>
        <v>8641</v>
      </c>
      <c r="Z15" s="7">
        <f t="shared" si="52"/>
        <v>12262.225806451621</v>
      </c>
      <c r="AA15" s="24">
        <f t="shared" si="53"/>
        <v>0.91980912196623499</v>
      </c>
      <c r="AB15" s="25"/>
    </row>
    <row r="16" spans="2:28" ht="18" x14ac:dyDescent="0.25">
      <c r="B16" s="3">
        <v>26</v>
      </c>
      <c r="C16" s="5">
        <f>C17+151</f>
        <v>701036</v>
      </c>
      <c r="D16" s="5">
        <f>D17+207</f>
        <v>1385328</v>
      </c>
      <c r="E16" s="5">
        <f>E17+73</f>
        <v>464767</v>
      </c>
      <c r="F16" s="54">
        <f>C16+D16+E16</f>
        <v>2551131</v>
      </c>
      <c r="G16" s="72">
        <f t="shared" si="40"/>
        <v>2550834.6875</v>
      </c>
      <c r="H16" s="20">
        <f t="shared" si="41"/>
        <v>2550860.5625</v>
      </c>
      <c r="I16" s="5">
        <f>I17+180</f>
        <v>807365</v>
      </c>
      <c r="J16" s="6">
        <f t="shared" si="54"/>
        <v>151</v>
      </c>
      <c r="K16" s="6">
        <f t="shared" si="54"/>
        <v>207</v>
      </c>
      <c r="L16" s="6">
        <f>E16-E17</f>
        <v>73</v>
      </c>
      <c r="M16" s="6">
        <f>I16-I17</f>
        <v>180</v>
      </c>
      <c r="N16" s="5">
        <f t="shared" si="25"/>
        <v>127.74193548387096</v>
      </c>
      <c r="O16" s="3">
        <f>L16</f>
        <v>73</v>
      </c>
      <c r="P16" s="5">
        <f>N16-O16</f>
        <v>54.741935483870961</v>
      </c>
      <c r="Q16" s="5">
        <f>H16-G16</f>
        <v>25.875</v>
      </c>
      <c r="R16" s="7">
        <f t="shared" si="29"/>
        <v>774.19354838709683</v>
      </c>
      <c r="S16" s="6">
        <f>J16+K16+L16</f>
        <v>431</v>
      </c>
      <c r="T16" s="7">
        <f>R16-S16</f>
        <v>343.19354838709683</v>
      </c>
      <c r="U16" s="7">
        <f t="shared" ref="U16:V19" si="55">U17+N16</f>
        <v>3321.2903225806431</v>
      </c>
      <c r="V16" s="7">
        <f t="shared" si="55"/>
        <v>1607</v>
      </c>
      <c r="W16" s="7">
        <f>U16-V16</f>
        <v>1714.2903225806431</v>
      </c>
      <c r="X16" s="7">
        <f t="shared" ref="X16:Y19" si="56">X17+R16</f>
        <v>20129.032258064522</v>
      </c>
      <c r="Y16" s="7">
        <f t="shared" si="56"/>
        <v>8212</v>
      </c>
      <c r="Z16" s="7">
        <f>X16-Y16</f>
        <v>11917.032258064522</v>
      </c>
      <c r="AA16" s="24">
        <f>COS(ATAN(M16/S16))</f>
        <v>0.92275989795443347</v>
      </c>
      <c r="AB16" s="25"/>
    </row>
    <row r="17" spans="2:28" ht="18" x14ac:dyDescent="0.25">
      <c r="B17" s="3">
        <v>25</v>
      </c>
      <c r="C17" s="5">
        <f t="shared" ref="C17" si="57">C18+133</f>
        <v>700885</v>
      </c>
      <c r="D17" s="5">
        <f>D18+199</f>
        <v>1385121</v>
      </c>
      <c r="E17" s="5">
        <f t="shared" ref="E17" si="58">E18+75</f>
        <v>464694</v>
      </c>
      <c r="F17" s="71">
        <f t="shared" si="39"/>
        <v>2550700</v>
      </c>
      <c r="G17" s="72">
        <f t="shared" si="40"/>
        <v>2550420.1875</v>
      </c>
      <c r="H17" s="20">
        <f t="shared" si="41"/>
        <v>2550445.0625</v>
      </c>
      <c r="I17" s="5">
        <f>I18+139</f>
        <v>807185</v>
      </c>
      <c r="J17" s="6">
        <f t="shared" si="54"/>
        <v>133</v>
      </c>
      <c r="K17" s="6">
        <f t="shared" si="54"/>
        <v>199</v>
      </c>
      <c r="L17" s="6">
        <f>E17-E18</f>
        <v>75</v>
      </c>
      <c r="M17" s="6">
        <f>I17-I18</f>
        <v>139</v>
      </c>
      <c r="N17" s="5">
        <f t="shared" si="25"/>
        <v>127.74193548387096</v>
      </c>
      <c r="O17" s="3">
        <f>L17</f>
        <v>75</v>
      </c>
      <c r="P17" s="5">
        <f>N17-O17</f>
        <v>52.741935483870961</v>
      </c>
      <c r="Q17" s="5">
        <f>H17-G17</f>
        <v>24.875</v>
      </c>
      <c r="R17" s="7">
        <f t="shared" si="29"/>
        <v>774.19354838709683</v>
      </c>
      <c r="S17" s="6">
        <f>J17+K17+L17</f>
        <v>407</v>
      </c>
      <c r="T17" s="7">
        <f>R17-S17</f>
        <v>367.19354838709683</v>
      </c>
      <c r="U17" s="7">
        <f t="shared" si="55"/>
        <v>3193.5483870967723</v>
      </c>
      <c r="V17" s="7">
        <f t="shared" si="55"/>
        <v>1534</v>
      </c>
      <c r="W17" s="7">
        <f>U17-V17</f>
        <v>1659.5483870967723</v>
      </c>
      <c r="X17" s="7">
        <f t="shared" si="56"/>
        <v>19354.838709677424</v>
      </c>
      <c r="Y17" s="7">
        <f t="shared" si="56"/>
        <v>7781</v>
      </c>
      <c r="Z17" s="7">
        <f>X17-Y17</f>
        <v>11573.838709677424</v>
      </c>
      <c r="AA17" s="24">
        <f>COS(ATAN(M17/S17))</f>
        <v>0.94633251214875036</v>
      </c>
      <c r="AB17" s="25"/>
    </row>
    <row r="18" spans="2:28" ht="18" x14ac:dyDescent="0.25">
      <c r="B18" s="3">
        <v>24</v>
      </c>
      <c r="C18" s="5">
        <f>C19+120</f>
        <v>700752</v>
      </c>
      <c r="D18" s="5">
        <f>D19+138</f>
        <v>1384922</v>
      </c>
      <c r="E18" s="5">
        <f>E19+76</f>
        <v>464619</v>
      </c>
      <c r="F18" s="8">
        <f t="shared" si="39"/>
        <v>2550293</v>
      </c>
      <c r="G18" s="22">
        <f t="shared" si="40"/>
        <v>2550063.375</v>
      </c>
      <c r="H18" s="7">
        <f t="shared" si="41"/>
        <v>2550080.625</v>
      </c>
      <c r="I18" s="5">
        <f>I19+171</f>
        <v>807046</v>
      </c>
      <c r="J18" s="6">
        <f t="shared" si="54"/>
        <v>120</v>
      </c>
      <c r="K18" s="6">
        <f t="shared" si="54"/>
        <v>138</v>
      </c>
      <c r="L18" s="6">
        <f>E18-E19</f>
        <v>76</v>
      </c>
      <c r="M18" s="6">
        <f>I18-I19</f>
        <v>171</v>
      </c>
      <c r="N18" s="5">
        <f t="shared" si="25"/>
        <v>127.74193548387096</v>
      </c>
      <c r="O18" s="3">
        <f>L18</f>
        <v>76</v>
      </c>
      <c r="P18" s="5">
        <f>N18-O18</f>
        <v>51.741935483870961</v>
      </c>
      <c r="Q18" s="5">
        <f>H18-G18</f>
        <v>17.25</v>
      </c>
      <c r="R18" s="7">
        <f t="shared" si="29"/>
        <v>774.19354838709683</v>
      </c>
      <c r="S18" s="6">
        <f>J18+K18+L18</f>
        <v>334</v>
      </c>
      <c r="T18" s="7">
        <f>R18-S18</f>
        <v>440.19354838709683</v>
      </c>
      <c r="U18" s="7">
        <f t="shared" si="55"/>
        <v>3065.8064516129016</v>
      </c>
      <c r="V18" s="7">
        <f t="shared" si="55"/>
        <v>1459</v>
      </c>
      <c r="W18" s="7">
        <f>U18-V18</f>
        <v>1606.8064516129016</v>
      </c>
      <c r="X18" s="7">
        <f t="shared" si="56"/>
        <v>18580.645161290326</v>
      </c>
      <c r="Y18" s="7">
        <f t="shared" si="56"/>
        <v>7374</v>
      </c>
      <c r="Z18" s="7">
        <f>X18-Y18</f>
        <v>11206.645161290326</v>
      </c>
      <c r="AA18" s="24">
        <f>COS(ATAN(M18/S18))</f>
        <v>0.89012247367403941</v>
      </c>
      <c r="AB18" s="25"/>
    </row>
    <row r="19" spans="2:28" ht="18" x14ac:dyDescent="0.25">
      <c r="B19" s="3">
        <v>23</v>
      </c>
      <c r="C19" s="5">
        <f>C20+100</f>
        <v>700632</v>
      </c>
      <c r="D19" s="5">
        <f>D20+110</f>
        <v>1384784</v>
      </c>
      <c r="E19" s="5">
        <f>E20+69</f>
        <v>464543</v>
      </c>
      <c r="F19" s="8">
        <f t="shared" si="39"/>
        <v>2549959</v>
      </c>
      <c r="G19" s="22">
        <f t="shared" si="40"/>
        <v>2549767.1875</v>
      </c>
      <c r="H19" s="7">
        <f t="shared" si="41"/>
        <v>2549780.9375</v>
      </c>
      <c r="I19" s="5">
        <f>I20+147</f>
        <v>806875</v>
      </c>
      <c r="J19" s="6">
        <f t="shared" si="54"/>
        <v>100</v>
      </c>
      <c r="K19" s="6">
        <f t="shared" si="54"/>
        <v>110</v>
      </c>
      <c r="L19" s="6">
        <f>E19-E20</f>
        <v>69</v>
      </c>
      <c r="M19" s="6">
        <f>I19-I20</f>
        <v>147</v>
      </c>
      <c r="N19" s="5">
        <f t="shared" si="25"/>
        <v>127.74193548387096</v>
      </c>
      <c r="O19" s="3">
        <f>L19</f>
        <v>69</v>
      </c>
      <c r="P19" s="5">
        <f>N19-O19</f>
        <v>58.741935483870961</v>
      </c>
      <c r="Q19" s="5">
        <f>H19-G19</f>
        <v>13.75</v>
      </c>
      <c r="R19" s="7">
        <f t="shared" si="29"/>
        <v>774.19354838709683</v>
      </c>
      <c r="S19" s="6">
        <f>J19+K19+L19</f>
        <v>279</v>
      </c>
      <c r="T19" s="7">
        <f>R19-S19</f>
        <v>495.19354838709683</v>
      </c>
      <c r="U19" s="7">
        <f t="shared" si="55"/>
        <v>2938.0645161290308</v>
      </c>
      <c r="V19" s="7">
        <f t="shared" si="55"/>
        <v>1383</v>
      </c>
      <c r="W19" s="7">
        <f>U19-V19</f>
        <v>1555.0645161290308</v>
      </c>
      <c r="X19" s="7">
        <f t="shared" si="56"/>
        <v>17806.451612903227</v>
      </c>
      <c r="Y19" s="7">
        <f t="shared" si="56"/>
        <v>7040</v>
      </c>
      <c r="Z19" s="7">
        <f>X19-Y19</f>
        <v>10766.451612903227</v>
      </c>
      <c r="AA19" s="24">
        <f>COS(ATAN(M19/S19))</f>
        <v>0.88471177912735899</v>
      </c>
      <c r="AB19" s="1"/>
    </row>
    <row r="20" spans="2:28" ht="18" x14ac:dyDescent="0.25">
      <c r="B20" s="3">
        <v>22</v>
      </c>
      <c r="C20" s="5">
        <v>700532</v>
      </c>
      <c r="D20" s="5">
        <v>1384674</v>
      </c>
      <c r="E20" s="5">
        <v>464474</v>
      </c>
      <c r="F20" s="8">
        <f t="shared" si="39"/>
        <v>2549680</v>
      </c>
      <c r="G20" s="22">
        <f t="shared" si="40"/>
        <v>2549523.9375</v>
      </c>
      <c r="H20" s="7">
        <f t="shared" si="41"/>
        <v>2549535.6875</v>
      </c>
      <c r="I20" s="5">
        <f>I21+92</f>
        <v>806728</v>
      </c>
      <c r="J20" s="6">
        <f t="shared" si="42"/>
        <v>81</v>
      </c>
      <c r="K20" s="6">
        <f t="shared" si="42"/>
        <v>94</v>
      </c>
      <c r="L20" s="6">
        <f t="shared" si="42"/>
        <v>52</v>
      </c>
      <c r="M20" s="6">
        <f t="shared" si="43"/>
        <v>92</v>
      </c>
      <c r="N20" s="5">
        <f t="shared" si="25"/>
        <v>127.74193548387096</v>
      </c>
      <c r="O20" s="3">
        <f t="shared" si="44"/>
        <v>52</v>
      </c>
      <c r="P20" s="5">
        <f t="shared" si="45"/>
        <v>75.741935483870961</v>
      </c>
      <c r="Q20" s="5">
        <f t="shared" si="46"/>
        <v>11.75</v>
      </c>
      <c r="R20" s="7">
        <f t="shared" si="29"/>
        <v>774.19354838709683</v>
      </c>
      <c r="S20" s="6">
        <f t="shared" si="47"/>
        <v>227</v>
      </c>
      <c r="T20" s="7">
        <f t="shared" si="48"/>
        <v>547.19354838709683</v>
      </c>
      <c r="U20" s="7">
        <f t="shared" si="49"/>
        <v>2810.3225806451601</v>
      </c>
      <c r="V20" s="7">
        <f t="shared" si="49"/>
        <v>1314</v>
      </c>
      <c r="W20" s="7">
        <f t="shared" si="50"/>
        <v>1496.3225806451601</v>
      </c>
      <c r="X20" s="7">
        <f t="shared" si="51"/>
        <v>17032.258064516129</v>
      </c>
      <c r="Y20" s="7">
        <f t="shared" si="51"/>
        <v>6761</v>
      </c>
      <c r="Z20" s="7">
        <f t="shared" si="52"/>
        <v>10271.258064516129</v>
      </c>
      <c r="AA20" s="24">
        <f t="shared" si="53"/>
        <v>0.92677768296137641</v>
      </c>
      <c r="AB20" s="1"/>
    </row>
    <row r="21" spans="2:28" ht="18" x14ac:dyDescent="0.25">
      <c r="B21" s="3">
        <v>21</v>
      </c>
      <c r="C21" s="5">
        <f>C22+85</f>
        <v>700451</v>
      </c>
      <c r="D21" s="5">
        <f>D22+80</f>
        <v>1384580</v>
      </c>
      <c r="E21" s="5">
        <f>E22+56</f>
        <v>464422</v>
      </c>
      <c r="F21" s="8">
        <f t="shared" si="39"/>
        <v>2549453</v>
      </c>
      <c r="G21" s="22">
        <f t="shared" si="40"/>
        <v>2549301.0625</v>
      </c>
      <c r="H21" s="7">
        <f t="shared" si="41"/>
        <v>2549311.0625</v>
      </c>
      <c r="I21" s="5">
        <f>I22+75</f>
        <v>806636</v>
      </c>
      <c r="J21" s="6">
        <f t="shared" si="42"/>
        <v>85</v>
      </c>
      <c r="K21" s="6">
        <f t="shared" si="42"/>
        <v>80</v>
      </c>
      <c r="L21" s="6">
        <f t="shared" si="42"/>
        <v>56</v>
      </c>
      <c r="M21" s="6">
        <f t="shared" si="43"/>
        <v>75</v>
      </c>
      <c r="N21" s="5">
        <f t="shared" si="25"/>
        <v>127.74193548387096</v>
      </c>
      <c r="O21" s="3">
        <f t="shared" si="44"/>
        <v>56</v>
      </c>
      <c r="P21" s="5">
        <f t="shared" si="45"/>
        <v>71.741935483870961</v>
      </c>
      <c r="Q21" s="5">
        <f t="shared" si="46"/>
        <v>10</v>
      </c>
      <c r="R21" s="7">
        <f t="shared" si="29"/>
        <v>774.19354838709683</v>
      </c>
      <c r="S21" s="6">
        <f t="shared" si="47"/>
        <v>221</v>
      </c>
      <c r="T21" s="7">
        <f t="shared" si="48"/>
        <v>553.19354838709683</v>
      </c>
      <c r="U21" s="7">
        <f t="shared" si="49"/>
        <v>2682.5806451612893</v>
      </c>
      <c r="V21" s="7">
        <f t="shared" si="49"/>
        <v>1262</v>
      </c>
      <c r="W21" s="7">
        <f t="shared" si="50"/>
        <v>1420.5806451612893</v>
      </c>
      <c r="X21" s="7">
        <f t="shared" si="51"/>
        <v>16258.06451612903</v>
      </c>
      <c r="Y21" s="7">
        <f t="shared" si="51"/>
        <v>6534</v>
      </c>
      <c r="Z21" s="7">
        <f t="shared" si="52"/>
        <v>9724.0645161290304</v>
      </c>
      <c r="AA21" s="24">
        <f t="shared" si="53"/>
        <v>0.94695541717239429</v>
      </c>
      <c r="AB21" s="1"/>
    </row>
    <row r="22" spans="2:28" ht="18" x14ac:dyDescent="0.25">
      <c r="B22" s="3">
        <v>20</v>
      </c>
      <c r="C22" s="5">
        <f>C23+78</f>
        <v>700366</v>
      </c>
      <c r="D22" s="5">
        <f>D23+99</f>
        <v>1384500</v>
      </c>
      <c r="E22" s="5">
        <f>E23+52</f>
        <v>464366</v>
      </c>
      <c r="F22" s="8">
        <f t="shared" si="39"/>
        <v>2549232</v>
      </c>
      <c r="G22" s="22">
        <f t="shared" si="40"/>
        <v>2549074.5625</v>
      </c>
      <c r="H22" s="7">
        <f t="shared" si="41"/>
        <v>2549086.9375</v>
      </c>
      <c r="I22" s="5">
        <f>I23+96</f>
        <v>806561</v>
      </c>
      <c r="J22" s="6">
        <f t="shared" si="42"/>
        <v>78</v>
      </c>
      <c r="K22" s="6">
        <f t="shared" si="42"/>
        <v>99</v>
      </c>
      <c r="L22" s="6">
        <f t="shared" si="42"/>
        <v>52</v>
      </c>
      <c r="M22" s="6">
        <f t="shared" si="43"/>
        <v>96</v>
      </c>
      <c r="N22" s="5">
        <f t="shared" si="25"/>
        <v>127.74193548387096</v>
      </c>
      <c r="O22" s="3">
        <f t="shared" si="44"/>
        <v>52</v>
      </c>
      <c r="P22" s="5">
        <f t="shared" si="45"/>
        <v>75.741935483870961</v>
      </c>
      <c r="Q22" s="5">
        <f t="shared" si="46"/>
        <v>12.375</v>
      </c>
      <c r="R22" s="7">
        <f t="shared" si="29"/>
        <v>774.19354838709683</v>
      </c>
      <c r="S22" s="6">
        <f t="shared" si="47"/>
        <v>229</v>
      </c>
      <c r="T22" s="7">
        <f t="shared" si="48"/>
        <v>545.19354838709683</v>
      </c>
      <c r="U22" s="7">
        <f t="shared" si="49"/>
        <v>2554.8387096774186</v>
      </c>
      <c r="V22" s="7">
        <f t="shared" si="49"/>
        <v>1206</v>
      </c>
      <c r="W22" s="7">
        <f t="shared" si="50"/>
        <v>1348.8387096774186</v>
      </c>
      <c r="X22" s="7">
        <f t="shared" si="51"/>
        <v>15483.870967741934</v>
      </c>
      <c r="Y22" s="7">
        <f t="shared" si="51"/>
        <v>6313</v>
      </c>
      <c r="Z22" s="7">
        <f t="shared" si="52"/>
        <v>9170.8709677419338</v>
      </c>
      <c r="AA22" s="24">
        <f t="shared" si="53"/>
        <v>0.92224070642807665</v>
      </c>
      <c r="AB22" s="1"/>
    </row>
    <row r="23" spans="2:28" ht="18" x14ac:dyDescent="0.25">
      <c r="B23" s="3">
        <v>19</v>
      </c>
      <c r="C23" s="5">
        <f>C24+86</f>
        <v>700288</v>
      </c>
      <c r="D23" s="5">
        <f>D24+93</f>
        <v>1384401</v>
      </c>
      <c r="E23" s="5">
        <f>E24+57</f>
        <v>464314</v>
      </c>
      <c r="F23" s="8">
        <f t="shared" si="39"/>
        <v>2549003</v>
      </c>
      <c r="G23" s="22">
        <f t="shared" si="40"/>
        <v>2548840.75</v>
      </c>
      <c r="H23" s="7">
        <f>G23+((K23/12)*1.5)</f>
        <v>2548852.375</v>
      </c>
      <c r="I23" s="5">
        <f>I24+86</f>
        <v>806465</v>
      </c>
      <c r="J23" s="6">
        <f t="shared" si="42"/>
        <v>86</v>
      </c>
      <c r="K23" s="6">
        <f t="shared" si="42"/>
        <v>93</v>
      </c>
      <c r="L23" s="6">
        <f t="shared" si="42"/>
        <v>57</v>
      </c>
      <c r="M23" s="6">
        <f t="shared" si="43"/>
        <v>86</v>
      </c>
      <c r="N23" s="5">
        <f t="shared" si="25"/>
        <v>127.74193548387096</v>
      </c>
      <c r="O23" s="3">
        <f t="shared" si="44"/>
        <v>57</v>
      </c>
      <c r="P23" s="5">
        <f t="shared" si="45"/>
        <v>70.741935483870961</v>
      </c>
      <c r="Q23" s="5">
        <f t="shared" si="46"/>
        <v>11.625</v>
      </c>
      <c r="R23" s="7">
        <f t="shared" si="29"/>
        <v>774.19354838709683</v>
      </c>
      <c r="S23" s="6">
        <f t="shared" si="47"/>
        <v>236</v>
      </c>
      <c r="T23" s="7">
        <f t="shared" si="48"/>
        <v>538.19354838709683</v>
      </c>
      <c r="U23" s="7">
        <f t="shared" si="49"/>
        <v>2427.0967741935478</v>
      </c>
      <c r="V23" s="7">
        <f t="shared" si="49"/>
        <v>1154</v>
      </c>
      <c r="W23" s="7">
        <f t="shared" si="50"/>
        <v>1273.0967741935478</v>
      </c>
      <c r="X23" s="7">
        <f t="shared" si="51"/>
        <v>14709.677419354837</v>
      </c>
      <c r="Y23" s="7">
        <f t="shared" si="51"/>
        <v>6084</v>
      </c>
      <c r="Z23" s="7">
        <f t="shared" si="52"/>
        <v>8625.6774193548372</v>
      </c>
      <c r="AA23" s="24">
        <f t="shared" si="53"/>
        <v>0.93956072781392785</v>
      </c>
      <c r="AB23" s="1"/>
    </row>
    <row r="24" spans="2:28" ht="18" x14ac:dyDescent="0.25">
      <c r="B24" s="3">
        <v>18</v>
      </c>
      <c r="C24" s="5">
        <f t="shared" ref="C24" si="59">C25+84</f>
        <v>700202</v>
      </c>
      <c r="D24" s="5">
        <f>D25+95</f>
        <v>1384308</v>
      </c>
      <c r="E24" s="5">
        <f>E25+54</f>
        <v>464257</v>
      </c>
      <c r="F24" s="8">
        <f t="shared" si="39"/>
        <v>2548767</v>
      </c>
      <c r="G24" s="22">
        <f t="shared" si="40"/>
        <v>2548606.8125</v>
      </c>
      <c r="H24" s="7">
        <f t="shared" si="41"/>
        <v>2548618.6875</v>
      </c>
      <c r="I24" s="5">
        <f>I25+91</f>
        <v>806379</v>
      </c>
      <c r="J24" s="6">
        <f t="shared" si="42"/>
        <v>84</v>
      </c>
      <c r="K24" s="6">
        <f t="shared" si="42"/>
        <v>95</v>
      </c>
      <c r="L24" s="6">
        <f t="shared" si="42"/>
        <v>54</v>
      </c>
      <c r="M24" s="6">
        <f t="shared" si="43"/>
        <v>91</v>
      </c>
      <c r="N24" s="5">
        <f t="shared" si="25"/>
        <v>127.74193548387096</v>
      </c>
      <c r="O24" s="3">
        <f t="shared" si="44"/>
        <v>54</v>
      </c>
      <c r="P24" s="5">
        <f t="shared" si="45"/>
        <v>73.741935483870961</v>
      </c>
      <c r="Q24" s="5">
        <f t="shared" si="46"/>
        <v>11.875</v>
      </c>
      <c r="R24" s="7">
        <f t="shared" si="29"/>
        <v>774.19354838709683</v>
      </c>
      <c r="S24" s="6">
        <f t="shared" si="47"/>
        <v>233</v>
      </c>
      <c r="T24" s="7">
        <f t="shared" si="48"/>
        <v>541.19354838709683</v>
      </c>
      <c r="U24" s="7">
        <f t="shared" si="49"/>
        <v>2299.3548387096771</v>
      </c>
      <c r="V24" s="7">
        <f t="shared" si="49"/>
        <v>1097</v>
      </c>
      <c r="W24" s="7">
        <f t="shared" si="50"/>
        <v>1202.3548387096771</v>
      </c>
      <c r="X24" s="7">
        <f t="shared" si="51"/>
        <v>13935.483870967741</v>
      </c>
      <c r="Y24" s="7">
        <f t="shared" si="51"/>
        <v>5848</v>
      </c>
      <c r="Z24" s="7">
        <f t="shared" si="52"/>
        <v>8087.4838709677406</v>
      </c>
      <c r="AA24" s="24">
        <f t="shared" si="53"/>
        <v>0.93147851800401527</v>
      </c>
      <c r="AB24" s="1"/>
    </row>
    <row r="25" spans="2:28" ht="18" x14ac:dyDescent="0.25">
      <c r="B25" s="3">
        <v>17</v>
      </c>
      <c r="C25" s="5">
        <f>C26+80</f>
        <v>700118</v>
      </c>
      <c r="D25" s="5">
        <f>D26+90</f>
        <v>1384213</v>
      </c>
      <c r="E25" s="5">
        <f>E26+51</f>
        <v>464203</v>
      </c>
      <c r="F25" s="8">
        <f t="shared" si="39"/>
        <v>2548534</v>
      </c>
      <c r="G25" s="22">
        <f t="shared" si="40"/>
        <v>2548382.0625</v>
      </c>
      <c r="H25" s="7">
        <f t="shared" si="41"/>
        <v>2548393.3125</v>
      </c>
      <c r="I25" s="5">
        <f t="shared" ref="I21:I25" si="60">I26+43</f>
        <v>806288</v>
      </c>
      <c r="J25" s="6">
        <f t="shared" si="42"/>
        <v>80</v>
      </c>
      <c r="K25" s="6">
        <f t="shared" si="42"/>
        <v>90</v>
      </c>
      <c r="L25" s="6">
        <f t="shared" si="42"/>
        <v>51</v>
      </c>
      <c r="M25" s="7">
        <f t="shared" si="43"/>
        <v>43</v>
      </c>
      <c r="N25" s="5">
        <f t="shared" si="25"/>
        <v>127.74193548387096</v>
      </c>
      <c r="O25" s="3">
        <f t="shared" si="44"/>
        <v>51</v>
      </c>
      <c r="P25" s="5">
        <f t="shared" si="45"/>
        <v>76.741935483870961</v>
      </c>
      <c r="Q25" s="5">
        <f t="shared" si="46"/>
        <v>11.25</v>
      </c>
      <c r="R25" s="7">
        <f t="shared" si="29"/>
        <v>774.19354838709683</v>
      </c>
      <c r="S25" s="6">
        <f t="shared" si="47"/>
        <v>221</v>
      </c>
      <c r="T25" s="7">
        <f t="shared" si="48"/>
        <v>553.19354838709683</v>
      </c>
      <c r="U25" s="7">
        <f t="shared" si="49"/>
        <v>2171.6129032258063</v>
      </c>
      <c r="V25" s="6">
        <f t="shared" si="49"/>
        <v>1043</v>
      </c>
      <c r="W25" s="7">
        <f t="shared" si="50"/>
        <v>1128.6129032258063</v>
      </c>
      <c r="X25" s="7">
        <f t="shared" si="51"/>
        <v>13161.290322580644</v>
      </c>
      <c r="Y25" s="7">
        <f t="shared" si="51"/>
        <v>5615</v>
      </c>
      <c r="Z25" s="7">
        <f t="shared" si="52"/>
        <v>7546.290322580644</v>
      </c>
      <c r="AA25" s="24">
        <f t="shared" si="53"/>
        <v>0.98159226636724806</v>
      </c>
      <c r="AB25" s="1"/>
    </row>
    <row r="26" spans="2:28" ht="18" x14ac:dyDescent="0.25">
      <c r="B26" s="3">
        <v>16</v>
      </c>
      <c r="C26" s="5">
        <f>C27+92</f>
        <v>700038</v>
      </c>
      <c r="D26" s="5">
        <f>D27+101</f>
        <v>1384123</v>
      </c>
      <c r="E26" s="5">
        <f>E27+55</f>
        <v>464152</v>
      </c>
      <c r="F26" s="8">
        <f t="shared" si="39"/>
        <v>2548313</v>
      </c>
      <c r="G26" s="22">
        <f t="shared" si="40"/>
        <v>2548142.5</v>
      </c>
      <c r="H26" s="7">
        <f t="shared" si="41"/>
        <v>2548155.125</v>
      </c>
      <c r="I26" s="5">
        <f>I27+147</f>
        <v>806245</v>
      </c>
      <c r="J26" s="6">
        <f t="shared" si="42"/>
        <v>92</v>
      </c>
      <c r="K26" s="6">
        <f t="shared" si="42"/>
        <v>101</v>
      </c>
      <c r="L26" s="6">
        <f t="shared" si="42"/>
        <v>55</v>
      </c>
      <c r="M26" s="7">
        <f t="shared" si="43"/>
        <v>147</v>
      </c>
      <c r="N26" s="5">
        <f t="shared" si="25"/>
        <v>127.74193548387096</v>
      </c>
      <c r="O26" s="3">
        <f t="shared" si="44"/>
        <v>55</v>
      </c>
      <c r="P26" s="5">
        <f t="shared" si="45"/>
        <v>72.741935483870961</v>
      </c>
      <c r="Q26" s="5">
        <f t="shared" si="46"/>
        <v>12.625</v>
      </c>
      <c r="R26" s="7">
        <f t="shared" si="29"/>
        <v>774.19354838709683</v>
      </c>
      <c r="S26" s="6">
        <f t="shared" si="47"/>
        <v>248</v>
      </c>
      <c r="T26" s="7">
        <f t="shared" si="48"/>
        <v>526.19354838709683</v>
      </c>
      <c r="U26" s="7">
        <f t="shared" si="49"/>
        <v>2043.8709677419354</v>
      </c>
      <c r="V26" s="6">
        <f t="shared" si="49"/>
        <v>992</v>
      </c>
      <c r="W26" s="7">
        <f t="shared" si="50"/>
        <v>1051.8709677419354</v>
      </c>
      <c r="X26" s="7">
        <f t="shared" si="51"/>
        <v>12387.096774193547</v>
      </c>
      <c r="Y26" s="7">
        <f t="shared" si="51"/>
        <v>5394</v>
      </c>
      <c r="Z26" s="7">
        <f t="shared" si="52"/>
        <v>6993.0967741935474</v>
      </c>
      <c r="AA26" s="24">
        <f t="shared" si="53"/>
        <v>0.86023518417267864</v>
      </c>
      <c r="AB26" s="1"/>
    </row>
    <row r="27" spans="2:28" ht="18" x14ac:dyDescent="0.25">
      <c r="B27" s="3">
        <v>15</v>
      </c>
      <c r="C27" s="5">
        <f>C28+90</f>
        <v>699946</v>
      </c>
      <c r="D27" s="5">
        <f>D28+161</f>
        <v>1384022</v>
      </c>
      <c r="E27" s="5">
        <f>E28+53</f>
        <v>464097</v>
      </c>
      <c r="F27" s="8">
        <f t="shared" si="39"/>
        <v>2548065</v>
      </c>
      <c r="G27" s="22">
        <f t="shared" si="40"/>
        <v>2547856</v>
      </c>
      <c r="H27" s="7">
        <f t="shared" si="41"/>
        <v>2547876.125</v>
      </c>
      <c r="I27" s="5">
        <f>I28+149</f>
        <v>806098</v>
      </c>
      <c r="J27" s="6">
        <f t="shared" si="42"/>
        <v>90</v>
      </c>
      <c r="K27" s="6">
        <f t="shared" si="42"/>
        <v>161</v>
      </c>
      <c r="L27" s="6">
        <f t="shared" si="42"/>
        <v>53</v>
      </c>
      <c r="M27" s="7">
        <f t="shared" si="43"/>
        <v>149</v>
      </c>
      <c r="N27" s="5">
        <f t="shared" si="25"/>
        <v>127.74193548387096</v>
      </c>
      <c r="O27" s="3">
        <f t="shared" si="44"/>
        <v>53</v>
      </c>
      <c r="P27" s="5">
        <f t="shared" si="45"/>
        <v>74.741935483870961</v>
      </c>
      <c r="Q27" s="5">
        <f t="shared" si="46"/>
        <v>20.125</v>
      </c>
      <c r="R27" s="7">
        <f t="shared" si="29"/>
        <v>774.19354838709683</v>
      </c>
      <c r="S27" s="6">
        <f t="shared" si="47"/>
        <v>304</v>
      </c>
      <c r="T27" s="7">
        <f t="shared" si="48"/>
        <v>470.19354838709683</v>
      </c>
      <c r="U27" s="7">
        <f t="shared" si="49"/>
        <v>1916.1290322580644</v>
      </c>
      <c r="V27" s="6">
        <f t="shared" si="49"/>
        <v>937</v>
      </c>
      <c r="W27" s="7">
        <f t="shared" si="50"/>
        <v>979.1290322580644</v>
      </c>
      <c r="X27" s="7">
        <f t="shared" si="51"/>
        <v>11612.903225806451</v>
      </c>
      <c r="Y27" s="7">
        <f t="shared" si="51"/>
        <v>5146</v>
      </c>
      <c r="Z27" s="7">
        <f t="shared" si="52"/>
        <v>6466.9032258064508</v>
      </c>
      <c r="AA27" s="24">
        <f t="shared" si="53"/>
        <v>0.89794361179392779</v>
      </c>
      <c r="AB27" s="1"/>
    </row>
    <row r="28" spans="2:28" ht="18" x14ac:dyDescent="0.25">
      <c r="B28" s="3">
        <v>14</v>
      </c>
      <c r="C28" s="5">
        <f>C29+114</f>
        <v>699856</v>
      </c>
      <c r="D28" s="5">
        <f>D29+201</f>
        <v>1383861</v>
      </c>
      <c r="E28" s="5">
        <f>E29+80</f>
        <v>464044</v>
      </c>
      <c r="F28" s="8">
        <f t="shared" si="39"/>
        <v>2547761</v>
      </c>
      <c r="G28" s="22">
        <f t="shared" si="40"/>
        <v>2547489.4375</v>
      </c>
      <c r="H28" s="7">
        <f t="shared" si="41"/>
        <v>2547514.5625</v>
      </c>
      <c r="I28" s="5">
        <f>I29+171</f>
        <v>805949</v>
      </c>
      <c r="J28" s="6">
        <f t="shared" si="42"/>
        <v>114</v>
      </c>
      <c r="K28" s="6">
        <f t="shared" si="42"/>
        <v>201</v>
      </c>
      <c r="L28" s="6">
        <f t="shared" si="42"/>
        <v>80</v>
      </c>
      <c r="M28" s="7">
        <f t="shared" si="43"/>
        <v>171</v>
      </c>
      <c r="N28" s="5">
        <f t="shared" si="25"/>
        <v>127.74193548387096</v>
      </c>
      <c r="O28" s="3">
        <f t="shared" si="44"/>
        <v>80</v>
      </c>
      <c r="P28" s="5">
        <f t="shared" si="45"/>
        <v>47.741935483870961</v>
      </c>
      <c r="Q28" s="5">
        <f t="shared" si="46"/>
        <v>25.125</v>
      </c>
      <c r="R28" s="7">
        <f t="shared" si="29"/>
        <v>774.19354838709683</v>
      </c>
      <c r="S28" s="6">
        <f t="shared" si="47"/>
        <v>395</v>
      </c>
      <c r="T28" s="7">
        <f t="shared" si="48"/>
        <v>379.19354838709683</v>
      </c>
      <c r="U28" s="7">
        <f t="shared" si="49"/>
        <v>1788.3870967741934</v>
      </c>
      <c r="V28" s="6">
        <f t="shared" si="49"/>
        <v>884</v>
      </c>
      <c r="W28" s="7">
        <f t="shared" si="50"/>
        <v>904.38709677419342</v>
      </c>
      <c r="X28" s="7">
        <f t="shared" si="51"/>
        <v>10838.709677419354</v>
      </c>
      <c r="Y28" s="7">
        <f t="shared" si="51"/>
        <v>4842</v>
      </c>
      <c r="Z28" s="7">
        <f t="shared" si="52"/>
        <v>5996.7096774193542</v>
      </c>
      <c r="AA28" s="24">
        <f t="shared" si="53"/>
        <v>0.91769683344367692</v>
      </c>
      <c r="AB28" s="1"/>
    </row>
    <row r="29" spans="2:28" ht="18" x14ac:dyDescent="0.25">
      <c r="B29" s="3">
        <v>13</v>
      </c>
      <c r="C29" s="5">
        <v>699742</v>
      </c>
      <c r="D29" s="5">
        <v>1383660</v>
      </c>
      <c r="E29" s="5">
        <v>463964</v>
      </c>
      <c r="F29" s="8">
        <f t="shared" si="39"/>
        <v>2547366</v>
      </c>
      <c r="G29" s="22">
        <f t="shared" si="40"/>
        <v>2547097.1875</v>
      </c>
      <c r="H29" s="7">
        <f t="shared" si="41"/>
        <v>2547123.0625</v>
      </c>
      <c r="I29" s="5">
        <v>805778</v>
      </c>
      <c r="J29" s="6">
        <f t="shared" si="42"/>
        <v>106</v>
      </c>
      <c r="K29" s="6">
        <f t="shared" si="42"/>
        <v>207</v>
      </c>
      <c r="L29" s="6">
        <f t="shared" si="42"/>
        <v>78</v>
      </c>
      <c r="M29" s="6">
        <f t="shared" si="43"/>
        <v>74</v>
      </c>
      <c r="N29" s="5">
        <f t="shared" si="25"/>
        <v>127.74193548387096</v>
      </c>
      <c r="O29" s="3">
        <f t="shared" si="44"/>
        <v>78</v>
      </c>
      <c r="P29" s="5">
        <f t="shared" si="45"/>
        <v>49.741935483870961</v>
      </c>
      <c r="Q29" s="5">
        <f t="shared" si="46"/>
        <v>25.875</v>
      </c>
      <c r="R29" s="7">
        <f t="shared" si="29"/>
        <v>774.19354838709683</v>
      </c>
      <c r="S29" s="6">
        <f t="shared" si="47"/>
        <v>391</v>
      </c>
      <c r="T29" s="7">
        <f t="shared" si="48"/>
        <v>383.19354838709683</v>
      </c>
      <c r="U29" s="7">
        <f t="shared" si="49"/>
        <v>1660.6451612903224</v>
      </c>
      <c r="V29" s="6">
        <f t="shared" si="49"/>
        <v>804</v>
      </c>
      <c r="W29" s="7">
        <f t="shared" si="50"/>
        <v>856.64516129032245</v>
      </c>
      <c r="X29" s="7">
        <f t="shared" si="51"/>
        <v>10064.516129032258</v>
      </c>
      <c r="Y29" s="7">
        <f t="shared" si="51"/>
        <v>4447</v>
      </c>
      <c r="Z29" s="7">
        <f t="shared" si="52"/>
        <v>5617.5161290322576</v>
      </c>
      <c r="AA29" s="24">
        <f t="shared" si="53"/>
        <v>0.98255783832617571</v>
      </c>
      <c r="AB29" s="1"/>
    </row>
    <row r="30" spans="2:28" ht="18" x14ac:dyDescent="0.25">
      <c r="B30" s="3">
        <v>12</v>
      </c>
      <c r="C30" s="5">
        <f>C31+104</f>
        <v>699636</v>
      </c>
      <c r="D30" s="5">
        <f>D31+202</f>
        <v>1383453</v>
      </c>
      <c r="E30" s="5">
        <f>E31+74</f>
        <v>463886</v>
      </c>
      <c r="F30" s="8">
        <f t="shared" si="39"/>
        <v>2546975</v>
      </c>
      <c r="G30" s="22">
        <f t="shared" si="40"/>
        <v>2546713.75</v>
      </c>
      <c r="H30" s="7">
        <f t="shared" si="41"/>
        <v>2546739</v>
      </c>
      <c r="I30" s="5">
        <f t="shared" ref="I30" si="61">I31+68</f>
        <v>805704</v>
      </c>
      <c r="J30" s="6">
        <f t="shared" ref="J30:L32" si="62">C30-C31</f>
        <v>104</v>
      </c>
      <c r="K30" s="6">
        <f t="shared" si="62"/>
        <v>202</v>
      </c>
      <c r="L30" s="6">
        <f t="shared" si="62"/>
        <v>74</v>
      </c>
      <c r="M30" s="6">
        <f t="shared" si="43"/>
        <v>68</v>
      </c>
      <c r="N30" s="5">
        <f t="shared" si="25"/>
        <v>127.74193548387096</v>
      </c>
      <c r="O30" s="3">
        <f t="shared" si="44"/>
        <v>74</v>
      </c>
      <c r="P30" s="5">
        <f t="shared" si="45"/>
        <v>53.741935483870961</v>
      </c>
      <c r="Q30" s="5">
        <f t="shared" si="46"/>
        <v>25.25</v>
      </c>
      <c r="R30" s="7">
        <f t="shared" si="29"/>
        <v>774.19354838709683</v>
      </c>
      <c r="S30" s="6">
        <f t="shared" si="47"/>
        <v>380</v>
      </c>
      <c r="T30" s="7">
        <f t="shared" si="48"/>
        <v>394.19354838709683</v>
      </c>
      <c r="U30" s="7">
        <f t="shared" si="49"/>
        <v>1532.9032258064515</v>
      </c>
      <c r="V30" s="6">
        <f t="shared" si="49"/>
        <v>726</v>
      </c>
      <c r="W30" s="7">
        <f t="shared" si="50"/>
        <v>806.90322580645147</v>
      </c>
      <c r="X30" s="7">
        <f t="shared" si="51"/>
        <v>9290.322580645161</v>
      </c>
      <c r="Y30" s="7">
        <f t="shared" si="51"/>
        <v>4056</v>
      </c>
      <c r="Z30" s="7">
        <f t="shared" si="52"/>
        <v>5234.322580645161</v>
      </c>
      <c r="AA30" s="24">
        <f t="shared" si="53"/>
        <v>0.98436346988383494</v>
      </c>
      <c r="AB30" s="1"/>
    </row>
    <row r="31" spans="2:28" ht="18" x14ac:dyDescent="0.25">
      <c r="B31" s="3">
        <v>11</v>
      </c>
      <c r="C31" s="5">
        <f>C32+103</f>
        <v>699532</v>
      </c>
      <c r="D31" s="5">
        <f>D32+200</f>
        <v>1383251</v>
      </c>
      <c r="E31" s="5">
        <f>E32+73</f>
        <v>463812</v>
      </c>
      <c r="F31" s="8">
        <f>C31+D31+E31</f>
        <v>2546595</v>
      </c>
      <c r="G31" s="22">
        <f t="shared" si="40"/>
        <v>2546336.5</v>
      </c>
      <c r="H31" s="7">
        <f t="shared" si="41"/>
        <v>2546361.5</v>
      </c>
      <c r="I31" s="5">
        <f>I32+63</f>
        <v>805636</v>
      </c>
      <c r="J31" s="6">
        <f t="shared" si="62"/>
        <v>103</v>
      </c>
      <c r="K31" s="6">
        <f t="shared" si="62"/>
        <v>200</v>
      </c>
      <c r="L31" s="6">
        <f t="shared" si="62"/>
        <v>73</v>
      </c>
      <c r="M31" s="6">
        <f t="shared" si="43"/>
        <v>63</v>
      </c>
      <c r="N31" s="5">
        <f t="shared" si="25"/>
        <v>127.74193548387096</v>
      </c>
      <c r="O31" s="3">
        <f t="shared" si="44"/>
        <v>73</v>
      </c>
      <c r="P31" s="5">
        <f t="shared" si="45"/>
        <v>54.741935483870961</v>
      </c>
      <c r="Q31" s="5">
        <f t="shared" si="46"/>
        <v>25</v>
      </c>
      <c r="R31" s="7">
        <f t="shared" si="29"/>
        <v>774.19354838709683</v>
      </c>
      <c r="S31" s="6">
        <f t="shared" si="47"/>
        <v>376</v>
      </c>
      <c r="T31" s="7">
        <f t="shared" si="48"/>
        <v>398.19354838709683</v>
      </c>
      <c r="U31" s="7">
        <f t="shared" si="49"/>
        <v>1405.1612903225805</v>
      </c>
      <c r="V31" s="6">
        <f t="shared" si="49"/>
        <v>652</v>
      </c>
      <c r="W31" s="7">
        <f t="shared" si="50"/>
        <v>753.1612903225805</v>
      </c>
      <c r="X31" s="7">
        <f t="shared" si="51"/>
        <v>8516.1290322580644</v>
      </c>
      <c r="Y31" s="7">
        <f t="shared" si="51"/>
        <v>3676</v>
      </c>
      <c r="Z31" s="7">
        <f t="shared" si="52"/>
        <v>4840.1290322580644</v>
      </c>
      <c r="AA31" s="24">
        <f t="shared" si="53"/>
        <v>0.9862517726643435</v>
      </c>
      <c r="AB31" s="1"/>
    </row>
    <row r="32" spans="2:28" ht="18" x14ac:dyDescent="0.25">
      <c r="B32" s="3">
        <v>10</v>
      </c>
      <c r="C32" s="5">
        <f>C33+100</f>
        <v>699429</v>
      </c>
      <c r="D32" s="5">
        <f>D33+196</f>
        <v>1383051</v>
      </c>
      <c r="E32" s="5">
        <f t="shared" ref="E32" si="63">E33+71</f>
        <v>463739</v>
      </c>
      <c r="F32" s="8">
        <f>C32+D32+E32</f>
        <v>2546219</v>
      </c>
      <c r="G32" s="22">
        <f t="shared" si="40"/>
        <v>2545966.6875</v>
      </c>
      <c r="H32" s="7">
        <f t="shared" si="41"/>
        <v>2545991.1875</v>
      </c>
      <c r="I32" s="5">
        <f>I33+70</f>
        <v>805573</v>
      </c>
      <c r="J32" s="6">
        <f t="shared" si="62"/>
        <v>100</v>
      </c>
      <c r="K32" s="6">
        <f t="shared" si="62"/>
        <v>196</v>
      </c>
      <c r="L32" s="6">
        <f t="shared" si="62"/>
        <v>71</v>
      </c>
      <c r="M32" s="6">
        <f t="shared" si="43"/>
        <v>70</v>
      </c>
      <c r="N32" s="5">
        <f t="shared" si="25"/>
        <v>127.74193548387096</v>
      </c>
      <c r="O32" s="3">
        <f t="shared" si="44"/>
        <v>71</v>
      </c>
      <c r="P32" s="5">
        <f t="shared" si="45"/>
        <v>56.741935483870961</v>
      </c>
      <c r="Q32" s="5">
        <f t="shared" si="46"/>
        <v>24.5</v>
      </c>
      <c r="R32" s="7">
        <f t="shared" si="29"/>
        <v>774.19354838709683</v>
      </c>
      <c r="S32" s="6">
        <f t="shared" si="47"/>
        <v>367</v>
      </c>
      <c r="T32" s="7">
        <f t="shared" si="48"/>
        <v>407.19354838709683</v>
      </c>
      <c r="U32" s="7">
        <f t="shared" si="49"/>
        <v>1277.4193548387095</v>
      </c>
      <c r="V32" s="6">
        <f t="shared" si="49"/>
        <v>579</v>
      </c>
      <c r="W32" s="7">
        <f t="shared" si="50"/>
        <v>698.41935483870952</v>
      </c>
      <c r="X32" s="7">
        <f t="shared" si="51"/>
        <v>7741.9354838709669</v>
      </c>
      <c r="Y32" s="7">
        <f t="shared" si="51"/>
        <v>3300</v>
      </c>
      <c r="Z32" s="7">
        <f t="shared" si="52"/>
        <v>4441.9354838709669</v>
      </c>
      <c r="AA32" s="24">
        <f t="shared" si="53"/>
        <v>0.98229168146086188</v>
      </c>
      <c r="AB32" s="1"/>
    </row>
    <row r="33" spans="2:28" ht="18" x14ac:dyDescent="0.25">
      <c r="B33" s="3">
        <v>9</v>
      </c>
      <c r="C33" s="5">
        <f>C34+97</f>
        <v>699329</v>
      </c>
      <c r="D33" s="5">
        <f>D34+190</f>
        <v>1382855</v>
      </c>
      <c r="E33" s="5">
        <f>E34+66</f>
        <v>463668</v>
      </c>
      <c r="F33" s="9">
        <f>C33+D33+E33</f>
        <v>2545852</v>
      </c>
      <c r="G33" s="22">
        <f t="shared" si="40"/>
        <v>2545609.3125</v>
      </c>
      <c r="H33" s="7">
        <f t="shared" si="41"/>
        <v>2545633.0625</v>
      </c>
      <c r="I33" s="5">
        <f>I34+67</f>
        <v>805503</v>
      </c>
      <c r="J33" s="6">
        <f t="shared" si="42"/>
        <v>97</v>
      </c>
      <c r="K33" s="6">
        <f t="shared" si="42"/>
        <v>190</v>
      </c>
      <c r="L33" s="6">
        <f t="shared" si="42"/>
        <v>66</v>
      </c>
      <c r="M33" s="6">
        <f t="shared" si="43"/>
        <v>67</v>
      </c>
      <c r="N33" s="5">
        <f t="shared" si="25"/>
        <v>127.74193548387096</v>
      </c>
      <c r="O33" s="3">
        <f t="shared" si="44"/>
        <v>66</v>
      </c>
      <c r="P33" s="5">
        <f t="shared" si="45"/>
        <v>61.741935483870961</v>
      </c>
      <c r="Q33" s="5">
        <f t="shared" si="46"/>
        <v>23.75</v>
      </c>
      <c r="R33" s="7">
        <f t="shared" si="29"/>
        <v>774.19354838709683</v>
      </c>
      <c r="S33" s="6">
        <f t="shared" si="47"/>
        <v>353</v>
      </c>
      <c r="T33" s="7">
        <f t="shared" si="48"/>
        <v>421.19354838709683</v>
      </c>
      <c r="U33" s="7">
        <f t="shared" si="49"/>
        <v>1149.6774193548385</v>
      </c>
      <c r="V33" s="6">
        <f t="shared" si="49"/>
        <v>508</v>
      </c>
      <c r="W33" s="7">
        <f t="shared" si="50"/>
        <v>641.67741935483855</v>
      </c>
      <c r="X33" s="7">
        <f t="shared" si="51"/>
        <v>6967.7419354838703</v>
      </c>
      <c r="Y33" s="7">
        <f t="shared" si="51"/>
        <v>2933</v>
      </c>
      <c r="Z33" s="7">
        <f t="shared" si="52"/>
        <v>4034.7419354838703</v>
      </c>
      <c r="AA33" s="24">
        <f t="shared" si="53"/>
        <v>0.98246016018520776</v>
      </c>
      <c r="AB33" s="1"/>
    </row>
    <row r="34" spans="2:28" ht="18" x14ac:dyDescent="0.25">
      <c r="B34" s="3">
        <v>8</v>
      </c>
      <c r="C34" s="5">
        <f>C35+102</f>
        <v>699232</v>
      </c>
      <c r="D34" s="5">
        <f>D35+183</f>
        <v>1382665</v>
      </c>
      <c r="E34" s="5">
        <f>E35+64</f>
        <v>463602</v>
      </c>
      <c r="F34" s="8">
        <f t="shared" si="39"/>
        <v>2545499</v>
      </c>
      <c r="G34" s="22">
        <f t="shared" si="40"/>
        <v>2545259.0625</v>
      </c>
      <c r="H34" s="7">
        <f t="shared" si="41"/>
        <v>2545281.9375</v>
      </c>
      <c r="I34" s="5">
        <f>I35+65</f>
        <v>805436</v>
      </c>
      <c r="J34" s="6">
        <f t="shared" si="42"/>
        <v>102</v>
      </c>
      <c r="K34" s="6">
        <f t="shared" si="42"/>
        <v>183</v>
      </c>
      <c r="L34" s="6">
        <f t="shared" si="42"/>
        <v>64</v>
      </c>
      <c r="M34" s="6">
        <f t="shared" si="43"/>
        <v>65</v>
      </c>
      <c r="N34" s="5">
        <f t="shared" si="25"/>
        <v>127.74193548387096</v>
      </c>
      <c r="O34" s="3">
        <f t="shared" si="44"/>
        <v>64</v>
      </c>
      <c r="P34" s="5">
        <f t="shared" si="45"/>
        <v>63.741935483870961</v>
      </c>
      <c r="Q34" s="5">
        <f t="shared" si="46"/>
        <v>22.875</v>
      </c>
      <c r="R34" s="7">
        <f t="shared" si="29"/>
        <v>774.19354838709683</v>
      </c>
      <c r="S34" s="6">
        <f t="shared" si="47"/>
        <v>349</v>
      </c>
      <c r="T34" s="7">
        <f t="shared" si="48"/>
        <v>425.19354838709683</v>
      </c>
      <c r="U34" s="7">
        <f t="shared" si="49"/>
        <v>1021.9354838709677</v>
      </c>
      <c r="V34" s="6">
        <f t="shared" si="49"/>
        <v>442</v>
      </c>
      <c r="W34" s="7">
        <f t="shared" si="50"/>
        <v>579.93548387096769</v>
      </c>
      <c r="X34" s="7">
        <f t="shared" si="51"/>
        <v>6193.5483870967737</v>
      </c>
      <c r="Y34" s="7">
        <f t="shared" si="51"/>
        <v>2580</v>
      </c>
      <c r="Z34" s="7">
        <f t="shared" si="52"/>
        <v>3613.5483870967737</v>
      </c>
      <c r="AA34" s="24">
        <f t="shared" si="53"/>
        <v>0.98309469116151171</v>
      </c>
      <c r="AB34" s="1"/>
    </row>
    <row r="35" spans="2:28" ht="18" x14ac:dyDescent="0.25">
      <c r="B35" s="3">
        <v>7</v>
      </c>
      <c r="C35" s="5">
        <v>699130</v>
      </c>
      <c r="D35" s="5">
        <v>1382482</v>
      </c>
      <c r="E35" s="5">
        <v>463538</v>
      </c>
      <c r="F35" s="8">
        <f t="shared" si="39"/>
        <v>2545150</v>
      </c>
      <c r="G35" s="22">
        <f t="shared" si="40"/>
        <v>2544908</v>
      </c>
      <c r="H35" s="7">
        <f t="shared" si="41"/>
        <v>2544930.125</v>
      </c>
      <c r="I35" s="5">
        <v>805371</v>
      </c>
      <c r="J35" s="6">
        <f t="shared" si="42"/>
        <v>115</v>
      </c>
      <c r="K35" s="6">
        <f t="shared" si="42"/>
        <v>177</v>
      </c>
      <c r="L35" s="6">
        <f t="shared" si="42"/>
        <v>60</v>
      </c>
      <c r="M35" s="6">
        <f t="shared" si="43"/>
        <v>63</v>
      </c>
      <c r="N35" s="5">
        <f t="shared" si="25"/>
        <v>127.74193548387096</v>
      </c>
      <c r="O35" s="3">
        <f t="shared" si="44"/>
        <v>60</v>
      </c>
      <c r="P35" s="5">
        <f t="shared" si="45"/>
        <v>67.741935483870961</v>
      </c>
      <c r="Q35" s="5">
        <f t="shared" si="46"/>
        <v>22.125</v>
      </c>
      <c r="R35" s="7">
        <f t="shared" si="29"/>
        <v>774.19354838709683</v>
      </c>
      <c r="S35" s="6">
        <f t="shared" si="47"/>
        <v>352</v>
      </c>
      <c r="T35" s="7">
        <f t="shared" si="48"/>
        <v>422.19354838709683</v>
      </c>
      <c r="U35" s="7">
        <f t="shared" si="49"/>
        <v>894.19354838709671</v>
      </c>
      <c r="V35" s="6">
        <f t="shared" si="49"/>
        <v>378</v>
      </c>
      <c r="W35" s="7">
        <f t="shared" si="50"/>
        <v>516.19354838709671</v>
      </c>
      <c r="X35" s="7">
        <f t="shared" si="51"/>
        <v>5419.3548387096771</v>
      </c>
      <c r="Y35" s="7">
        <f t="shared" si="51"/>
        <v>2231</v>
      </c>
      <c r="Z35" s="7">
        <f t="shared" si="52"/>
        <v>3188.3548387096771</v>
      </c>
      <c r="AA35" s="24">
        <f t="shared" si="53"/>
        <v>0.98435836532256404</v>
      </c>
      <c r="AB35" s="1"/>
    </row>
    <row r="36" spans="2:28" ht="18" x14ac:dyDescent="0.25">
      <c r="B36" s="3">
        <v>6</v>
      </c>
      <c r="C36" s="5">
        <f>C37+107</f>
        <v>699015</v>
      </c>
      <c r="D36" s="5">
        <f>D37+176</f>
        <v>1382305</v>
      </c>
      <c r="E36" s="5">
        <f>E37+58</f>
        <v>463478</v>
      </c>
      <c r="F36" s="8">
        <f t="shared" si="39"/>
        <v>2544798</v>
      </c>
      <c r="G36" s="22">
        <f t="shared" si="40"/>
        <v>2544563.5625</v>
      </c>
      <c r="H36" s="7">
        <f t="shared" si="41"/>
        <v>2544585.5625</v>
      </c>
      <c r="I36" s="5">
        <f>I37+65</f>
        <v>805308</v>
      </c>
      <c r="J36" s="6">
        <f t="shared" si="42"/>
        <v>107</v>
      </c>
      <c r="K36" s="6">
        <f t="shared" si="42"/>
        <v>176</v>
      </c>
      <c r="L36" s="6">
        <f t="shared" si="42"/>
        <v>58</v>
      </c>
      <c r="M36" s="6">
        <f t="shared" si="43"/>
        <v>65</v>
      </c>
      <c r="N36" s="5">
        <f t="shared" si="25"/>
        <v>127.74193548387096</v>
      </c>
      <c r="O36" s="3">
        <f t="shared" si="44"/>
        <v>58</v>
      </c>
      <c r="P36" s="5">
        <f t="shared" si="45"/>
        <v>69.741935483870961</v>
      </c>
      <c r="Q36" s="5">
        <f t="shared" si="46"/>
        <v>22</v>
      </c>
      <c r="R36" s="7">
        <f t="shared" si="29"/>
        <v>774.19354838709683</v>
      </c>
      <c r="S36" s="6">
        <f t="shared" si="47"/>
        <v>341</v>
      </c>
      <c r="T36" s="7">
        <f t="shared" si="48"/>
        <v>433.19354838709683</v>
      </c>
      <c r="U36" s="7">
        <f t="shared" si="49"/>
        <v>766.45161290322574</v>
      </c>
      <c r="V36" s="6">
        <f t="shared" si="49"/>
        <v>318</v>
      </c>
      <c r="W36" s="7">
        <f t="shared" si="50"/>
        <v>448.45161290322574</v>
      </c>
      <c r="X36" s="7">
        <f t="shared" si="51"/>
        <v>4645.1612903225805</v>
      </c>
      <c r="Y36" s="7">
        <f t="shared" si="51"/>
        <v>1879</v>
      </c>
      <c r="Z36" s="7">
        <f t="shared" si="52"/>
        <v>2766.1612903225805</v>
      </c>
      <c r="AA36" s="24">
        <f t="shared" si="53"/>
        <v>0.98231334363678657</v>
      </c>
      <c r="AB36" s="1"/>
    </row>
    <row r="37" spans="2:28" ht="18" x14ac:dyDescent="0.25">
      <c r="B37" s="3">
        <v>5</v>
      </c>
      <c r="C37" s="5">
        <f>C38+99</f>
        <v>698908</v>
      </c>
      <c r="D37" s="5">
        <f>D38+173</f>
        <v>1382129</v>
      </c>
      <c r="E37" s="5">
        <f>E38+55</f>
        <v>463420</v>
      </c>
      <c r="F37" s="8">
        <f t="shared" si="39"/>
        <v>2544457</v>
      </c>
      <c r="G37" s="22">
        <f t="shared" si="40"/>
        <v>2544232.1875</v>
      </c>
      <c r="H37" s="7">
        <f t="shared" si="41"/>
        <v>2544253.8125</v>
      </c>
      <c r="I37" s="5">
        <f>I38+62</f>
        <v>805243</v>
      </c>
      <c r="J37" s="6">
        <f t="shared" si="42"/>
        <v>99</v>
      </c>
      <c r="K37" s="6">
        <f t="shared" si="42"/>
        <v>173</v>
      </c>
      <c r="L37" s="6">
        <f t="shared" si="42"/>
        <v>55</v>
      </c>
      <c r="M37" s="6">
        <f t="shared" si="43"/>
        <v>62</v>
      </c>
      <c r="N37" s="5">
        <f t="shared" si="25"/>
        <v>127.74193548387096</v>
      </c>
      <c r="O37" s="3">
        <f t="shared" si="44"/>
        <v>55</v>
      </c>
      <c r="P37" s="5">
        <f t="shared" si="45"/>
        <v>72.741935483870961</v>
      </c>
      <c r="Q37" s="5">
        <f t="shared" si="46"/>
        <v>21.625</v>
      </c>
      <c r="R37" s="7">
        <f t="shared" si="29"/>
        <v>774.19354838709683</v>
      </c>
      <c r="S37" s="6">
        <f t="shared" si="47"/>
        <v>327</v>
      </c>
      <c r="T37" s="7">
        <f t="shared" si="48"/>
        <v>447.19354838709683</v>
      </c>
      <c r="U37" s="7">
        <f t="shared" si="49"/>
        <v>638.70967741935476</v>
      </c>
      <c r="V37" s="6">
        <f t="shared" si="49"/>
        <v>260</v>
      </c>
      <c r="W37" s="7">
        <f t="shared" si="50"/>
        <v>378.70967741935476</v>
      </c>
      <c r="X37" s="7">
        <f t="shared" si="51"/>
        <v>3870.9677419354839</v>
      </c>
      <c r="Y37" s="7">
        <f t="shared" si="51"/>
        <v>1538</v>
      </c>
      <c r="Z37" s="7">
        <f t="shared" si="52"/>
        <v>2332.9677419354839</v>
      </c>
      <c r="AA37" s="24">
        <f t="shared" si="53"/>
        <v>0.98249600662824688</v>
      </c>
      <c r="AB37" s="1"/>
    </row>
    <row r="38" spans="2:28" ht="18" x14ac:dyDescent="0.25">
      <c r="B38" s="3">
        <v>4</v>
      </c>
      <c r="C38" s="5">
        <f t="shared" ref="C38" si="64">C39+97</f>
        <v>698809</v>
      </c>
      <c r="D38" s="5">
        <f>D39+171</f>
        <v>1381956</v>
      </c>
      <c r="E38" s="5">
        <f t="shared" ref="E38" si="65">E39+54</f>
        <v>463365</v>
      </c>
      <c r="F38" s="8">
        <f t="shared" si="39"/>
        <v>2544130</v>
      </c>
      <c r="G38" s="22">
        <f t="shared" si="40"/>
        <v>2543908.625</v>
      </c>
      <c r="H38" s="7">
        <f t="shared" si="41"/>
        <v>2543930</v>
      </c>
      <c r="I38" s="5">
        <f>I39+63</f>
        <v>805181</v>
      </c>
      <c r="J38" s="6">
        <f t="shared" si="42"/>
        <v>97</v>
      </c>
      <c r="K38" s="6">
        <f t="shared" si="42"/>
        <v>171</v>
      </c>
      <c r="L38" s="6">
        <f t="shared" si="42"/>
        <v>54</v>
      </c>
      <c r="M38" s="6">
        <f t="shared" si="43"/>
        <v>63</v>
      </c>
      <c r="N38" s="5">
        <f t="shared" si="25"/>
        <v>127.74193548387096</v>
      </c>
      <c r="O38" s="3">
        <f t="shared" si="44"/>
        <v>54</v>
      </c>
      <c r="P38" s="5">
        <f t="shared" si="45"/>
        <v>73.741935483870961</v>
      </c>
      <c r="Q38" s="5">
        <f t="shared" si="46"/>
        <v>21.375</v>
      </c>
      <c r="R38" s="7">
        <f t="shared" si="29"/>
        <v>774.19354838709683</v>
      </c>
      <c r="S38" s="6">
        <f t="shared" si="47"/>
        <v>322</v>
      </c>
      <c r="T38" s="7">
        <f t="shared" si="48"/>
        <v>452.19354838709683</v>
      </c>
      <c r="U38" s="7">
        <f t="shared" si="49"/>
        <v>510.96774193548384</v>
      </c>
      <c r="V38" s="6">
        <f t="shared" si="49"/>
        <v>205</v>
      </c>
      <c r="W38" s="7">
        <f t="shared" si="50"/>
        <v>305.96774193548384</v>
      </c>
      <c r="X38" s="7">
        <f t="shared" si="51"/>
        <v>3096.7741935483873</v>
      </c>
      <c r="Y38" s="7">
        <f t="shared" si="51"/>
        <v>1211</v>
      </c>
      <c r="Z38" s="7">
        <f t="shared" si="52"/>
        <v>1885.7741935483873</v>
      </c>
      <c r="AA38" s="24">
        <f t="shared" si="53"/>
        <v>0.98139265486002081</v>
      </c>
      <c r="AB38" s="1"/>
    </row>
    <row r="39" spans="2:28" ht="18" x14ac:dyDescent="0.25">
      <c r="B39" s="3">
        <v>3</v>
      </c>
      <c r="C39" s="5">
        <f>C40+90</f>
        <v>698712</v>
      </c>
      <c r="D39" s="5">
        <f>D40+165</f>
        <v>1381785</v>
      </c>
      <c r="E39" s="5">
        <f>E40+50</f>
        <v>463311</v>
      </c>
      <c r="F39" s="8">
        <f t="shared" si="39"/>
        <v>2543808</v>
      </c>
      <c r="G39" s="22">
        <f t="shared" si="40"/>
        <v>2543598.3125</v>
      </c>
      <c r="H39" s="7">
        <f t="shared" si="41"/>
        <v>2543618.9375</v>
      </c>
      <c r="I39" s="5">
        <f>I40+61</f>
        <v>805118</v>
      </c>
      <c r="J39" s="6">
        <f t="shared" si="42"/>
        <v>90</v>
      </c>
      <c r="K39" s="6">
        <f t="shared" si="42"/>
        <v>165</v>
      </c>
      <c r="L39" s="6">
        <f t="shared" si="42"/>
        <v>50</v>
      </c>
      <c r="M39" s="6">
        <f t="shared" si="43"/>
        <v>61</v>
      </c>
      <c r="N39" s="5">
        <f t="shared" si="25"/>
        <v>127.74193548387096</v>
      </c>
      <c r="O39" s="3">
        <f t="shared" si="44"/>
        <v>50</v>
      </c>
      <c r="P39" s="5">
        <f t="shared" si="45"/>
        <v>77.741935483870961</v>
      </c>
      <c r="Q39" s="5">
        <f t="shared" si="46"/>
        <v>20.625</v>
      </c>
      <c r="R39" s="7">
        <f t="shared" si="29"/>
        <v>774.19354838709683</v>
      </c>
      <c r="S39" s="6">
        <f t="shared" si="47"/>
        <v>305</v>
      </c>
      <c r="T39" s="7">
        <f t="shared" si="48"/>
        <v>469.19354838709683</v>
      </c>
      <c r="U39" s="7">
        <f t="shared" si="49"/>
        <v>383.22580645161287</v>
      </c>
      <c r="V39" s="6">
        <f t="shared" si="49"/>
        <v>151</v>
      </c>
      <c r="W39" s="7">
        <f t="shared" si="50"/>
        <v>232.22580645161287</v>
      </c>
      <c r="X39" s="7">
        <f t="shared" si="51"/>
        <v>2322.5806451612907</v>
      </c>
      <c r="Y39" s="7">
        <f t="shared" si="51"/>
        <v>889</v>
      </c>
      <c r="Z39" s="7">
        <f t="shared" si="52"/>
        <v>1433.5806451612907</v>
      </c>
      <c r="AA39" s="24">
        <f t="shared" si="53"/>
        <v>0.98058067569092011</v>
      </c>
      <c r="AB39" s="1"/>
    </row>
    <row r="40" spans="2:28" ht="18" x14ac:dyDescent="0.25">
      <c r="B40" s="3">
        <v>2</v>
      </c>
      <c r="C40" s="5">
        <f>C41+87</f>
        <v>698622</v>
      </c>
      <c r="D40" s="5">
        <f>D41+157</f>
        <v>1381620</v>
      </c>
      <c r="E40" s="5">
        <f>E41+51</f>
        <v>463261</v>
      </c>
      <c r="F40" s="8">
        <f t="shared" si="39"/>
        <v>2543503</v>
      </c>
      <c r="G40" s="22">
        <f t="shared" si="40"/>
        <v>2543300.1875</v>
      </c>
      <c r="H40" s="7">
        <f t="shared" si="41"/>
        <v>2543319.8125</v>
      </c>
      <c r="I40" s="5">
        <f>I41+57</f>
        <v>805057</v>
      </c>
      <c r="J40" s="6">
        <f t="shared" si="42"/>
        <v>87</v>
      </c>
      <c r="K40" s="6">
        <f t="shared" si="42"/>
        <v>157</v>
      </c>
      <c r="L40" s="6">
        <f t="shared" si="42"/>
        <v>51</v>
      </c>
      <c r="M40" s="6">
        <f t="shared" si="43"/>
        <v>57</v>
      </c>
      <c r="N40" s="5">
        <f t="shared" si="25"/>
        <v>127.74193548387096</v>
      </c>
      <c r="O40" s="3">
        <f t="shared" si="44"/>
        <v>51</v>
      </c>
      <c r="P40" s="5">
        <f t="shared" si="45"/>
        <v>76.741935483870961</v>
      </c>
      <c r="Q40" s="5">
        <f t="shared" si="46"/>
        <v>19.625</v>
      </c>
      <c r="R40" s="7">
        <f>R41</f>
        <v>774.19354838709683</v>
      </c>
      <c r="S40" s="6">
        <f t="shared" si="47"/>
        <v>295</v>
      </c>
      <c r="T40" s="7">
        <f t="shared" si="48"/>
        <v>479.19354838709683</v>
      </c>
      <c r="U40" s="7">
        <f t="shared" si="49"/>
        <v>255.48387096774192</v>
      </c>
      <c r="V40" s="6">
        <f t="shared" si="49"/>
        <v>101</v>
      </c>
      <c r="W40" s="7">
        <f t="shared" si="50"/>
        <v>154.48387096774192</v>
      </c>
      <c r="X40" s="7">
        <f t="shared" si="51"/>
        <v>1548.3870967741937</v>
      </c>
      <c r="Y40" s="7">
        <f t="shared" si="51"/>
        <v>584</v>
      </c>
      <c r="Z40" s="7">
        <f t="shared" si="52"/>
        <v>964.38709677419365</v>
      </c>
      <c r="AA40" s="24">
        <f t="shared" si="53"/>
        <v>0.98183989064513066</v>
      </c>
      <c r="AB40" s="1"/>
    </row>
    <row r="41" spans="2:28" ht="18.75" thickBot="1" x14ac:dyDescent="0.3">
      <c r="B41" s="3">
        <v>1</v>
      </c>
      <c r="C41" s="5">
        <f>C42+85</f>
        <v>698535</v>
      </c>
      <c r="D41" s="5">
        <f>D42+154</f>
        <v>1381463</v>
      </c>
      <c r="E41" s="5">
        <f>E42+50</f>
        <v>463210</v>
      </c>
      <c r="F41" s="8">
        <f t="shared" si="39"/>
        <v>2543208</v>
      </c>
      <c r="G41" s="22">
        <f>(C42+D42+E42)+((S41/24)*7.5)</f>
        <v>2543009.3125</v>
      </c>
      <c r="H41" s="7">
        <f>G41+((K41/12)*1.5)</f>
        <v>2543028.5625</v>
      </c>
      <c r="I41" s="5">
        <f>I42+58</f>
        <v>805000</v>
      </c>
      <c r="J41" s="6">
        <f t="shared" si="42"/>
        <v>85</v>
      </c>
      <c r="K41" s="6">
        <f t="shared" si="42"/>
        <v>154</v>
      </c>
      <c r="L41" s="6">
        <f t="shared" si="42"/>
        <v>50</v>
      </c>
      <c r="M41" s="6">
        <f t="shared" si="43"/>
        <v>58</v>
      </c>
      <c r="N41" s="43">
        <f>O6/31</f>
        <v>127.74193548387096</v>
      </c>
      <c r="O41" s="3">
        <f t="shared" si="44"/>
        <v>50</v>
      </c>
      <c r="P41" s="5">
        <f t="shared" si="45"/>
        <v>77.741935483870961</v>
      </c>
      <c r="Q41" s="5">
        <f t="shared" si="46"/>
        <v>19.25</v>
      </c>
      <c r="R41" s="45">
        <f>S6/31</f>
        <v>774.19354838709683</v>
      </c>
      <c r="S41" s="6">
        <f t="shared" si="47"/>
        <v>289</v>
      </c>
      <c r="T41" s="7">
        <f t="shared" si="48"/>
        <v>485.19354838709683</v>
      </c>
      <c r="U41" s="7">
        <f>N41</f>
        <v>127.74193548387096</v>
      </c>
      <c r="V41" s="6">
        <f>O41</f>
        <v>50</v>
      </c>
      <c r="W41" s="7">
        <f t="shared" si="50"/>
        <v>77.741935483870961</v>
      </c>
      <c r="X41" s="7">
        <f>R41</f>
        <v>774.19354838709683</v>
      </c>
      <c r="Y41" s="7">
        <f>S41</f>
        <v>289</v>
      </c>
      <c r="Z41" s="7">
        <f t="shared" si="52"/>
        <v>485.19354838709683</v>
      </c>
      <c r="AA41" s="24">
        <f t="shared" si="53"/>
        <v>0.98044997555823088</v>
      </c>
      <c r="AB41" s="1"/>
    </row>
    <row r="42" spans="2:28" ht="54.75" thickBot="1" x14ac:dyDescent="0.3">
      <c r="B42" s="33" t="s">
        <v>13</v>
      </c>
      <c r="C42" s="3">
        <v>698450</v>
      </c>
      <c r="D42" s="3">
        <v>1381309</v>
      </c>
      <c r="E42" s="3">
        <v>463160</v>
      </c>
      <c r="F42" s="8">
        <v>2542919</v>
      </c>
      <c r="G42" s="9">
        <v>2542780.6458333335</v>
      </c>
      <c r="H42" s="9">
        <v>2542805.229166667</v>
      </c>
      <c r="I42" s="3">
        <v>804942</v>
      </c>
      <c r="J42" s="10"/>
      <c r="K42" s="10" t="s">
        <v>39</v>
      </c>
      <c r="L42" s="10"/>
      <c r="M42" s="46">
        <f>SUM(M11:M41)</f>
        <v>3174</v>
      </c>
      <c r="N42" s="10"/>
      <c r="O42" s="10"/>
      <c r="P42" s="10"/>
      <c r="Q42" s="40"/>
      <c r="R42" s="10"/>
      <c r="S42" s="10"/>
      <c r="T42" s="10"/>
      <c r="U42" s="10"/>
      <c r="V42" s="10"/>
      <c r="W42" s="10"/>
      <c r="X42" s="10"/>
      <c r="Y42" s="10"/>
      <c r="Z42" s="10"/>
      <c r="AA42" s="58">
        <f>AVERAGE(AA11:AA41)</f>
        <v>0.94066813560829632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2:AB51"/>
  <sheetViews>
    <sheetView topLeftCell="K1" zoomScale="85" zoomScaleNormal="85" zoomScaleSheetLayoutView="98" workbookViewId="0">
      <pane ySplit="8" topLeftCell="A30" activePane="bottomLeft" state="frozen"/>
      <selection pane="bottomLeft" activeCell="B45" sqref="B45"/>
    </sheetView>
  </sheetViews>
  <sheetFormatPr baseColWidth="10" defaultColWidth="11.42578125" defaultRowHeight="15" x14ac:dyDescent="0.25"/>
  <cols>
    <col min="1" max="2" width="11.42578125" customWidth="1"/>
    <col min="3" max="4" width="12.28515625" bestFit="1" customWidth="1"/>
    <col min="5" max="5" width="11.42578125" customWidth="1"/>
    <col min="6" max="6" width="13.42578125" customWidth="1"/>
    <col min="7" max="7" width="14" bestFit="1" customWidth="1"/>
    <col min="8" max="8" width="12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45658</v>
      </c>
    </row>
    <row r="5" spans="2:28" x14ac:dyDescent="0.25">
      <c r="C5" s="82" t="s">
        <v>33</v>
      </c>
      <c r="D5" s="82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4290</v>
      </c>
      <c r="P6" s="30" t="s">
        <v>26</v>
      </c>
      <c r="Q6" s="11">
        <f>(S6*8)/100</f>
        <v>2080</v>
      </c>
      <c r="R6" s="13" t="s">
        <v>25</v>
      </c>
      <c r="S6" s="11">
        <v>26000</v>
      </c>
      <c r="T6" s="52" t="s">
        <v>41</v>
      </c>
      <c r="U6" s="52">
        <v>384</v>
      </c>
      <c r="V6" s="51">
        <f>U6/31</f>
        <v>12.387096774193548</v>
      </c>
    </row>
    <row r="7" spans="2:28" ht="46.5" customHeight="1" x14ac:dyDescent="0.25">
      <c r="B7" s="80" t="s">
        <v>24</v>
      </c>
      <c r="C7" s="78" t="s">
        <v>9</v>
      </c>
      <c r="D7" s="78"/>
      <c r="E7" s="78"/>
      <c r="F7" s="78"/>
      <c r="G7" s="78"/>
      <c r="H7" s="78"/>
      <c r="I7" s="78"/>
      <c r="J7" s="78" t="s">
        <v>23</v>
      </c>
      <c r="K7" s="78"/>
      <c r="L7" s="78"/>
      <c r="M7" s="78"/>
      <c r="N7" s="78" t="s">
        <v>22</v>
      </c>
      <c r="O7" s="78"/>
      <c r="P7" s="78"/>
      <c r="Q7" s="79" t="s">
        <v>21</v>
      </c>
      <c r="R7" s="78" t="s">
        <v>20</v>
      </c>
      <c r="S7" s="78"/>
      <c r="T7" s="78"/>
      <c r="U7" s="78" t="s">
        <v>10</v>
      </c>
      <c r="V7" s="78"/>
      <c r="W7" s="78"/>
      <c r="X7" s="78" t="s">
        <v>11</v>
      </c>
      <c r="Y7" s="78"/>
      <c r="Z7" s="78"/>
      <c r="AA7" s="78"/>
      <c r="AB7" s="79" t="s">
        <v>8</v>
      </c>
    </row>
    <row r="8" spans="2:28" ht="30" x14ac:dyDescent="0.25">
      <c r="B8" s="8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7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7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>
        <v>31</v>
      </c>
      <c r="C11" s="76">
        <v>477957</v>
      </c>
      <c r="D11" s="76">
        <v>636930</v>
      </c>
      <c r="E11" s="76">
        <v>417223</v>
      </c>
      <c r="F11" s="74">
        <f t="shared" ref="F11" si="0">C11+D11+E11</f>
        <v>1532110</v>
      </c>
      <c r="G11" s="75">
        <f t="shared" ref="G11" si="1">(C12+D12+E12)+((S11/24)*9.5)</f>
        <v>1531912.4375</v>
      </c>
      <c r="H11" s="73">
        <f t="shared" ref="H11" si="2">G11+((K11/12)*2.5)</f>
        <v>1531931.6041666667</v>
      </c>
      <c r="I11" s="76">
        <v>289115</v>
      </c>
      <c r="J11" s="63">
        <f t="shared" ref="J11:L11" si="3">C11-C12</f>
        <v>177</v>
      </c>
      <c r="K11" s="63">
        <f t="shared" si="3"/>
        <v>92</v>
      </c>
      <c r="L11" s="63">
        <f t="shared" si="3"/>
        <v>58</v>
      </c>
      <c r="M11" s="63">
        <f t="shared" ref="M11" si="4">I11-I12</f>
        <v>34</v>
      </c>
      <c r="N11" s="64">
        <f t="shared" ref="N11" si="5">N12</f>
        <v>138.38709677419354</v>
      </c>
      <c r="O11" s="65">
        <f t="shared" ref="O11" si="6">L11</f>
        <v>58</v>
      </c>
      <c r="P11" s="64">
        <f t="shared" ref="P11" si="7">N11-O11</f>
        <v>80.387096774193537</v>
      </c>
      <c r="Q11" s="64">
        <f t="shared" ref="Q11" si="8">H11-G11</f>
        <v>19.166666666744277</v>
      </c>
      <c r="R11" s="60">
        <f t="shared" ref="R11" si="9">R12</f>
        <v>838.70967741935488</v>
      </c>
      <c r="S11" s="63">
        <f t="shared" ref="S11" si="10">J11+K11+L11</f>
        <v>327</v>
      </c>
      <c r="T11" s="60">
        <f t="shared" ref="T11" si="11">R11-S11</f>
        <v>511.70967741935488</v>
      </c>
      <c r="U11" s="60">
        <f t="shared" ref="U11:V11" si="12">U12+N11</f>
        <v>4290.0000000000018</v>
      </c>
      <c r="V11" s="60">
        <f t="shared" si="12"/>
        <v>3047</v>
      </c>
      <c r="W11" s="60">
        <f t="shared" ref="W11" si="13">U11-V11</f>
        <v>1243.0000000000018</v>
      </c>
      <c r="X11" s="60">
        <f t="shared" ref="X11:Y11" si="14">X12+R11</f>
        <v>26000.000000000007</v>
      </c>
      <c r="Y11" s="60">
        <f t="shared" si="14"/>
        <v>11714</v>
      </c>
      <c r="Z11" s="60">
        <f t="shared" ref="Z11" si="15">X11-Y11</f>
        <v>14286.000000000007</v>
      </c>
      <c r="AA11" s="66">
        <f t="shared" ref="AA11" si="16">COS(ATAN(M11/S11))</f>
        <v>0.99463798131912917</v>
      </c>
      <c r="AB11" s="67"/>
    </row>
    <row r="12" spans="2:28" ht="18" x14ac:dyDescent="0.25">
      <c r="B12" s="3">
        <v>30</v>
      </c>
      <c r="C12" s="3">
        <f>C13+230</f>
        <v>477780</v>
      </c>
      <c r="D12" s="3">
        <v>636838</v>
      </c>
      <c r="E12" s="3">
        <f>E13+55</f>
        <v>417165</v>
      </c>
      <c r="F12" s="8">
        <f t="shared" ref="F12" si="17">C12+D12+E12</f>
        <v>1531783</v>
      </c>
      <c r="G12" s="22">
        <f t="shared" ref="G12" si="18">(C13+D13+E13)+((S12/24)*5)</f>
        <v>1531514.625</v>
      </c>
      <c r="H12" s="7">
        <f t="shared" ref="H12" si="19">G12+((K12/12)*3)</f>
        <v>1531528.125</v>
      </c>
      <c r="I12" s="3">
        <v>289081</v>
      </c>
      <c r="J12" s="6">
        <f t="shared" ref="J12" si="20">C12-C13</f>
        <v>230</v>
      </c>
      <c r="K12" s="6">
        <f t="shared" ref="K12" si="21">D12-D13</f>
        <v>54</v>
      </c>
      <c r="L12" s="6">
        <f t="shared" ref="L12" si="22">E12-E13</f>
        <v>55</v>
      </c>
      <c r="M12" s="6">
        <f t="shared" ref="M12" si="23">I12-I13</f>
        <v>37</v>
      </c>
      <c r="N12" s="5">
        <f t="shared" ref="N12:N40" si="24">N13</f>
        <v>138.38709677419354</v>
      </c>
      <c r="O12" s="23">
        <f t="shared" ref="O12" si="25">L12</f>
        <v>55</v>
      </c>
      <c r="P12" s="5">
        <f t="shared" ref="P12" si="26">N12-O12</f>
        <v>83.387096774193537</v>
      </c>
      <c r="Q12" s="5">
        <f t="shared" ref="Q12" si="27">H12-G12</f>
        <v>13.5</v>
      </c>
      <c r="R12" s="7">
        <f t="shared" ref="R12:R39" si="28">R13</f>
        <v>838.70967741935488</v>
      </c>
      <c r="S12" s="6">
        <f t="shared" ref="S12" si="29">J12+K12+L12</f>
        <v>339</v>
      </c>
      <c r="T12" s="7">
        <f t="shared" ref="T12" si="30">R12-S12</f>
        <v>499.70967741935488</v>
      </c>
      <c r="U12" s="7">
        <f t="shared" ref="U12" si="31">U13+N12</f>
        <v>4151.6129032258086</v>
      </c>
      <c r="V12" s="7">
        <f t="shared" ref="V12" si="32">V13+O12</f>
        <v>2989</v>
      </c>
      <c r="W12" s="7">
        <f t="shared" ref="W12" si="33">U12-V12</f>
        <v>1162.6129032258086</v>
      </c>
      <c r="X12" s="7">
        <f t="shared" ref="X12" si="34">X13+R12</f>
        <v>25161.290322580651</v>
      </c>
      <c r="Y12" s="7">
        <f t="shared" ref="Y12" si="35">Y13+S12</f>
        <v>11387</v>
      </c>
      <c r="Z12" s="7">
        <f t="shared" ref="Z12" si="36">X12-Y12</f>
        <v>13774.290322580651</v>
      </c>
      <c r="AA12" s="24">
        <f t="shared" ref="AA12" si="37">COS(ATAN(M12/S12))</f>
        <v>0.99409642721195812</v>
      </c>
      <c r="AB12" s="25"/>
    </row>
    <row r="13" spans="2:28" ht="18" x14ac:dyDescent="0.25">
      <c r="B13" s="3">
        <v>29</v>
      </c>
      <c r="C13" s="3">
        <f>C14+184</f>
        <v>477550</v>
      </c>
      <c r="D13" s="3">
        <f>D14+133</f>
        <v>636784</v>
      </c>
      <c r="E13" s="3">
        <f>E14+57</f>
        <v>417110</v>
      </c>
      <c r="F13" s="8">
        <f t="shared" ref="F13:F41" si="38">C13+D13+E13</f>
        <v>1531444</v>
      </c>
      <c r="G13" s="22">
        <f t="shared" ref="G13:G40" si="39">(C14+D14+E14)+((S13/24)*5)</f>
        <v>1531147.9166666667</v>
      </c>
      <c r="H13" s="7">
        <f t="shared" ref="H13:H40" si="40">G13+((K13/12)*3)</f>
        <v>1531181.1666666667</v>
      </c>
      <c r="I13" s="3">
        <f>I14+71</f>
        <v>289044</v>
      </c>
      <c r="J13" s="6">
        <f t="shared" ref="J13:L41" si="41">C13-C14</f>
        <v>184</v>
      </c>
      <c r="K13" s="6">
        <f t="shared" si="41"/>
        <v>133</v>
      </c>
      <c r="L13" s="6">
        <f t="shared" si="41"/>
        <v>57</v>
      </c>
      <c r="M13" s="6">
        <f t="shared" ref="M13:M41" si="42">I13-I14</f>
        <v>71</v>
      </c>
      <c r="N13" s="5">
        <f t="shared" si="24"/>
        <v>138.38709677419354</v>
      </c>
      <c r="O13" s="23">
        <f t="shared" ref="O13:O41" si="43">L13</f>
        <v>57</v>
      </c>
      <c r="P13" s="5">
        <f t="shared" ref="P13:P41" si="44">N13-O13</f>
        <v>81.387096774193537</v>
      </c>
      <c r="Q13" s="5">
        <f t="shared" ref="Q13:Q41" si="45">H13-G13</f>
        <v>33.25</v>
      </c>
      <c r="R13" s="7">
        <f t="shared" si="28"/>
        <v>838.70967741935488</v>
      </c>
      <c r="S13" s="6">
        <f t="shared" ref="S13:S41" si="46">J13+K13+L13</f>
        <v>374</v>
      </c>
      <c r="T13" s="7">
        <f t="shared" ref="T13:T41" si="47">R13-S13</f>
        <v>464.70967741935488</v>
      </c>
      <c r="U13" s="7">
        <f t="shared" ref="U13:V40" si="48">U14+N13</f>
        <v>4013.225806451615</v>
      </c>
      <c r="V13" s="7">
        <f t="shared" si="48"/>
        <v>2934</v>
      </c>
      <c r="W13" s="7">
        <f t="shared" ref="W13:W41" si="49">U13-V13</f>
        <v>1079.225806451615</v>
      </c>
      <c r="X13" s="7">
        <f t="shared" ref="X13:Y40" si="50">X14+R13</f>
        <v>24322.580645161295</v>
      </c>
      <c r="Y13" s="7">
        <f t="shared" si="50"/>
        <v>11048</v>
      </c>
      <c r="Z13" s="7">
        <f t="shared" ref="Z13:Z41" si="51">X13-Y13</f>
        <v>13274.580645161295</v>
      </c>
      <c r="AA13" s="24">
        <f t="shared" ref="AA13:AA41" si="52">COS(ATAN(M13/S13))</f>
        <v>0.98245334296307374</v>
      </c>
      <c r="AB13" s="25"/>
    </row>
    <row r="14" spans="2:28" ht="18" x14ac:dyDescent="0.25">
      <c r="B14" s="3">
        <v>28</v>
      </c>
      <c r="C14" s="3">
        <v>477366</v>
      </c>
      <c r="D14" s="3">
        <v>636651</v>
      </c>
      <c r="E14" s="3">
        <v>417053</v>
      </c>
      <c r="F14" s="8">
        <f>C14+D14+E14</f>
        <v>1531070</v>
      </c>
      <c r="G14" s="22">
        <f t="shared" si="39"/>
        <v>1530770.75</v>
      </c>
      <c r="H14" s="7">
        <f t="shared" si="40"/>
        <v>1530808.75</v>
      </c>
      <c r="I14" s="3">
        <v>288973</v>
      </c>
      <c r="J14" s="6">
        <f t="shared" si="41"/>
        <v>152</v>
      </c>
      <c r="K14" s="6">
        <f t="shared" si="41"/>
        <v>152</v>
      </c>
      <c r="L14" s="6">
        <f t="shared" si="41"/>
        <v>74</v>
      </c>
      <c r="M14" s="6">
        <f t="shared" si="42"/>
        <v>60</v>
      </c>
      <c r="N14" s="5">
        <f t="shared" si="24"/>
        <v>138.38709677419354</v>
      </c>
      <c r="O14" s="23">
        <f t="shared" si="43"/>
        <v>74</v>
      </c>
      <c r="P14" s="5">
        <f t="shared" si="44"/>
        <v>64.387096774193537</v>
      </c>
      <c r="Q14" s="5">
        <f t="shared" si="45"/>
        <v>38</v>
      </c>
      <c r="R14" s="7">
        <f t="shared" si="28"/>
        <v>838.70967741935488</v>
      </c>
      <c r="S14" s="6">
        <f t="shared" si="46"/>
        <v>378</v>
      </c>
      <c r="T14" s="7">
        <f t="shared" si="47"/>
        <v>460.70967741935488</v>
      </c>
      <c r="U14" s="7">
        <f t="shared" si="48"/>
        <v>3874.8387096774213</v>
      </c>
      <c r="V14" s="7">
        <f t="shared" si="48"/>
        <v>2877</v>
      </c>
      <c r="W14" s="7">
        <f t="shared" si="49"/>
        <v>997.83870967742132</v>
      </c>
      <c r="X14" s="7">
        <f t="shared" si="50"/>
        <v>23483.870967741939</v>
      </c>
      <c r="Y14" s="7">
        <f t="shared" si="50"/>
        <v>10674</v>
      </c>
      <c r="Z14" s="7">
        <f t="shared" si="51"/>
        <v>12809.870967741939</v>
      </c>
      <c r="AA14" s="24">
        <f t="shared" si="52"/>
        <v>0.9876355284644629</v>
      </c>
      <c r="AB14" s="25"/>
    </row>
    <row r="15" spans="2:28" ht="18" x14ac:dyDescent="0.25">
      <c r="B15" s="3">
        <v>27</v>
      </c>
      <c r="C15" s="3">
        <f>C16+151</f>
        <v>477214</v>
      </c>
      <c r="D15" s="3">
        <f>D16+144</f>
        <v>636499</v>
      </c>
      <c r="E15" s="3">
        <f t="shared" ref="E15" si="53">E16+75</f>
        <v>416979</v>
      </c>
      <c r="F15" s="8">
        <f t="shared" si="38"/>
        <v>1530692</v>
      </c>
      <c r="G15" s="22">
        <f t="shared" si="39"/>
        <v>1530399.0833333333</v>
      </c>
      <c r="H15" s="7">
        <f t="shared" si="40"/>
        <v>1530435.0833333333</v>
      </c>
      <c r="I15" s="3">
        <f>I16+58</f>
        <v>288913</v>
      </c>
      <c r="J15" s="6">
        <f t="shared" si="41"/>
        <v>151</v>
      </c>
      <c r="K15" s="6">
        <f t="shared" si="41"/>
        <v>144</v>
      </c>
      <c r="L15" s="6">
        <f t="shared" si="41"/>
        <v>75</v>
      </c>
      <c r="M15" s="6">
        <f t="shared" si="42"/>
        <v>58</v>
      </c>
      <c r="N15" s="5">
        <f t="shared" si="24"/>
        <v>138.38709677419354</v>
      </c>
      <c r="O15" s="23">
        <f t="shared" si="43"/>
        <v>75</v>
      </c>
      <c r="P15" s="5">
        <f t="shared" si="44"/>
        <v>63.387096774193537</v>
      </c>
      <c r="Q15" s="5">
        <f t="shared" si="45"/>
        <v>36</v>
      </c>
      <c r="R15" s="7">
        <f t="shared" si="28"/>
        <v>838.70967741935488</v>
      </c>
      <c r="S15" s="6">
        <f t="shared" si="46"/>
        <v>370</v>
      </c>
      <c r="T15" s="7">
        <f t="shared" si="47"/>
        <v>468.70967741935488</v>
      </c>
      <c r="U15" s="7">
        <f t="shared" si="48"/>
        <v>3736.4516129032277</v>
      </c>
      <c r="V15" s="7">
        <f t="shared" si="48"/>
        <v>2803</v>
      </c>
      <c r="W15" s="7">
        <f t="shared" si="49"/>
        <v>933.45161290322767</v>
      </c>
      <c r="X15" s="7">
        <f t="shared" si="50"/>
        <v>22645.161290322583</v>
      </c>
      <c r="Y15" s="7">
        <f t="shared" si="50"/>
        <v>10296</v>
      </c>
      <c r="Z15" s="7">
        <f t="shared" si="51"/>
        <v>12349.161290322583</v>
      </c>
      <c r="AA15" s="24">
        <f t="shared" si="52"/>
        <v>0.98793555169809399</v>
      </c>
      <c r="AB15" s="25"/>
    </row>
    <row r="16" spans="2:28" ht="18" x14ac:dyDescent="0.25">
      <c r="B16" s="3">
        <v>26</v>
      </c>
      <c r="C16" s="3">
        <f>C17+148</f>
        <v>477063</v>
      </c>
      <c r="D16" s="3">
        <f>D17+137</f>
        <v>636355</v>
      </c>
      <c r="E16" s="3">
        <f>E17+72</f>
        <v>416904</v>
      </c>
      <c r="F16" s="8">
        <f t="shared" si="38"/>
        <v>1530322</v>
      </c>
      <c r="G16" s="22">
        <f t="shared" si="39"/>
        <v>1530039.375</v>
      </c>
      <c r="H16" s="7">
        <f t="shared" si="40"/>
        <v>1530073.625</v>
      </c>
      <c r="I16" s="3">
        <f>I17+61</f>
        <v>288855</v>
      </c>
      <c r="J16" s="6">
        <f t="shared" si="41"/>
        <v>148</v>
      </c>
      <c r="K16" s="6">
        <f t="shared" si="41"/>
        <v>137</v>
      </c>
      <c r="L16" s="6">
        <f t="shared" si="41"/>
        <v>72</v>
      </c>
      <c r="M16" s="6">
        <f t="shared" si="42"/>
        <v>61</v>
      </c>
      <c r="N16" s="5">
        <f t="shared" si="24"/>
        <v>138.38709677419354</v>
      </c>
      <c r="O16" s="23">
        <f t="shared" si="43"/>
        <v>72</v>
      </c>
      <c r="P16" s="5">
        <f t="shared" si="44"/>
        <v>66.387096774193537</v>
      </c>
      <c r="Q16" s="5">
        <f t="shared" si="45"/>
        <v>34.25</v>
      </c>
      <c r="R16" s="7">
        <f t="shared" si="28"/>
        <v>838.70967741935488</v>
      </c>
      <c r="S16" s="6">
        <f t="shared" si="46"/>
        <v>357</v>
      </c>
      <c r="T16" s="7">
        <f t="shared" si="47"/>
        <v>481.70967741935488</v>
      </c>
      <c r="U16" s="7">
        <f t="shared" si="48"/>
        <v>3598.064516129034</v>
      </c>
      <c r="V16" s="7">
        <f t="shared" si="48"/>
        <v>2728</v>
      </c>
      <c r="W16" s="7">
        <f t="shared" si="49"/>
        <v>870.06451612903402</v>
      </c>
      <c r="X16" s="7">
        <f t="shared" si="50"/>
        <v>21806.451612903227</v>
      </c>
      <c r="Y16" s="7">
        <f t="shared" si="50"/>
        <v>9926</v>
      </c>
      <c r="Z16" s="7">
        <f t="shared" si="51"/>
        <v>11880.451612903227</v>
      </c>
      <c r="AA16" s="24">
        <f t="shared" si="52"/>
        <v>0.9857140726296354</v>
      </c>
      <c r="AB16" s="25"/>
    </row>
    <row r="17" spans="2:28" ht="18" x14ac:dyDescent="0.25">
      <c r="B17" s="3">
        <v>25</v>
      </c>
      <c r="C17" s="3">
        <f>C18+159</f>
        <v>476915</v>
      </c>
      <c r="D17" s="3">
        <f>D18+140</f>
        <v>636218</v>
      </c>
      <c r="E17" s="3">
        <f>E18+69</f>
        <v>416832</v>
      </c>
      <c r="F17" s="8">
        <f t="shared" si="38"/>
        <v>1529965</v>
      </c>
      <c r="G17" s="22">
        <f t="shared" si="39"/>
        <v>1529673.6666666667</v>
      </c>
      <c r="H17" s="7">
        <f t="shared" si="40"/>
        <v>1529708.6666666667</v>
      </c>
      <c r="I17" s="3">
        <f>I18+56</f>
        <v>288794</v>
      </c>
      <c r="J17" s="6">
        <f t="shared" si="41"/>
        <v>159</v>
      </c>
      <c r="K17" s="6">
        <f t="shared" si="41"/>
        <v>140</v>
      </c>
      <c r="L17" s="6">
        <f t="shared" si="41"/>
        <v>69</v>
      </c>
      <c r="M17" s="6">
        <f t="shared" si="42"/>
        <v>56</v>
      </c>
      <c r="N17" s="5">
        <f t="shared" si="24"/>
        <v>138.38709677419354</v>
      </c>
      <c r="O17" s="23">
        <f t="shared" si="43"/>
        <v>69</v>
      </c>
      <c r="P17" s="5">
        <f t="shared" si="44"/>
        <v>69.387096774193537</v>
      </c>
      <c r="Q17" s="5">
        <f t="shared" si="45"/>
        <v>35</v>
      </c>
      <c r="R17" s="7">
        <f t="shared" si="28"/>
        <v>838.70967741935488</v>
      </c>
      <c r="S17" s="6">
        <f t="shared" si="46"/>
        <v>368</v>
      </c>
      <c r="T17" s="7">
        <f t="shared" si="47"/>
        <v>470.70967741935488</v>
      </c>
      <c r="U17" s="7">
        <f t="shared" si="48"/>
        <v>3459.6774193548404</v>
      </c>
      <c r="V17" s="7">
        <f t="shared" si="48"/>
        <v>2656</v>
      </c>
      <c r="W17" s="7">
        <f t="shared" si="49"/>
        <v>803.67741935484037</v>
      </c>
      <c r="X17" s="7">
        <f t="shared" si="50"/>
        <v>20967.741935483871</v>
      </c>
      <c r="Y17" s="7">
        <f t="shared" si="50"/>
        <v>9569</v>
      </c>
      <c r="Z17" s="7">
        <f t="shared" si="51"/>
        <v>11398.741935483871</v>
      </c>
      <c r="AA17" s="24">
        <f t="shared" si="52"/>
        <v>0.98861883733961142</v>
      </c>
      <c r="AB17" s="25"/>
    </row>
    <row r="18" spans="2:28" ht="18" x14ac:dyDescent="0.25">
      <c r="B18" s="3">
        <v>24</v>
      </c>
      <c r="C18" s="3">
        <f t="shared" ref="C18" si="54">C19+154</f>
        <v>476756</v>
      </c>
      <c r="D18" s="3">
        <f>D19+145</f>
        <v>636078</v>
      </c>
      <c r="E18" s="3">
        <f>E19+90</f>
        <v>416763</v>
      </c>
      <c r="F18" s="9">
        <f>C18+D18+E18</f>
        <v>1529597</v>
      </c>
      <c r="G18" s="22">
        <f t="shared" si="39"/>
        <v>1529289.0416666667</v>
      </c>
      <c r="H18" s="7">
        <f t="shared" si="40"/>
        <v>1529325.2916666667</v>
      </c>
      <c r="I18" s="3">
        <f>I19+54</f>
        <v>288738</v>
      </c>
      <c r="J18" s="6">
        <f t="shared" si="41"/>
        <v>154</v>
      </c>
      <c r="K18" s="6">
        <f t="shared" si="41"/>
        <v>145</v>
      </c>
      <c r="L18" s="6">
        <f t="shared" si="41"/>
        <v>90</v>
      </c>
      <c r="M18" s="6">
        <f t="shared" si="42"/>
        <v>54</v>
      </c>
      <c r="N18" s="5">
        <f t="shared" si="24"/>
        <v>138.38709677419354</v>
      </c>
      <c r="O18" s="23">
        <f t="shared" si="43"/>
        <v>90</v>
      </c>
      <c r="P18" s="5">
        <f t="shared" si="44"/>
        <v>48.387096774193537</v>
      </c>
      <c r="Q18" s="5">
        <f t="shared" si="45"/>
        <v>36.25</v>
      </c>
      <c r="R18" s="7">
        <f t="shared" si="28"/>
        <v>838.70967741935488</v>
      </c>
      <c r="S18" s="6">
        <f t="shared" si="46"/>
        <v>389</v>
      </c>
      <c r="T18" s="7">
        <f t="shared" si="47"/>
        <v>449.70967741935488</v>
      </c>
      <c r="U18" s="7">
        <f t="shared" si="48"/>
        <v>3321.2903225806467</v>
      </c>
      <c r="V18" s="7">
        <f t="shared" si="48"/>
        <v>2587</v>
      </c>
      <c r="W18" s="7">
        <f t="shared" si="49"/>
        <v>734.29032258064672</v>
      </c>
      <c r="X18" s="7">
        <f t="shared" si="50"/>
        <v>20129.032258064515</v>
      </c>
      <c r="Y18" s="7">
        <f t="shared" si="50"/>
        <v>9201</v>
      </c>
      <c r="Z18" s="7">
        <f t="shared" si="51"/>
        <v>10928.032258064515</v>
      </c>
      <c r="AA18" s="24">
        <f t="shared" si="52"/>
        <v>0.99050190843593133</v>
      </c>
      <c r="AB18" s="25"/>
    </row>
    <row r="19" spans="2:28" ht="18" x14ac:dyDescent="0.25">
      <c r="B19" s="3">
        <v>23</v>
      </c>
      <c r="C19" s="3">
        <f>C20+162</f>
        <v>476602</v>
      </c>
      <c r="D19" s="3">
        <f>D20+150</f>
        <v>635933</v>
      </c>
      <c r="E19" s="3">
        <f>E20+75</f>
        <v>416673</v>
      </c>
      <c r="F19" s="9">
        <f>C19+D19+E19</f>
        <v>1529208</v>
      </c>
      <c r="G19" s="22">
        <f t="shared" si="39"/>
        <v>1528901.625</v>
      </c>
      <c r="H19" s="7">
        <f t="shared" si="40"/>
        <v>1528939.125</v>
      </c>
      <c r="I19" s="3">
        <f>I20+57</f>
        <v>288684</v>
      </c>
      <c r="J19" s="6">
        <f t="shared" si="41"/>
        <v>162</v>
      </c>
      <c r="K19" s="6">
        <f t="shared" si="41"/>
        <v>150</v>
      </c>
      <c r="L19" s="6">
        <f t="shared" si="41"/>
        <v>75</v>
      </c>
      <c r="M19" s="6">
        <f t="shared" si="42"/>
        <v>57</v>
      </c>
      <c r="N19" s="5">
        <f t="shared" si="24"/>
        <v>138.38709677419354</v>
      </c>
      <c r="O19" s="3">
        <f t="shared" si="43"/>
        <v>75</v>
      </c>
      <c r="P19" s="5">
        <f t="shared" si="44"/>
        <v>63.387096774193537</v>
      </c>
      <c r="Q19" s="5">
        <f t="shared" si="45"/>
        <v>37.5</v>
      </c>
      <c r="R19" s="7">
        <f t="shared" si="28"/>
        <v>838.70967741935488</v>
      </c>
      <c r="S19" s="6">
        <f t="shared" si="46"/>
        <v>387</v>
      </c>
      <c r="T19" s="7">
        <f t="shared" si="47"/>
        <v>451.70967741935488</v>
      </c>
      <c r="U19" s="7">
        <f t="shared" si="48"/>
        <v>3182.9032258064531</v>
      </c>
      <c r="V19" s="7">
        <f t="shared" si="48"/>
        <v>2497</v>
      </c>
      <c r="W19" s="7">
        <f t="shared" si="49"/>
        <v>685.90322580645307</v>
      </c>
      <c r="X19" s="7">
        <f t="shared" si="50"/>
        <v>19290.322580645159</v>
      </c>
      <c r="Y19" s="7">
        <f t="shared" si="50"/>
        <v>8812</v>
      </c>
      <c r="Z19" s="7">
        <f t="shared" si="51"/>
        <v>10478.322580645159</v>
      </c>
      <c r="AA19" s="24">
        <f t="shared" si="52"/>
        <v>0.98932664163984263</v>
      </c>
      <c r="AB19" s="1"/>
    </row>
    <row r="20" spans="2:28" ht="18" x14ac:dyDescent="0.25">
      <c r="B20" s="3">
        <v>22</v>
      </c>
      <c r="C20" s="3">
        <v>476440</v>
      </c>
      <c r="D20" s="3">
        <v>635783</v>
      </c>
      <c r="E20" s="3">
        <v>416598</v>
      </c>
      <c r="F20" s="9">
        <f>C20+D20+E20</f>
        <v>1528821</v>
      </c>
      <c r="G20" s="22">
        <f t="shared" si="39"/>
        <v>1528453.6666666667</v>
      </c>
      <c r="H20" s="7">
        <f t="shared" si="40"/>
        <v>1528497.4166666667</v>
      </c>
      <c r="I20" s="3">
        <v>288627</v>
      </c>
      <c r="J20" s="6">
        <f t="shared" si="41"/>
        <v>177</v>
      </c>
      <c r="K20" s="6">
        <f t="shared" si="41"/>
        <v>175</v>
      </c>
      <c r="L20" s="6">
        <f t="shared" si="41"/>
        <v>112</v>
      </c>
      <c r="M20" s="6">
        <f t="shared" si="42"/>
        <v>64</v>
      </c>
      <c r="N20" s="5">
        <f t="shared" si="24"/>
        <v>138.38709677419354</v>
      </c>
      <c r="O20" s="3">
        <f t="shared" si="43"/>
        <v>112</v>
      </c>
      <c r="P20" s="5">
        <f t="shared" si="44"/>
        <v>26.387096774193537</v>
      </c>
      <c r="Q20" s="5">
        <f t="shared" si="45"/>
        <v>43.75</v>
      </c>
      <c r="R20" s="7">
        <f t="shared" si="28"/>
        <v>838.70967741935488</v>
      </c>
      <c r="S20" s="6">
        <f t="shared" si="46"/>
        <v>464</v>
      </c>
      <c r="T20" s="7">
        <f t="shared" si="47"/>
        <v>374.70967741935488</v>
      </c>
      <c r="U20" s="7">
        <f t="shared" si="48"/>
        <v>3044.5161290322594</v>
      </c>
      <c r="V20" s="7">
        <f t="shared" si="48"/>
        <v>2422</v>
      </c>
      <c r="W20" s="7">
        <f t="shared" si="49"/>
        <v>622.51612903225941</v>
      </c>
      <c r="X20" s="7">
        <f t="shared" si="50"/>
        <v>18451.612903225803</v>
      </c>
      <c r="Y20" s="7">
        <f t="shared" si="50"/>
        <v>8425</v>
      </c>
      <c r="Z20" s="7">
        <f t="shared" si="51"/>
        <v>10026.612903225803</v>
      </c>
      <c r="AA20" s="24">
        <f t="shared" si="52"/>
        <v>0.99062112924347479</v>
      </c>
      <c r="AB20" s="1"/>
    </row>
    <row r="21" spans="2:28" ht="18" x14ac:dyDescent="0.25">
      <c r="B21" s="3">
        <v>21</v>
      </c>
      <c r="C21" s="3">
        <f>C22+170</f>
        <v>476263</v>
      </c>
      <c r="D21" s="3">
        <f>D22+164</f>
        <v>635608</v>
      </c>
      <c r="E21" s="3">
        <f t="shared" ref="E21:E26" si="55">E22+110</f>
        <v>416486</v>
      </c>
      <c r="F21" s="8">
        <f t="shared" si="38"/>
        <v>1528357</v>
      </c>
      <c r="G21" s="22">
        <f t="shared" si="39"/>
        <v>1528005.5</v>
      </c>
      <c r="H21" s="7">
        <f t="shared" si="40"/>
        <v>1528046.5</v>
      </c>
      <c r="I21" s="3">
        <f>I22+63</f>
        <v>288563</v>
      </c>
      <c r="J21" s="6">
        <f t="shared" si="41"/>
        <v>170</v>
      </c>
      <c r="K21" s="6">
        <f t="shared" si="41"/>
        <v>164</v>
      </c>
      <c r="L21" s="6">
        <f t="shared" si="41"/>
        <v>110</v>
      </c>
      <c r="M21" s="6">
        <f t="shared" si="42"/>
        <v>63</v>
      </c>
      <c r="N21" s="5">
        <f t="shared" si="24"/>
        <v>138.38709677419354</v>
      </c>
      <c r="O21" s="3">
        <f t="shared" si="43"/>
        <v>110</v>
      </c>
      <c r="P21" s="5">
        <f t="shared" si="44"/>
        <v>28.387096774193537</v>
      </c>
      <c r="Q21" s="5">
        <f t="shared" si="45"/>
        <v>41</v>
      </c>
      <c r="R21" s="7">
        <f t="shared" si="28"/>
        <v>838.70967741935488</v>
      </c>
      <c r="S21" s="6">
        <f t="shared" si="46"/>
        <v>444</v>
      </c>
      <c r="T21" s="7">
        <f t="shared" si="47"/>
        <v>394.70967741935488</v>
      </c>
      <c r="U21" s="7">
        <f t="shared" si="48"/>
        <v>2906.1290322580658</v>
      </c>
      <c r="V21" s="7">
        <f t="shared" si="48"/>
        <v>2310</v>
      </c>
      <c r="W21" s="7">
        <f t="shared" si="49"/>
        <v>596.12903225806576</v>
      </c>
      <c r="X21" s="7">
        <f t="shared" si="50"/>
        <v>17612.903225806447</v>
      </c>
      <c r="Y21" s="7">
        <f t="shared" si="50"/>
        <v>7961</v>
      </c>
      <c r="Z21" s="7">
        <f t="shared" si="51"/>
        <v>9651.9032258064472</v>
      </c>
      <c r="AA21" s="24">
        <f t="shared" si="52"/>
        <v>0.99008284561067006</v>
      </c>
      <c r="AB21" s="1"/>
    </row>
    <row r="22" spans="2:28" ht="18" x14ac:dyDescent="0.25">
      <c r="B22" s="3">
        <v>20</v>
      </c>
      <c r="C22" s="3">
        <f>C23+166</f>
        <v>476093</v>
      </c>
      <c r="D22" s="3">
        <f>D23+168</f>
        <v>635444</v>
      </c>
      <c r="E22" s="3">
        <f>E23+109</f>
        <v>416376</v>
      </c>
      <c r="F22" s="8">
        <f t="shared" si="38"/>
        <v>1527913</v>
      </c>
      <c r="G22" s="22">
        <f t="shared" si="39"/>
        <v>1527562.2916666667</v>
      </c>
      <c r="H22" s="7">
        <f t="shared" si="40"/>
        <v>1527604.2916666667</v>
      </c>
      <c r="I22" s="3">
        <f>I23+64</f>
        <v>288500</v>
      </c>
      <c r="J22" s="6">
        <f t="shared" si="41"/>
        <v>166</v>
      </c>
      <c r="K22" s="6">
        <f t="shared" si="41"/>
        <v>168</v>
      </c>
      <c r="L22" s="6">
        <f t="shared" si="41"/>
        <v>109</v>
      </c>
      <c r="M22" s="6">
        <f t="shared" si="42"/>
        <v>64</v>
      </c>
      <c r="N22" s="5">
        <f t="shared" si="24"/>
        <v>138.38709677419354</v>
      </c>
      <c r="O22" s="3">
        <f t="shared" si="43"/>
        <v>109</v>
      </c>
      <c r="P22" s="5">
        <f t="shared" si="44"/>
        <v>29.387096774193537</v>
      </c>
      <c r="Q22" s="5">
        <v>11</v>
      </c>
      <c r="R22" s="7">
        <f t="shared" si="28"/>
        <v>838.70967741935488</v>
      </c>
      <c r="S22" s="6">
        <f t="shared" si="46"/>
        <v>443</v>
      </c>
      <c r="T22" s="7">
        <f t="shared" si="47"/>
        <v>395.70967741935488</v>
      </c>
      <c r="U22" s="7">
        <f t="shared" si="48"/>
        <v>2767.7419354838721</v>
      </c>
      <c r="V22" s="7">
        <f t="shared" si="48"/>
        <v>2200</v>
      </c>
      <c r="W22" s="7">
        <f t="shared" si="49"/>
        <v>567.74193548387211</v>
      </c>
      <c r="X22" s="7">
        <f t="shared" si="50"/>
        <v>16774.193548387091</v>
      </c>
      <c r="Y22" s="7">
        <f t="shared" si="50"/>
        <v>7517</v>
      </c>
      <c r="Z22" s="7">
        <f t="shared" si="51"/>
        <v>9257.1935483870911</v>
      </c>
      <c r="AA22" s="24">
        <f t="shared" si="52"/>
        <v>0.98972484416838902</v>
      </c>
      <c r="AB22" s="1"/>
    </row>
    <row r="23" spans="2:28" ht="18" x14ac:dyDescent="0.25">
      <c r="B23" s="3">
        <v>19</v>
      </c>
      <c r="C23" s="3">
        <f>C24+171</f>
        <v>475927</v>
      </c>
      <c r="D23" s="3">
        <f>D24+165</f>
        <v>635276</v>
      </c>
      <c r="E23" s="3">
        <f>E24+117</f>
        <v>416267</v>
      </c>
      <c r="F23" s="9">
        <f>C23+D23+E23</f>
        <v>1527470</v>
      </c>
      <c r="G23" s="22">
        <f t="shared" si="39"/>
        <v>1527111.375</v>
      </c>
      <c r="H23" s="7">
        <f t="shared" si="40"/>
        <v>1527152.625</v>
      </c>
      <c r="I23" s="3">
        <f>I24+65</f>
        <v>288436</v>
      </c>
      <c r="J23" s="6">
        <f t="shared" si="41"/>
        <v>171</v>
      </c>
      <c r="K23" s="6">
        <f t="shared" si="41"/>
        <v>165</v>
      </c>
      <c r="L23" s="6">
        <f t="shared" si="41"/>
        <v>117</v>
      </c>
      <c r="M23" s="6">
        <f t="shared" si="42"/>
        <v>65</v>
      </c>
      <c r="N23" s="5">
        <f t="shared" si="24"/>
        <v>138.38709677419354</v>
      </c>
      <c r="O23" s="3">
        <f t="shared" si="43"/>
        <v>117</v>
      </c>
      <c r="P23" s="5">
        <f t="shared" si="44"/>
        <v>21.387096774193537</v>
      </c>
      <c r="Q23" s="5">
        <f t="shared" si="45"/>
        <v>41.25</v>
      </c>
      <c r="R23" s="7">
        <f t="shared" si="28"/>
        <v>838.70967741935488</v>
      </c>
      <c r="S23" s="6">
        <f t="shared" si="46"/>
        <v>453</v>
      </c>
      <c r="T23" s="7">
        <f t="shared" si="47"/>
        <v>385.70967741935488</v>
      </c>
      <c r="U23" s="7">
        <f t="shared" si="48"/>
        <v>2629.3548387096785</v>
      </c>
      <c r="V23" s="7">
        <f t="shared" si="48"/>
        <v>2091</v>
      </c>
      <c r="W23" s="7">
        <f t="shared" si="49"/>
        <v>538.35483870967846</v>
      </c>
      <c r="X23" s="7">
        <f t="shared" si="50"/>
        <v>15935.483870967737</v>
      </c>
      <c r="Y23" s="7">
        <f t="shared" si="50"/>
        <v>7074</v>
      </c>
      <c r="Z23" s="7">
        <f t="shared" si="51"/>
        <v>8861.4838709677369</v>
      </c>
      <c r="AA23" s="24">
        <f t="shared" si="52"/>
        <v>0.98986189956550352</v>
      </c>
      <c r="AB23" s="1"/>
    </row>
    <row r="24" spans="2:28" ht="18" x14ac:dyDescent="0.25">
      <c r="B24" s="3">
        <v>18</v>
      </c>
      <c r="C24" s="3">
        <f>C25+165</f>
        <v>475756</v>
      </c>
      <c r="D24" s="3">
        <f>D25+167</f>
        <v>635111</v>
      </c>
      <c r="E24" s="3">
        <f>E25+101</f>
        <v>416150</v>
      </c>
      <c r="F24" s="8">
        <f t="shared" si="38"/>
        <v>1527017</v>
      </c>
      <c r="G24" s="22">
        <f t="shared" si="39"/>
        <v>1526674.2083333333</v>
      </c>
      <c r="H24" s="7">
        <f t="shared" si="40"/>
        <v>1526715.9583333333</v>
      </c>
      <c r="I24" s="3">
        <f t="shared" ref="I24" si="56">I25+62</f>
        <v>288371</v>
      </c>
      <c r="J24" s="6">
        <f t="shared" si="41"/>
        <v>165</v>
      </c>
      <c r="K24" s="6">
        <f t="shared" si="41"/>
        <v>167</v>
      </c>
      <c r="L24" s="6">
        <f t="shared" si="41"/>
        <v>101</v>
      </c>
      <c r="M24" s="6">
        <f t="shared" si="42"/>
        <v>62</v>
      </c>
      <c r="N24" s="5">
        <f t="shared" si="24"/>
        <v>138.38709677419354</v>
      </c>
      <c r="O24" s="3">
        <f t="shared" si="43"/>
        <v>101</v>
      </c>
      <c r="P24" s="5">
        <f t="shared" si="44"/>
        <v>37.387096774193537</v>
      </c>
      <c r="Q24" s="5">
        <v>10</v>
      </c>
      <c r="R24" s="7">
        <f t="shared" si="28"/>
        <v>838.70967741935488</v>
      </c>
      <c r="S24" s="6">
        <f t="shared" si="46"/>
        <v>433</v>
      </c>
      <c r="T24" s="7">
        <f t="shared" si="47"/>
        <v>405.70967741935488</v>
      </c>
      <c r="U24" s="7">
        <f t="shared" si="48"/>
        <v>2490.9677419354848</v>
      </c>
      <c r="V24" s="7">
        <f t="shared" si="48"/>
        <v>1974</v>
      </c>
      <c r="W24" s="7">
        <f t="shared" si="49"/>
        <v>516.96774193548481</v>
      </c>
      <c r="X24" s="7">
        <f t="shared" si="50"/>
        <v>15096.774193548383</v>
      </c>
      <c r="Y24" s="7">
        <f t="shared" si="50"/>
        <v>6621</v>
      </c>
      <c r="Z24" s="7">
        <f t="shared" si="51"/>
        <v>8475.7741935483828</v>
      </c>
      <c r="AA24" s="24">
        <f t="shared" si="52"/>
        <v>0.98990371888604012</v>
      </c>
      <c r="AB24" s="1"/>
    </row>
    <row r="25" spans="2:28" ht="18" x14ac:dyDescent="0.25">
      <c r="B25" s="3">
        <v>17</v>
      </c>
      <c r="C25" s="3">
        <f t="shared" ref="C25" si="57">C26+169</f>
        <v>475591</v>
      </c>
      <c r="D25" s="3">
        <f t="shared" ref="D25" si="58">D26+169</f>
        <v>634944</v>
      </c>
      <c r="E25" s="3">
        <f>E26+113</f>
        <v>416049</v>
      </c>
      <c r="F25" s="8">
        <f t="shared" si="38"/>
        <v>1526584</v>
      </c>
      <c r="G25" s="22">
        <f t="shared" si="39"/>
        <v>1526226.9583333333</v>
      </c>
      <c r="H25" s="7">
        <f t="shared" si="40"/>
        <v>1526269.2083333333</v>
      </c>
      <c r="I25" s="3">
        <f>I26+60</f>
        <v>288309</v>
      </c>
      <c r="J25" s="6">
        <f t="shared" si="41"/>
        <v>169</v>
      </c>
      <c r="K25" s="6">
        <f t="shared" si="41"/>
        <v>169</v>
      </c>
      <c r="L25" s="6">
        <f t="shared" si="41"/>
        <v>113</v>
      </c>
      <c r="M25" s="7">
        <f t="shared" si="42"/>
        <v>60</v>
      </c>
      <c r="N25" s="5">
        <f t="shared" si="24"/>
        <v>138.38709677419354</v>
      </c>
      <c r="O25" s="3">
        <f t="shared" si="43"/>
        <v>113</v>
      </c>
      <c r="P25" s="5">
        <f t="shared" si="44"/>
        <v>25.387096774193537</v>
      </c>
      <c r="Q25" s="5">
        <v>14</v>
      </c>
      <c r="R25" s="7">
        <f t="shared" si="28"/>
        <v>838.70967741935488</v>
      </c>
      <c r="S25" s="6">
        <f t="shared" si="46"/>
        <v>451</v>
      </c>
      <c r="T25" s="7">
        <f t="shared" si="47"/>
        <v>387.70967741935488</v>
      </c>
      <c r="U25" s="7">
        <f t="shared" si="48"/>
        <v>2352.5806451612912</v>
      </c>
      <c r="V25" s="6">
        <f t="shared" si="48"/>
        <v>1873</v>
      </c>
      <c r="W25" s="7">
        <f t="shared" si="49"/>
        <v>479.58064516129116</v>
      </c>
      <c r="X25" s="7">
        <f t="shared" si="50"/>
        <v>14258.064516129029</v>
      </c>
      <c r="Y25" s="7">
        <f t="shared" si="50"/>
        <v>6188</v>
      </c>
      <c r="Z25" s="7">
        <f t="shared" si="51"/>
        <v>8070.0645161290286</v>
      </c>
      <c r="AA25" s="24">
        <f t="shared" si="52"/>
        <v>0.99126625064496732</v>
      </c>
      <c r="AB25" s="1"/>
    </row>
    <row r="26" spans="2:28" ht="18" x14ac:dyDescent="0.25">
      <c r="B26" s="3">
        <v>16</v>
      </c>
      <c r="C26" s="3">
        <f>C27+163</f>
        <v>475422</v>
      </c>
      <c r="D26" s="3">
        <f>D27+170</f>
        <v>634775</v>
      </c>
      <c r="E26" s="3">
        <f t="shared" si="55"/>
        <v>415936</v>
      </c>
      <c r="F26" s="8">
        <f t="shared" si="38"/>
        <v>1526133</v>
      </c>
      <c r="G26" s="22">
        <f t="shared" si="39"/>
        <v>1525782.2916666667</v>
      </c>
      <c r="H26" s="7">
        <f t="shared" si="40"/>
        <v>1525824.7916666667</v>
      </c>
      <c r="I26" s="3">
        <f>I27+64</f>
        <v>288249</v>
      </c>
      <c r="J26" s="6">
        <f t="shared" si="41"/>
        <v>163</v>
      </c>
      <c r="K26" s="6">
        <f t="shared" si="41"/>
        <v>170</v>
      </c>
      <c r="L26" s="6">
        <f t="shared" si="41"/>
        <v>110</v>
      </c>
      <c r="M26" s="7">
        <f t="shared" si="42"/>
        <v>64</v>
      </c>
      <c r="N26" s="5">
        <f t="shared" si="24"/>
        <v>138.38709677419354</v>
      </c>
      <c r="O26" s="3">
        <f t="shared" si="43"/>
        <v>110</v>
      </c>
      <c r="P26" s="5">
        <f t="shared" si="44"/>
        <v>28.387096774193537</v>
      </c>
      <c r="Q26" s="5">
        <f t="shared" si="45"/>
        <v>42.5</v>
      </c>
      <c r="R26" s="7">
        <f t="shared" si="28"/>
        <v>838.70967741935488</v>
      </c>
      <c r="S26" s="6">
        <f t="shared" si="46"/>
        <v>443</v>
      </c>
      <c r="T26" s="7">
        <f t="shared" si="47"/>
        <v>395.70967741935488</v>
      </c>
      <c r="U26" s="7">
        <f t="shared" si="48"/>
        <v>2214.1935483870975</v>
      </c>
      <c r="V26" s="6">
        <f t="shared" si="48"/>
        <v>1760</v>
      </c>
      <c r="W26" s="7">
        <f t="shared" si="49"/>
        <v>454.19354838709751</v>
      </c>
      <c r="X26" s="7">
        <f t="shared" si="50"/>
        <v>13419.354838709674</v>
      </c>
      <c r="Y26" s="7">
        <f t="shared" si="50"/>
        <v>5737</v>
      </c>
      <c r="Z26" s="7">
        <f t="shared" si="51"/>
        <v>7682.3548387096744</v>
      </c>
      <c r="AA26" s="24">
        <f t="shared" si="52"/>
        <v>0.98972484416838902</v>
      </c>
      <c r="AB26" s="1"/>
    </row>
    <row r="27" spans="2:28" ht="18" x14ac:dyDescent="0.25">
      <c r="B27" s="3">
        <v>15</v>
      </c>
      <c r="C27" s="3">
        <f>C28+176</f>
        <v>475259</v>
      </c>
      <c r="D27" s="3">
        <f>D28+181</f>
        <v>634605</v>
      </c>
      <c r="E27" s="3">
        <f>E28+112</f>
        <v>415826</v>
      </c>
      <c r="F27" s="8">
        <f t="shared" si="38"/>
        <v>1525690</v>
      </c>
      <c r="G27" s="22">
        <f t="shared" si="39"/>
        <v>1525318.7083333333</v>
      </c>
      <c r="H27" s="7">
        <f t="shared" si="40"/>
        <v>1525363.9583333333</v>
      </c>
      <c r="I27" s="3">
        <f>I28+61</f>
        <v>288185</v>
      </c>
      <c r="J27" s="6">
        <f t="shared" si="41"/>
        <v>176</v>
      </c>
      <c r="K27" s="6">
        <f t="shared" si="41"/>
        <v>181</v>
      </c>
      <c r="L27" s="6">
        <f t="shared" si="41"/>
        <v>112</v>
      </c>
      <c r="M27" s="7">
        <f t="shared" si="42"/>
        <v>61</v>
      </c>
      <c r="N27" s="5">
        <f t="shared" si="24"/>
        <v>138.38709677419354</v>
      </c>
      <c r="O27" s="3">
        <f t="shared" si="43"/>
        <v>112</v>
      </c>
      <c r="P27" s="5">
        <f t="shared" si="44"/>
        <v>26.387096774193537</v>
      </c>
      <c r="Q27" s="5">
        <f t="shared" si="45"/>
        <v>45.25</v>
      </c>
      <c r="R27" s="7">
        <f t="shared" si="28"/>
        <v>838.70967741935488</v>
      </c>
      <c r="S27" s="6">
        <f t="shared" si="46"/>
        <v>469</v>
      </c>
      <c r="T27" s="7">
        <f t="shared" si="47"/>
        <v>369.70967741935488</v>
      </c>
      <c r="U27" s="7">
        <f t="shared" si="48"/>
        <v>2075.8064516129039</v>
      </c>
      <c r="V27" s="6">
        <f t="shared" si="48"/>
        <v>1650</v>
      </c>
      <c r="W27" s="7">
        <f t="shared" si="49"/>
        <v>425.80645161290386</v>
      </c>
      <c r="X27" s="7">
        <f t="shared" si="50"/>
        <v>12580.64516129032</v>
      </c>
      <c r="Y27" s="7">
        <f t="shared" si="50"/>
        <v>5294</v>
      </c>
      <c r="Z27" s="7">
        <f t="shared" si="51"/>
        <v>7286.6451612903202</v>
      </c>
      <c r="AA27" s="24">
        <f t="shared" si="52"/>
        <v>0.99164750631528509</v>
      </c>
      <c r="AB27" s="1"/>
    </row>
    <row r="28" spans="2:28" ht="18" x14ac:dyDescent="0.25">
      <c r="B28" s="3">
        <v>14</v>
      </c>
      <c r="C28" s="3">
        <f>C29+117</f>
        <v>475083</v>
      </c>
      <c r="D28" s="3">
        <f>D29+192</f>
        <v>634424</v>
      </c>
      <c r="E28" s="3">
        <f>E29+160</f>
        <v>415714</v>
      </c>
      <c r="F28" s="8">
        <f t="shared" si="38"/>
        <v>1525221</v>
      </c>
      <c r="G28" s="22">
        <f t="shared" si="39"/>
        <v>1524849.7083333333</v>
      </c>
      <c r="H28" s="7">
        <f t="shared" si="40"/>
        <v>1524897.7083333333</v>
      </c>
      <c r="I28" s="3">
        <f>I29+59</f>
        <v>288124</v>
      </c>
      <c r="J28" s="6">
        <f t="shared" si="41"/>
        <v>117</v>
      </c>
      <c r="K28" s="6">
        <f t="shared" si="41"/>
        <v>192</v>
      </c>
      <c r="L28" s="6">
        <f t="shared" si="41"/>
        <v>160</v>
      </c>
      <c r="M28" s="7">
        <f t="shared" si="42"/>
        <v>59</v>
      </c>
      <c r="N28" s="5">
        <f t="shared" si="24"/>
        <v>138.38709677419354</v>
      </c>
      <c r="O28" s="3">
        <f t="shared" si="43"/>
        <v>160</v>
      </c>
      <c r="P28" s="5">
        <f t="shared" si="44"/>
        <v>-21.612903225806463</v>
      </c>
      <c r="Q28" s="5">
        <f t="shared" si="45"/>
        <v>48</v>
      </c>
      <c r="R28" s="7">
        <f t="shared" si="28"/>
        <v>838.70967741935488</v>
      </c>
      <c r="S28" s="6">
        <f t="shared" si="46"/>
        <v>469</v>
      </c>
      <c r="T28" s="7">
        <f t="shared" si="47"/>
        <v>369.70967741935488</v>
      </c>
      <c r="U28" s="7">
        <f t="shared" si="48"/>
        <v>1937.4193548387102</v>
      </c>
      <c r="V28" s="6">
        <f t="shared" si="48"/>
        <v>1538</v>
      </c>
      <c r="W28" s="7">
        <f t="shared" si="49"/>
        <v>399.41935483871021</v>
      </c>
      <c r="X28" s="7">
        <f t="shared" si="50"/>
        <v>11741.935483870966</v>
      </c>
      <c r="Y28" s="7">
        <f t="shared" si="50"/>
        <v>4825</v>
      </c>
      <c r="Z28" s="7">
        <f t="shared" si="51"/>
        <v>6916.935483870966</v>
      </c>
      <c r="AA28" s="24">
        <f t="shared" si="52"/>
        <v>0.99217992978054004</v>
      </c>
      <c r="AB28" s="1"/>
    </row>
    <row r="29" spans="2:28" ht="18" x14ac:dyDescent="0.25">
      <c r="B29" s="3">
        <v>13</v>
      </c>
      <c r="C29" s="3">
        <v>474966</v>
      </c>
      <c r="D29" s="3">
        <v>634232</v>
      </c>
      <c r="E29" s="3">
        <v>415554</v>
      </c>
      <c r="F29" s="8">
        <f t="shared" si="38"/>
        <v>1524752</v>
      </c>
      <c r="G29" s="22">
        <f t="shared" si="39"/>
        <v>1524405.25</v>
      </c>
      <c r="H29" s="7">
        <f t="shared" si="40"/>
        <v>1524449.75</v>
      </c>
      <c r="I29" s="3">
        <v>288065</v>
      </c>
      <c r="J29" s="6">
        <f t="shared" si="41"/>
        <v>102</v>
      </c>
      <c r="K29" s="6">
        <f t="shared" si="41"/>
        <v>178</v>
      </c>
      <c r="L29" s="6">
        <f t="shared" si="41"/>
        <v>158</v>
      </c>
      <c r="M29" s="6">
        <f t="shared" si="42"/>
        <v>56</v>
      </c>
      <c r="N29" s="5">
        <f t="shared" si="24"/>
        <v>138.38709677419354</v>
      </c>
      <c r="O29" s="3">
        <f t="shared" si="43"/>
        <v>158</v>
      </c>
      <c r="P29" s="5">
        <f t="shared" si="44"/>
        <v>-19.612903225806463</v>
      </c>
      <c r="Q29" s="5">
        <f t="shared" si="45"/>
        <v>44.5</v>
      </c>
      <c r="R29" s="7">
        <f t="shared" si="28"/>
        <v>838.70967741935488</v>
      </c>
      <c r="S29" s="6">
        <f t="shared" si="46"/>
        <v>438</v>
      </c>
      <c r="T29" s="7">
        <f t="shared" si="47"/>
        <v>400.70967741935488</v>
      </c>
      <c r="U29" s="7">
        <f t="shared" si="48"/>
        <v>1799.0322580645166</v>
      </c>
      <c r="V29" s="6">
        <f t="shared" si="48"/>
        <v>1378</v>
      </c>
      <c r="W29" s="7">
        <f t="shared" si="49"/>
        <v>421.03225806451655</v>
      </c>
      <c r="X29" s="7">
        <f t="shared" si="50"/>
        <v>10903.225806451612</v>
      </c>
      <c r="Y29" s="7">
        <f t="shared" si="50"/>
        <v>4356</v>
      </c>
      <c r="Z29" s="7">
        <f t="shared" si="51"/>
        <v>6547.2258064516118</v>
      </c>
      <c r="AA29" s="24">
        <f t="shared" si="52"/>
        <v>0.99192555119202408</v>
      </c>
      <c r="AB29" s="1"/>
    </row>
    <row r="30" spans="2:28" ht="18" x14ac:dyDescent="0.25">
      <c r="B30" s="3">
        <v>12</v>
      </c>
      <c r="C30" s="5">
        <f>C31+101</f>
        <v>474864</v>
      </c>
      <c r="D30" s="5">
        <f>D31+165</f>
        <v>634054</v>
      </c>
      <c r="E30" s="5">
        <f>E31+152</f>
        <v>415396</v>
      </c>
      <c r="F30" s="8">
        <f t="shared" si="38"/>
        <v>1524314</v>
      </c>
      <c r="G30" s="22">
        <f t="shared" si="39"/>
        <v>1523983.0833333333</v>
      </c>
      <c r="H30" s="7">
        <f t="shared" si="40"/>
        <v>1524024.3333333333</v>
      </c>
      <c r="I30" s="5">
        <f t="shared" ref="I30:I32" si="59">I31+53</f>
        <v>288009</v>
      </c>
      <c r="J30" s="6">
        <f t="shared" si="41"/>
        <v>101</v>
      </c>
      <c r="K30" s="6">
        <f t="shared" si="41"/>
        <v>165</v>
      </c>
      <c r="L30" s="6">
        <f t="shared" si="41"/>
        <v>152</v>
      </c>
      <c r="M30" s="6">
        <f t="shared" si="42"/>
        <v>53</v>
      </c>
      <c r="N30" s="5">
        <f t="shared" si="24"/>
        <v>138.38709677419354</v>
      </c>
      <c r="O30" s="3">
        <f t="shared" si="43"/>
        <v>152</v>
      </c>
      <c r="P30" s="5">
        <f t="shared" si="44"/>
        <v>-13.612903225806463</v>
      </c>
      <c r="Q30" s="5">
        <f t="shared" si="45"/>
        <v>41.25</v>
      </c>
      <c r="R30" s="7">
        <f t="shared" si="28"/>
        <v>838.70967741935488</v>
      </c>
      <c r="S30" s="6">
        <f t="shared" si="46"/>
        <v>418</v>
      </c>
      <c r="T30" s="7">
        <f t="shared" si="47"/>
        <v>420.70967741935488</v>
      </c>
      <c r="U30" s="7">
        <f t="shared" si="48"/>
        <v>1660.6451612903229</v>
      </c>
      <c r="V30" s="6">
        <f t="shared" si="48"/>
        <v>1220</v>
      </c>
      <c r="W30" s="7">
        <f t="shared" si="49"/>
        <v>440.6451612903229</v>
      </c>
      <c r="X30" s="7">
        <f t="shared" si="50"/>
        <v>10064.516129032258</v>
      </c>
      <c r="Y30" s="7">
        <f t="shared" si="50"/>
        <v>3918</v>
      </c>
      <c r="Z30" s="7">
        <f t="shared" si="51"/>
        <v>6146.5161290322576</v>
      </c>
      <c r="AA30" s="24">
        <f t="shared" si="52"/>
        <v>0.99205725112947407</v>
      </c>
      <c r="AB30" s="1"/>
    </row>
    <row r="31" spans="2:28" ht="18" x14ac:dyDescent="0.25">
      <c r="B31" s="3">
        <v>11</v>
      </c>
      <c r="C31" s="5">
        <f>C32+92</f>
        <v>474763</v>
      </c>
      <c r="D31" s="5">
        <f>D32+151</f>
        <v>633889</v>
      </c>
      <c r="E31" s="5">
        <f>E32+141</f>
        <v>415244</v>
      </c>
      <c r="F31" s="8">
        <f t="shared" si="38"/>
        <v>1523896</v>
      </c>
      <c r="G31" s="22">
        <f t="shared" si="39"/>
        <v>1523592</v>
      </c>
      <c r="H31" s="7">
        <f t="shared" si="40"/>
        <v>1523629.75</v>
      </c>
      <c r="I31" s="5">
        <f>I32+51</f>
        <v>287956</v>
      </c>
      <c r="J31" s="6">
        <f t="shared" si="41"/>
        <v>92</v>
      </c>
      <c r="K31" s="6">
        <f t="shared" si="41"/>
        <v>151</v>
      </c>
      <c r="L31" s="6">
        <f t="shared" si="41"/>
        <v>141</v>
      </c>
      <c r="M31" s="6">
        <f t="shared" si="42"/>
        <v>51</v>
      </c>
      <c r="N31" s="5">
        <f t="shared" si="24"/>
        <v>138.38709677419354</v>
      </c>
      <c r="O31" s="3">
        <f t="shared" si="43"/>
        <v>141</v>
      </c>
      <c r="P31" s="5">
        <f t="shared" si="44"/>
        <v>-2.6129032258064626</v>
      </c>
      <c r="Q31" s="5">
        <f t="shared" si="45"/>
        <v>37.75</v>
      </c>
      <c r="R31" s="7">
        <f t="shared" si="28"/>
        <v>838.70967741935488</v>
      </c>
      <c r="S31" s="6">
        <f t="shared" si="46"/>
        <v>384</v>
      </c>
      <c r="T31" s="7">
        <f t="shared" si="47"/>
        <v>454.70967741935488</v>
      </c>
      <c r="U31" s="7">
        <f t="shared" si="48"/>
        <v>1522.2580645161293</v>
      </c>
      <c r="V31" s="6">
        <f t="shared" si="48"/>
        <v>1068</v>
      </c>
      <c r="W31" s="7">
        <f t="shared" si="49"/>
        <v>454.25806451612925</v>
      </c>
      <c r="X31" s="7">
        <f t="shared" si="50"/>
        <v>9225.8064516129034</v>
      </c>
      <c r="Y31" s="7">
        <f t="shared" si="50"/>
        <v>3500</v>
      </c>
      <c r="Z31" s="7">
        <f t="shared" si="51"/>
        <v>5725.8064516129034</v>
      </c>
      <c r="AA31" s="24">
        <f t="shared" si="52"/>
        <v>0.99129540839098773</v>
      </c>
      <c r="AB31" s="1"/>
    </row>
    <row r="32" spans="2:28" ht="18" x14ac:dyDescent="0.25">
      <c r="B32" s="3">
        <v>10</v>
      </c>
      <c r="C32" s="5">
        <f>C33+95</f>
        <v>474671</v>
      </c>
      <c r="D32" s="5">
        <f>D33+157</f>
        <v>633738</v>
      </c>
      <c r="E32" s="5">
        <f>E33+129</f>
        <v>415103</v>
      </c>
      <c r="F32" s="8">
        <f t="shared" si="38"/>
        <v>1523512</v>
      </c>
      <c r="G32" s="22">
        <f t="shared" si="39"/>
        <v>1523210.375</v>
      </c>
      <c r="H32" s="7">
        <f t="shared" si="40"/>
        <v>1523249.625</v>
      </c>
      <c r="I32" s="5">
        <f t="shared" si="59"/>
        <v>287905</v>
      </c>
      <c r="J32" s="6">
        <f t="shared" si="41"/>
        <v>95</v>
      </c>
      <c r="K32" s="6">
        <f t="shared" si="41"/>
        <v>157</v>
      </c>
      <c r="L32" s="6">
        <f t="shared" si="41"/>
        <v>129</v>
      </c>
      <c r="M32" s="6">
        <f t="shared" si="42"/>
        <v>53</v>
      </c>
      <c r="N32" s="5">
        <f t="shared" si="24"/>
        <v>138.38709677419354</v>
      </c>
      <c r="O32" s="3">
        <f t="shared" si="43"/>
        <v>129</v>
      </c>
      <c r="P32" s="5">
        <f t="shared" si="44"/>
        <v>9.3870967741935374</v>
      </c>
      <c r="Q32" s="5">
        <f t="shared" si="45"/>
        <v>39.25</v>
      </c>
      <c r="R32" s="7">
        <f t="shared" si="28"/>
        <v>838.70967741935488</v>
      </c>
      <c r="S32" s="6">
        <f t="shared" si="46"/>
        <v>381</v>
      </c>
      <c r="T32" s="7">
        <f t="shared" si="47"/>
        <v>457.70967741935488</v>
      </c>
      <c r="U32" s="7">
        <f t="shared" si="48"/>
        <v>1383.8709677419356</v>
      </c>
      <c r="V32" s="6">
        <f t="shared" si="48"/>
        <v>927</v>
      </c>
      <c r="W32" s="7">
        <f t="shared" si="49"/>
        <v>456.8709677419356</v>
      </c>
      <c r="X32" s="7">
        <f t="shared" si="50"/>
        <v>8387.0967741935492</v>
      </c>
      <c r="Y32" s="7">
        <f t="shared" si="50"/>
        <v>3116</v>
      </c>
      <c r="Z32" s="7">
        <f t="shared" si="51"/>
        <v>5271.0967741935492</v>
      </c>
      <c r="AA32" s="24">
        <f t="shared" si="52"/>
        <v>0.99046273137748753</v>
      </c>
      <c r="AB32" s="1"/>
    </row>
    <row r="33" spans="2:28" ht="18" x14ac:dyDescent="0.25">
      <c r="B33" s="3">
        <v>9</v>
      </c>
      <c r="C33" s="5">
        <f>C34+100</f>
        <v>474576</v>
      </c>
      <c r="D33" s="5">
        <f t="shared" ref="D33" si="60">D34+163</f>
        <v>633581</v>
      </c>
      <c r="E33" s="5">
        <f>E34+137</f>
        <v>414974</v>
      </c>
      <c r="F33" s="8">
        <f>C33+D33+E33</f>
        <v>1523131</v>
      </c>
      <c r="G33" s="22">
        <f t="shared" si="39"/>
        <v>1522814.3333333333</v>
      </c>
      <c r="H33" s="7">
        <f t="shared" si="40"/>
        <v>1522855.0833333333</v>
      </c>
      <c r="I33" s="5">
        <f>I34+50</f>
        <v>287852</v>
      </c>
      <c r="J33" s="6">
        <f t="shared" si="41"/>
        <v>100</v>
      </c>
      <c r="K33" s="6">
        <f t="shared" si="41"/>
        <v>163</v>
      </c>
      <c r="L33" s="6">
        <f t="shared" si="41"/>
        <v>137</v>
      </c>
      <c r="M33" s="6">
        <f t="shared" si="42"/>
        <v>50</v>
      </c>
      <c r="N33" s="5">
        <f t="shared" si="24"/>
        <v>138.38709677419354</v>
      </c>
      <c r="O33" s="3">
        <f t="shared" si="43"/>
        <v>137</v>
      </c>
      <c r="P33" s="5">
        <f t="shared" si="44"/>
        <v>1.3870967741935374</v>
      </c>
      <c r="Q33" s="5">
        <f t="shared" si="45"/>
        <v>40.75</v>
      </c>
      <c r="R33" s="7">
        <f t="shared" si="28"/>
        <v>838.70967741935488</v>
      </c>
      <c r="S33" s="6">
        <f t="shared" si="46"/>
        <v>400</v>
      </c>
      <c r="T33" s="7">
        <f t="shared" si="47"/>
        <v>438.70967741935488</v>
      </c>
      <c r="U33" s="7">
        <f t="shared" si="48"/>
        <v>1245.483870967742</v>
      </c>
      <c r="V33" s="6">
        <f t="shared" si="48"/>
        <v>798</v>
      </c>
      <c r="W33" s="7">
        <f t="shared" si="49"/>
        <v>447.48387096774195</v>
      </c>
      <c r="X33" s="7">
        <f t="shared" si="50"/>
        <v>7548.387096774195</v>
      </c>
      <c r="Y33" s="7">
        <f t="shared" si="50"/>
        <v>2735</v>
      </c>
      <c r="Z33" s="7">
        <f t="shared" si="51"/>
        <v>4813.387096774195</v>
      </c>
      <c r="AA33" s="24">
        <f t="shared" si="52"/>
        <v>0.99227787671366763</v>
      </c>
      <c r="AB33" s="1"/>
    </row>
    <row r="34" spans="2:28" ht="18" x14ac:dyDescent="0.25">
      <c r="B34" s="3">
        <v>8</v>
      </c>
      <c r="C34" s="5">
        <f>C35+98</f>
        <v>474476</v>
      </c>
      <c r="D34" s="5">
        <f>D35+169</f>
        <v>633418</v>
      </c>
      <c r="E34" s="5">
        <f>E35+133</f>
        <v>414837</v>
      </c>
      <c r="F34" s="8">
        <f t="shared" si="38"/>
        <v>1522731</v>
      </c>
      <c r="G34" s="22">
        <f t="shared" si="39"/>
        <v>1522414.3333333333</v>
      </c>
      <c r="H34" s="7">
        <f t="shared" si="40"/>
        <v>1522456.5833333333</v>
      </c>
      <c r="I34" s="5">
        <f>I35+55</f>
        <v>287802</v>
      </c>
      <c r="J34" s="6">
        <f t="shared" si="41"/>
        <v>98</v>
      </c>
      <c r="K34" s="6">
        <f t="shared" si="41"/>
        <v>169</v>
      </c>
      <c r="L34" s="6">
        <f t="shared" si="41"/>
        <v>133</v>
      </c>
      <c r="M34" s="6">
        <f t="shared" si="42"/>
        <v>55</v>
      </c>
      <c r="N34" s="5">
        <f t="shared" si="24"/>
        <v>138.38709677419354</v>
      </c>
      <c r="O34" s="3">
        <f t="shared" si="43"/>
        <v>133</v>
      </c>
      <c r="P34" s="5">
        <f t="shared" si="44"/>
        <v>5.3870967741935374</v>
      </c>
      <c r="Q34" s="5">
        <f t="shared" si="45"/>
        <v>42.25</v>
      </c>
      <c r="R34" s="7">
        <f t="shared" si="28"/>
        <v>838.70967741935488</v>
      </c>
      <c r="S34" s="6">
        <f t="shared" si="46"/>
        <v>400</v>
      </c>
      <c r="T34" s="7">
        <f t="shared" si="47"/>
        <v>438.70967741935488</v>
      </c>
      <c r="U34" s="7">
        <f t="shared" si="48"/>
        <v>1107.0967741935483</v>
      </c>
      <c r="V34" s="6">
        <f t="shared" si="48"/>
        <v>661</v>
      </c>
      <c r="W34" s="7">
        <f t="shared" si="49"/>
        <v>446.0967741935483</v>
      </c>
      <c r="X34" s="7">
        <f t="shared" si="50"/>
        <v>6709.6774193548399</v>
      </c>
      <c r="Y34" s="7">
        <f t="shared" si="50"/>
        <v>2335</v>
      </c>
      <c r="Z34" s="7">
        <f t="shared" si="51"/>
        <v>4374.6774193548399</v>
      </c>
      <c r="AA34" s="24">
        <f t="shared" si="52"/>
        <v>0.99067883984529581</v>
      </c>
      <c r="AB34" s="1"/>
    </row>
    <row r="35" spans="2:28" ht="18" x14ac:dyDescent="0.25">
      <c r="B35" s="3">
        <v>7</v>
      </c>
      <c r="C35" s="5">
        <v>474378</v>
      </c>
      <c r="D35" s="5">
        <v>633249</v>
      </c>
      <c r="E35" s="5">
        <v>414704</v>
      </c>
      <c r="F35" s="9">
        <f>C35+D35+E35</f>
        <v>1522331</v>
      </c>
      <c r="G35" s="22">
        <f t="shared" si="39"/>
        <v>1521919.3333333333</v>
      </c>
      <c r="H35" s="7">
        <f t="shared" si="40"/>
        <v>1521984.5833333333</v>
      </c>
      <c r="I35" s="5">
        <v>287747</v>
      </c>
      <c r="J35" s="6">
        <f t="shared" si="41"/>
        <v>135</v>
      </c>
      <c r="K35" s="6">
        <f t="shared" si="41"/>
        <v>261</v>
      </c>
      <c r="L35" s="6">
        <f t="shared" si="41"/>
        <v>124</v>
      </c>
      <c r="M35" s="6">
        <f t="shared" si="42"/>
        <v>90</v>
      </c>
      <c r="N35" s="5">
        <f t="shared" si="24"/>
        <v>138.38709677419354</v>
      </c>
      <c r="O35" s="3">
        <f t="shared" si="43"/>
        <v>124</v>
      </c>
      <c r="P35" s="5">
        <f t="shared" si="44"/>
        <v>14.387096774193537</v>
      </c>
      <c r="Q35" s="5">
        <f t="shared" si="45"/>
        <v>65.25</v>
      </c>
      <c r="R35" s="7">
        <f t="shared" si="28"/>
        <v>838.70967741935488</v>
      </c>
      <c r="S35" s="6">
        <f t="shared" si="46"/>
        <v>520</v>
      </c>
      <c r="T35" s="7">
        <f t="shared" si="47"/>
        <v>318.70967741935488</v>
      </c>
      <c r="U35" s="7">
        <f t="shared" si="48"/>
        <v>968.70967741935476</v>
      </c>
      <c r="V35" s="6">
        <f t="shared" si="48"/>
        <v>528</v>
      </c>
      <c r="W35" s="7">
        <f t="shared" si="49"/>
        <v>440.70967741935476</v>
      </c>
      <c r="X35" s="7">
        <f t="shared" si="50"/>
        <v>5870.9677419354848</v>
      </c>
      <c r="Y35" s="7">
        <f t="shared" si="50"/>
        <v>1935</v>
      </c>
      <c r="Z35" s="7">
        <f t="shared" si="51"/>
        <v>3935.9677419354848</v>
      </c>
      <c r="AA35" s="24">
        <f t="shared" si="52"/>
        <v>0.98535050585544792</v>
      </c>
      <c r="AB35" s="1"/>
    </row>
    <row r="36" spans="2:28" ht="18" x14ac:dyDescent="0.25">
      <c r="B36" s="3">
        <v>6</v>
      </c>
      <c r="C36" s="5">
        <f>C37+129</f>
        <v>474243</v>
      </c>
      <c r="D36" s="5">
        <f>D37+210</f>
        <v>632988</v>
      </c>
      <c r="E36" s="5">
        <f>E37+112</f>
        <v>414580</v>
      </c>
      <c r="F36" s="8">
        <f t="shared" si="38"/>
        <v>1521811</v>
      </c>
      <c r="G36" s="22">
        <f t="shared" si="39"/>
        <v>1521453.9583333333</v>
      </c>
      <c r="H36" s="7">
        <f t="shared" si="40"/>
        <v>1521506.4583333333</v>
      </c>
      <c r="I36" s="5">
        <f>I37+86</f>
        <v>287657</v>
      </c>
      <c r="J36" s="6">
        <f t="shared" si="41"/>
        <v>129</v>
      </c>
      <c r="K36" s="6">
        <f t="shared" si="41"/>
        <v>210</v>
      </c>
      <c r="L36" s="6">
        <f t="shared" si="41"/>
        <v>112</v>
      </c>
      <c r="M36" s="6">
        <f t="shared" si="42"/>
        <v>86</v>
      </c>
      <c r="N36" s="5">
        <f t="shared" si="24"/>
        <v>138.38709677419354</v>
      </c>
      <c r="O36" s="3">
        <f t="shared" si="43"/>
        <v>112</v>
      </c>
      <c r="P36" s="5">
        <f t="shared" si="44"/>
        <v>26.387096774193537</v>
      </c>
      <c r="Q36" s="5">
        <f t="shared" si="45"/>
        <v>52.5</v>
      </c>
      <c r="R36" s="7">
        <f t="shared" si="28"/>
        <v>838.70967741935488</v>
      </c>
      <c r="S36" s="6">
        <f t="shared" si="46"/>
        <v>451</v>
      </c>
      <c r="T36" s="7">
        <f t="shared" si="47"/>
        <v>387.70967741935488</v>
      </c>
      <c r="U36" s="7">
        <f t="shared" si="48"/>
        <v>830.32258064516122</v>
      </c>
      <c r="V36" s="6">
        <f t="shared" si="48"/>
        <v>404</v>
      </c>
      <c r="W36" s="7">
        <f t="shared" si="49"/>
        <v>426.32258064516122</v>
      </c>
      <c r="X36" s="7">
        <f t="shared" si="50"/>
        <v>5032.2580645161297</v>
      </c>
      <c r="Y36" s="7">
        <f t="shared" si="50"/>
        <v>1415</v>
      </c>
      <c r="Z36" s="7">
        <f t="shared" si="51"/>
        <v>3617.2580645161297</v>
      </c>
      <c r="AA36" s="24">
        <f t="shared" si="52"/>
        <v>0.98230041824327163</v>
      </c>
      <c r="AB36" s="1"/>
    </row>
    <row r="37" spans="2:28" ht="18" x14ac:dyDescent="0.25">
      <c r="B37" s="3">
        <v>5</v>
      </c>
      <c r="C37" s="5">
        <f>C38+108</f>
        <v>474114</v>
      </c>
      <c r="D37" s="5">
        <f>D38+198</f>
        <v>632778</v>
      </c>
      <c r="E37" s="5">
        <f>E38+101</f>
        <v>414468</v>
      </c>
      <c r="F37" s="8">
        <f t="shared" si="38"/>
        <v>1521360</v>
      </c>
      <c r="G37" s="22">
        <f t="shared" si="39"/>
        <v>1521037.7916666667</v>
      </c>
      <c r="H37" s="7">
        <f t="shared" si="40"/>
        <v>1521087.2916666667</v>
      </c>
      <c r="I37" s="5">
        <f>I38+82</f>
        <v>287571</v>
      </c>
      <c r="J37" s="6">
        <f t="shared" si="41"/>
        <v>108</v>
      </c>
      <c r="K37" s="6">
        <f t="shared" si="41"/>
        <v>198</v>
      </c>
      <c r="L37" s="6">
        <f t="shared" si="41"/>
        <v>101</v>
      </c>
      <c r="M37" s="6">
        <f t="shared" si="42"/>
        <v>82</v>
      </c>
      <c r="N37" s="5">
        <f t="shared" si="24"/>
        <v>138.38709677419354</v>
      </c>
      <c r="O37" s="3">
        <f t="shared" si="43"/>
        <v>101</v>
      </c>
      <c r="P37" s="5">
        <f t="shared" si="44"/>
        <v>37.387096774193537</v>
      </c>
      <c r="Q37" s="5">
        <f t="shared" si="45"/>
        <v>49.5</v>
      </c>
      <c r="R37" s="7">
        <f t="shared" si="28"/>
        <v>838.70967741935488</v>
      </c>
      <c r="S37" s="6">
        <f t="shared" si="46"/>
        <v>407</v>
      </c>
      <c r="T37" s="7">
        <f t="shared" si="47"/>
        <v>431.70967741935488</v>
      </c>
      <c r="U37" s="7">
        <f t="shared" si="48"/>
        <v>691.93548387096769</v>
      </c>
      <c r="V37" s="6">
        <f t="shared" si="48"/>
        <v>292</v>
      </c>
      <c r="W37" s="7">
        <f t="shared" si="49"/>
        <v>399.93548387096769</v>
      </c>
      <c r="X37" s="7">
        <f t="shared" si="50"/>
        <v>4193.5483870967746</v>
      </c>
      <c r="Y37" s="7">
        <f t="shared" si="50"/>
        <v>964</v>
      </c>
      <c r="Z37" s="7">
        <f t="shared" si="51"/>
        <v>3229.5483870967746</v>
      </c>
      <c r="AA37" s="24">
        <f t="shared" si="52"/>
        <v>0.9803017752741271</v>
      </c>
      <c r="AB37" s="1"/>
    </row>
    <row r="38" spans="2:28" ht="18" x14ac:dyDescent="0.25">
      <c r="B38" s="3">
        <v>4</v>
      </c>
      <c r="C38" s="5">
        <f t="shared" ref="C38" si="61">C39+78</f>
        <v>474006</v>
      </c>
      <c r="D38" s="5">
        <f>D39+46</f>
        <v>632580</v>
      </c>
      <c r="E38" s="5">
        <f>E39+63</f>
        <v>414367</v>
      </c>
      <c r="F38" s="8">
        <f t="shared" si="38"/>
        <v>1520953</v>
      </c>
      <c r="G38" s="22">
        <f t="shared" si="39"/>
        <v>1520804.9583333333</v>
      </c>
      <c r="H38" s="7">
        <f t="shared" si="40"/>
        <v>1520816.4583333333</v>
      </c>
      <c r="I38" s="5">
        <f>I39+46</f>
        <v>287489</v>
      </c>
      <c r="J38" s="6">
        <f t="shared" si="41"/>
        <v>78</v>
      </c>
      <c r="K38" s="6">
        <f t="shared" si="41"/>
        <v>46</v>
      </c>
      <c r="L38" s="6">
        <f t="shared" si="41"/>
        <v>63</v>
      </c>
      <c r="M38" s="7">
        <f>I38-I39</f>
        <v>46</v>
      </c>
      <c r="N38" s="5">
        <f t="shared" si="24"/>
        <v>138.38709677419354</v>
      </c>
      <c r="O38" s="3">
        <f t="shared" si="43"/>
        <v>63</v>
      </c>
      <c r="P38" s="5">
        <f t="shared" si="44"/>
        <v>75.387096774193537</v>
      </c>
      <c r="Q38" s="5">
        <f t="shared" si="45"/>
        <v>11.5</v>
      </c>
      <c r="R38" s="7">
        <f t="shared" si="28"/>
        <v>838.70967741935488</v>
      </c>
      <c r="S38" s="6">
        <f t="shared" si="46"/>
        <v>187</v>
      </c>
      <c r="T38" s="7">
        <f t="shared" si="47"/>
        <v>651.70967741935488</v>
      </c>
      <c r="U38" s="7">
        <f t="shared" si="48"/>
        <v>553.54838709677415</v>
      </c>
      <c r="V38" s="6">
        <f t="shared" si="48"/>
        <v>191</v>
      </c>
      <c r="W38" s="7">
        <f t="shared" si="49"/>
        <v>362.54838709677415</v>
      </c>
      <c r="X38" s="7">
        <f t="shared" si="50"/>
        <v>3354.8387096774195</v>
      </c>
      <c r="Y38" s="7">
        <f t="shared" si="50"/>
        <v>557</v>
      </c>
      <c r="Z38" s="7">
        <f t="shared" si="51"/>
        <v>2797.8387096774195</v>
      </c>
      <c r="AA38" s="24">
        <f t="shared" si="52"/>
        <v>0.97105195033639857</v>
      </c>
      <c r="AB38" s="1"/>
    </row>
    <row r="39" spans="2:28" ht="18" x14ac:dyDescent="0.25">
      <c r="B39" s="3">
        <v>3</v>
      </c>
      <c r="C39" s="5">
        <f>C40+35</f>
        <v>473928</v>
      </c>
      <c r="D39" s="5">
        <f>D40+47</f>
        <v>632534</v>
      </c>
      <c r="E39" s="5">
        <f>E40+52</f>
        <v>414304</v>
      </c>
      <c r="F39" s="8">
        <f t="shared" si="38"/>
        <v>1520766</v>
      </c>
      <c r="G39" s="22">
        <f t="shared" si="39"/>
        <v>1520659.9166666667</v>
      </c>
      <c r="H39" s="7">
        <f t="shared" si="40"/>
        <v>1520671.6666666667</v>
      </c>
      <c r="I39" s="5">
        <f>I40+31</f>
        <v>287443</v>
      </c>
      <c r="J39" s="6">
        <f t="shared" si="41"/>
        <v>35</v>
      </c>
      <c r="K39" s="6">
        <f t="shared" si="41"/>
        <v>47</v>
      </c>
      <c r="L39" s="6">
        <f t="shared" si="41"/>
        <v>52</v>
      </c>
      <c r="M39" s="6">
        <f t="shared" si="42"/>
        <v>31</v>
      </c>
      <c r="N39" s="5">
        <f t="shared" si="24"/>
        <v>138.38709677419354</v>
      </c>
      <c r="O39" s="3">
        <f t="shared" si="43"/>
        <v>52</v>
      </c>
      <c r="P39" s="5">
        <f t="shared" si="44"/>
        <v>86.387096774193537</v>
      </c>
      <c r="Q39" s="5">
        <f t="shared" si="45"/>
        <v>11.75</v>
      </c>
      <c r="R39" s="7">
        <f t="shared" si="28"/>
        <v>838.70967741935488</v>
      </c>
      <c r="S39" s="6">
        <f t="shared" si="46"/>
        <v>134</v>
      </c>
      <c r="T39" s="7">
        <f t="shared" si="47"/>
        <v>704.70967741935488</v>
      </c>
      <c r="U39" s="7">
        <f t="shared" si="48"/>
        <v>415.16129032258061</v>
      </c>
      <c r="V39" s="6">
        <f t="shared" si="48"/>
        <v>128</v>
      </c>
      <c r="W39" s="7">
        <f t="shared" si="49"/>
        <v>287.16129032258061</v>
      </c>
      <c r="X39" s="7">
        <f t="shared" si="50"/>
        <v>2516.1290322580644</v>
      </c>
      <c r="Y39" s="7">
        <f t="shared" si="50"/>
        <v>370</v>
      </c>
      <c r="Z39" s="7">
        <f t="shared" si="51"/>
        <v>2146.1290322580644</v>
      </c>
      <c r="AA39" s="24">
        <f t="shared" si="52"/>
        <v>0.97426851178457174</v>
      </c>
      <c r="AB39" s="1"/>
    </row>
    <row r="40" spans="2:28" ht="18" x14ac:dyDescent="0.25">
      <c r="B40" s="3">
        <v>2</v>
      </c>
      <c r="C40" s="5">
        <f>C41+33</f>
        <v>473893</v>
      </c>
      <c r="D40" s="5">
        <f>D41+48</f>
        <v>632487</v>
      </c>
      <c r="E40" s="5">
        <f>E41+41</f>
        <v>414252</v>
      </c>
      <c r="F40" s="8">
        <f t="shared" si="38"/>
        <v>1520632</v>
      </c>
      <c r="G40" s="22">
        <f t="shared" si="39"/>
        <v>1520535.4166666667</v>
      </c>
      <c r="H40" s="7">
        <f t="shared" si="40"/>
        <v>1520547.4166666667</v>
      </c>
      <c r="I40" s="5">
        <f>I41+29</f>
        <v>287412</v>
      </c>
      <c r="J40" s="6">
        <f t="shared" si="41"/>
        <v>33</v>
      </c>
      <c r="K40" s="6">
        <f t="shared" si="41"/>
        <v>48</v>
      </c>
      <c r="L40" s="6">
        <f t="shared" si="41"/>
        <v>41</v>
      </c>
      <c r="M40" s="6">
        <f t="shared" si="42"/>
        <v>29</v>
      </c>
      <c r="N40" s="5">
        <f t="shared" si="24"/>
        <v>138.38709677419354</v>
      </c>
      <c r="O40" s="3">
        <f t="shared" si="43"/>
        <v>41</v>
      </c>
      <c r="P40" s="5">
        <f t="shared" si="44"/>
        <v>97.387096774193537</v>
      </c>
      <c r="Q40" s="5">
        <f t="shared" si="45"/>
        <v>12</v>
      </c>
      <c r="R40" s="7">
        <f>R41</f>
        <v>838.70967741935488</v>
      </c>
      <c r="S40" s="6">
        <f t="shared" si="46"/>
        <v>122</v>
      </c>
      <c r="T40" s="7">
        <f t="shared" si="47"/>
        <v>716.70967741935488</v>
      </c>
      <c r="U40" s="7">
        <f t="shared" si="48"/>
        <v>276.77419354838707</v>
      </c>
      <c r="V40" s="6">
        <f t="shared" si="48"/>
        <v>76</v>
      </c>
      <c r="W40" s="7">
        <f t="shared" si="49"/>
        <v>200.77419354838707</v>
      </c>
      <c r="X40" s="7">
        <f t="shared" si="50"/>
        <v>1677.4193548387098</v>
      </c>
      <c r="Y40" s="7">
        <f t="shared" si="50"/>
        <v>236</v>
      </c>
      <c r="Z40" s="7">
        <f t="shared" si="51"/>
        <v>1441.4193548387098</v>
      </c>
      <c r="AA40" s="24">
        <f t="shared" si="52"/>
        <v>0.972891711851258</v>
      </c>
      <c r="AB40" s="1"/>
    </row>
    <row r="41" spans="2:28" ht="18.75" thickBot="1" x14ac:dyDescent="0.3">
      <c r="B41" s="3">
        <v>1</v>
      </c>
      <c r="C41" s="5">
        <f>C42+34</f>
        <v>473860</v>
      </c>
      <c r="D41" s="5">
        <f>D42+45</f>
        <v>632439</v>
      </c>
      <c r="E41" s="5">
        <f>E42+35</f>
        <v>414211</v>
      </c>
      <c r="F41" s="8">
        <f t="shared" si="38"/>
        <v>1520510</v>
      </c>
      <c r="G41" s="22">
        <f>(C42+D42+E42)+((S41/24)*5)</f>
        <v>1520419.75</v>
      </c>
      <c r="H41" s="7">
        <f>G41+((K41/12)*3)</f>
        <v>1520431</v>
      </c>
      <c r="I41" s="5">
        <f>I42+28</f>
        <v>287383</v>
      </c>
      <c r="J41" s="6">
        <f t="shared" si="41"/>
        <v>34</v>
      </c>
      <c r="K41" s="6">
        <f t="shared" si="41"/>
        <v>45</v>
      </c>
      <c r="L41" s="6">
        <f t="shared" si="41"/>
        <v>35</v>
      </c>
      <c r="M41" s="6">
        <f t="shared" si="42"/>
        <v>28</v>
      </c>
      <c r="N41" s="43">
        <f>O6/31</f>
        <v>138.38709677419354</v>
      </c>
      <c r="O41" s="3">
        <f t="shared" si="43"/>
        <v>35</v>
      </c>
      <c r="P41" s="5">
        <f t="shared" si="44"/>
        <v>103.38709677419354</v>
      </c>
      <c r="Q41" s="5">
        <f t="shared" si="45"/>
        <v>11.25</v>
      </c>
      <c r="R41" s="45">
        <f>S6/31</f>
        <v>838.70967741935488</v>
      </c>
      <c r="S41" s="6">
        <f t="shared" si="46"/>
        <v>114</v>
      </c>
      <c r="T41" s="7">
        <f t="shared" si="47"/>
        <v>724.70967741935488</v>
      </c>
      <c r="U41" s="7">
        <f>N41</f>
        <v>138.38709677419354</v>
      </c>
      <c r="V41" s="6">
        <f>O41</f>
        <v>35</v>
      </c>
      <c r="W41" s="7">
        <f t="shared" si="49"/>
        <v>103.38709677419354</v>
      </c>
      <c r="X41" s="7">
        <f>R41</f>
        <v>838.70967741935488</v>
      </c>
      <c r="Y41" s="7">
        <f>S41</f>
        <v>114</v>
      </c>
      <c r="Z41" s="7">
        <f t="shared" si="51"/>
        <v>724.70967741935488</v>
      </c>
      <c r="AA41" s="24">
        <f t="shared" si="52"/>
        <v>0.97113642226677943</v>
      </c>
      <c r="AB41" s="1"/>
    </row>
    <row r="42" spans="2:28" ht="54.75" thickBot="1" x14ac:dyDescent="0.3">
      <c r="B42" s="33" t="s">
        <v>13</v>
      </c>
      <c r="C42" s="3">
        <v>473826</v>
      </c>
      <c r="D42" s="3">
        <v>632394</v>
      </c>
      <c r="E42" s="3">
        <v>414176</v>
      </c>
      <c r="F42" s="8">
        <v>1520396</v>
      </c>
      <c r="G42" s="9">
        <v>1520324.1041666667</v>
      </c>
      <c r="H42" s="9">
        <v>1520337.8541666667</v>
      </c>
      <c r="I42" s="3">
        <v>287355</v>
      </c>
      <c r="J42" s="10"/>
      <c r="K42" s="10"/>
      <c r="L42" s="10"/>
      <c r="M42" s="46">
        <f>SUM(M11:M41)</f>
        <v>1760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8">
        <f>AVERAGE(AA11:AA41)</f>
        <v>0.98715910368857396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B2:AB53"/>
  <sheetViews>
    <sheetView view="pageBreakPreview" topLeftCell="J1" zoomScale="85" zoomScaleNormal="85" zoomScaleSheetLayoutView="85" workbookViewId="0">
      <pane ySplit="8" topLeftCell="A33" activePane="bottomLeft" state="frozen"/>
      <selection pane="bottomLeft" activeCell="U6" sqref="U6"/>
    </sheetView>
  </sheetViews>
  <sheetFormatPr baseColWidth="10" defaultColWidth="11.42578125" defaultRowHeight="15" x14ac:dyDescent="0.25"/>
  <cols>
    <col min="1" max="2" width="11.42578125" customWidth="1"/>
    <col min="4" max="4" width="12.28515625" bestFit="1" customWidth="1"/>
    <col min="5" max="5" width="11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45658</v>
      </c>
    </row>
    <row r="5" spans="2:28" x14ac:dyDescent="0.25">
      <c r="C5" s="77" t="s">
        <v>34</v>
      </c>
      <c r="D5" s="77"/>
      <c r="E5" s="77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1650</v>
      </c>
      <c r="P6" s="30" t="s">
        <v>26</v>
      </c>
      <c r="Q6" s="11">
        <f>(S6*8)/100</f>
        <v>800</v>
      </c>
      <c r="R6" s="13" t="s">
        <v>25</v>
      </c>
      <c r="S6" s="11">
        <v>10000</v>
      </c>
      <c r="T6" s="52" t="s">
        <v>41</v>
      </c>
      <c r="U6" s="52">
        <v>257</v>
      </c>
      <c r="V6" s="51">
        <f>U6/31</f>
        <v>8.2903225806451619</v>
      </c>
    </row>
    <row r="7" spans="2:28" ht="46.5" customHeight="1" x14ac:dyDescent="0.25">
      <c r="B7" s="80" t="s">
        <v>24</v>
      </c>
      <c r="C7" s="78" t="s">
        <v>9</v>
      </c>
      <c r="D7" s="78"/>
      <c r="E7" s="78"/>
      <c r="F7" s="78"/>
      <c r="G7" s="78"/>
      <c r="H7" s="78"/>
      <c r="I7" s="78"/>
      <c r="J7" s="78" t="s">
        <v>23</v>
      </c>
      <c r="K7" s="78"/>
      <c r="L7" s="78"/>
      <c r="M7" s="78"/>
      <c r="N7" s="78" t="s">
        <v>22</v>
      </c>
      <c r="O7" s="78"/>
      <c r="P7" s="78"/>
      <c r="Q7" s="79" t="s">
        <v>21</v>
      </c>
      <c r="R7" s="78" t="s">
        <v>20</v>
      </c>
      <c r="S7" s="78"/>
      <c r="T7" s="78"/>
      <c r="U7" s="78" t="s">
        <v>10</v>
      </c>
      <c r="V7" s="78"/>
      <c r="W7" s="78"/>
      <c r="X7" s="78" t="s">
        <v>11</v>
      </c>
      <c r="Y7" s="78"/>
      <c r="Z7" s="78"/>
      <c r="AA7" s="78"/>
      <c r="AB7" s="79" t="s">
        <v>8</v>
      </c>
    </row>
    <row r="8" spans="2:28" ht="30" x14ac:dyDescent="0.25">
      <c r="B8" s="8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7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7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>
        <v>31</v>
      </c>
      <c r="C11" s="60">
        <v>63019</v>
      </c>
      <c r="D11" s="60">
        <v>486308</v>
      </c>
      <c r="E11" s="60">
        <v>76848</v>
      </c>
      <c r="F11" s="61">
        <f t="shared" ref="F11" si="0">C11+D11+E11</f>
        <v>626175</v>
      </c>
      <c r="G11" s="62">
        <f t="shared" ref="G11" si="1">(C12+D12+E12)+((S11/24)*9.5)</f>
        <v>626155.0625</v>
      </c>
      <c r="H11" s="60">
        <f t="shared" ref="H11" si="2">G11+((K11/12)*2.5)</f>
        <v>626155.0625</v>
      </c>
      <c r="I11" s="60">
        <v>214294</v>
      </c>
      <c r="J11" s="63">
        <f t="shared" ref="J11:L11" si="3">C11-C12</f>
        <v>33</v>
      </c>
      <c r="K11" s="63">
        <f t="shared" si="3"/>
        <v>0</v>
      </c>
      <c r="L11" s="63">
        <f t="shared" si="3"/>
        <v>0</v>
      </c>
      <c r="M11" s="63">
        <f t="shared" ref="M11" si="4">I11-I12</f>
        <v>13</v>
      </c>
      <c r="N11" s="64">
        <f t="shared" ref="N11" si="5">N12</f>
        <v>53.225806451612904</v>
      </c>
      <c r="O11" s="65">
        <f t="shared" ref="O11" si="6">L11</f>
        <v>0</v>
      </c>
      <c r="P11" s="64">
        <f t="shared" ref="P11" si="7">N11-O11</f>
        <v>53.225806451612904</v>
      </c>
      <c r="Q11" s="64">
        <f t="shared" ref="Q11" si="8">H11-G11</f>
        <v>0</v>
      </c>
      <c r="R11" s="60">
        <f t="shared" ref="R11" si="9">R12</f>
        <v>322.58064516129031</v>
      </c>
      <c r="S11" s="63">
        <f t="shared" ref="S11" si="10">J11+K11+L11</f>
        <v>33</v>
      </c>
      <c r="T11" s="60">
        <f t="shared" ref="T11" si="11">R11-S11</f>
        <v>289.58064516129031</v>
      </c>
      <c r="U11" s="60">
        <f t="shared" ref="U11:V11" si="12">U12+N11</f>
        <v>1650.0000000000005</v>
      </c>
      <c r="V11" s="60">
        <f t="shared" si="12"/>
        <v>715</v>
      </c>
      <c r="W11" s="60">
        <f t="shared" ref="W11" si="13">U11-V11</f>
        <v>935.00000000000045</v>
      </c>
      <c r="X11" s="60">
        <f t="shared" ref="X11:Y11" si="14">X12+R11</f>
        <v>10000.000000000002</v>
      </c>
      <c r="Y11" s="60">
        <f t="shared" si="14"/>
        <v>3324</v>
      </c>
      <c r="Z11" s="60">
        <f t="shared" ref="Z11" si="15">X11-Y11</f>
        <v>6676.0000000000018</v>
      </c>
      <c r="AA11" s="66">
        <f t="shared" ref="AA11" si="16">COS(ATAN(M11/S11))</f>
        <v>0.93040839281709153</v>
      </c>
      <c r="AB11" s="67"/>
    </row>
    <row r="12" spans="2:28" ht="18" x14ac:dyDescent="0.25">
      <c r="B12" s="3">
        <v>30</v>
      </c>
      <c r="C12" s="5">
        <f>C13+36</f>
        <v>62986</v>
      </c>
      <c r="D12" s="5">
        <f>D13+32</f>
        <v>486308</v>
      </c>
      <c r="E12" s="5">
        <v>76848</v>
      </c>
      <c r="F12" s="8">
        <f t="shared" ref="F12" si="17">C12+D12+E12</f>
        <v>626142</v>
      </c>
      <c r="G12" s="22">
        <f t="shared" ref="G12" si="18">(C13+D13+E13)+((S12/24)*9.5)</f>
        <v>626091.25</v>
      </c>
      <c r="H12" s="7">
        <f t="shared" ref="H12" si="19">G12+((K12/12)*2.5)</f>
        <v>626097.91666666663</v>
      </c>
      <c r="I12" s="5">
        <f>I13+34</f>
        <v>214281</v>
      </c>
      <c r="J12" s="6">
        <f t="shared" ref="J12" si="20">C12-C13</f>
        <v>36</v>
      </c>
      <c r="K12" s="6">
        <f t="shared" ref="K12" si="21">D12-D13</f>
        <v>32</v>
      </c>
      <c r="L12" s="6">
        <f t="shared" ref="L12" si="22">E12-E13</f>
        <v>16</v>
      </c>
      <c r="M12" s="6">
        <f t="shared" ref="M12" si="23">I12-I13</f>
        <v>34</v>
      </c>
      <c r="N12" s="5">
        <f t="shared" ref="N12:N40" si="24">N13</f>
        <v>53.225806451612904</v>
      </c>
      <c r="O12" s="23">
        <f t="shared" ref="O12" si="25">L12</f>
        <v>16</v>
      </c>
      <c r="P12" s="5">
        <f t="shared" ref="P12" si="26">N12-O12</f>
        <v>37.225806451612904</v>
      </c>
      <c r="Q12" s="5">
        <f t="shared" ref="Q12" si="27">H12-G12</f>
        <v>6.6666666666278616</v>
      </c>
      <c r="R12" s="7">
        <f t="shared" ref="R12:R39" si="28">R13</f>
        <v>322.58064516129031</v>
      </c>
      <c r="S12" s="6">
        <f t="shared" ref="S12" si="29">J12+K12+L12</f>
        <v>84</v>
      </c>
      <c r="T12" s="7">
        <f t="shared" ref="T12" si="30">R12-S12</f>
        <v>238.58064516129031</v>
      </c>
      <c r="U12" s="7">
        <f t="shared" ref="U12" si="31">U13+N12</f>
        <v>1596.7741935483875</v>
      </c>
      <c r="V12" s="7">
        <f t="shared" ref="V12" si="32">V13+O12</f>
        <v>715</v>
      </c>
      <c r="W12" s="7">
        <f t="shared" ref="W12" si="33">U12-V12</f>
        <v>881.77419354838753</v>
      </c>
      <c r="X12" s="7">
        <f t="shared" ref="X12" si="34">X13+R12</f>
        <v>9677.419354838712</v>
      </c>
      <c r="Y12" s="7">
        <f t="shared" ref="Y12" si="35">Y13+S12</f>
        <v>3291</v>
      </c>
      <c r="Z12" s="7">
        <f t="shared" ref="Z12" si="36">X12-Y12</f>
        <v>6386.419354838712</v>
      </c>
      <c r="AA12" s="24">
        <f t="shared" ref="AA12" si="37">COS(ATAN(M12/S12))</f>
        <v>0.92694681322315842</v>
      </c>
      <c r="AB12" s="25"/>
    </row>
    <row r="13" spans="2:28" ht="18" x14ac:dyDescent="0.25">
      <c r="B13" s="3">
        <v>29</v>
      </c>
      <c r="C13" s="5">
        <f>C14+39</f>
        <v>62950</v>
      </c>
      <c r="D13" s="5">
        <f>D14+38</f>
        <v>486276</v>
      </c>
      <c r="E13" s="5">
        <f>E14+7</f>
        <v>76832</v>
      </c>
      <c r="F13" s="8">
        <f t="shared" ref="F13:F41" si="38">C13+D13+E13</f>
        <v>626058</v>
      </c>
      <c r="G13" s="22">
        <f t="shared" ref="G13:G40" si="39">(C14+D14+E14)+((S13/24)*9.5)</f>
        <v>626007.25</v>
      </c>
      <c r="H13" s="7">
        <f t="shared" ref="H13:H40" si="40">G13+((K13/12)*2.5)</f>
        <v>626015.16666666663</v>
      </c>
      <c r="I13" s="5">
        <f>I14+31</f>
        <v>214247</v>
      </c>
      <c r="J13" s="6">
        <f t="shared" ref="J13:L41" si="41">C13-C14</f>
        <v>39</v>
      </c>
      <c r="K13" s="6">
        <f t="shared" si="41"/>
        <v>38</v>
      </c>
      <c r="L13" s="6">
        <f t="shared" si="41"/>
        <v>7</v>
      </c>
      <c r="M13" s="6">
        <f t="shared" ref="M13:M41" si="42">I13-I14</f>
        <v>31</v>
      </c>
      <c r="N13" s="5">
        <f t="shared" si="24"/>
        <v>53.225806451612904</v>
      </c>
      <c r="O13" s="23">
        <f t="shared" ref="O13:O41" si="43">L13</f>
        <v>7</v>
      </c>
      <c r="P13" s="5">
        <f t="shared" ref="P13:P41" si="44">N13-O13</f>
        <v>46.225806451612904</v>
      </c>
      <c r="Q13" s="5">
        <f t="shared" ref="Q13:Q41" si="45">H13-G13</f>
        <v>7.9166666666278616</v>
      </c>
      <c r="R13" s="7">
        <f t="shared" si="28"/>
        <v>322.58064516129031</v>
      </c>
      <c r="S13" s="6">
        <f t="shared" ref="S13:S41" si="46">J13+K13+L13</f>
        <v>84</v>
      </c>
      <c r="T13" s="7">
        <f t="shared" ref="T13:T41" si="47">R13-S13</f>
        <v>238.58064516129031</v>
      </c>
      <c r="U13" s="7">
        <f t="shared" ref="U13:V40" si="48">U14+N13</f>
        <v>1543.5483870967746</v>
      </c>
      <c r="V13" s="7">
        <f t="shared" si="48"/>
        <v>699</v>
      </c>
      <c r="W13" s="7">
        <f t="shared" ref="W13:W41" si="49">U13-V13</f>
        <v>844.5483870967746</v>
      </c>
      <c r="X13" s="7">
        <f t="shared" ref="X13:Y40" si="50">X14+R13</f>
        <v>9354.8387096774222</v>
      </c>
      <c r="Y13" s="7">
        <f t="shared" si="50"/>
        <v>3207</v>
      </c>
      <c r="Z13" s="7">
        <f t="shared" ref="Z13:Z41" si="51">X13-Y13</f>
        <v>6147.8387096774222</v>
      </c>
      <c r="AA13" s="24">
        <f t="shared" ref="AA13:AA41" si="52">COS(ATAN(M13/S13))</f>
        <v>0.93815229271999678</v>
      </c>
      <c r="AB13" s="25"/>
    </row>
    <row r="14" spans="2:28" ht="18" x14ac:dyDescent="0.25">
      <c r="B14" s="3">
        <v>28</v>
      </c>
      <c r="C14" s="5">
        <v>62911</v>
      </c>
      <c r="D14" s="5">
        <v>486238</v>
      </c>
      <c r="E14" s="5">
        <v>76825</v>
      </c>
      <c r="F14" s="8">
        <f t="shared" si="38"/>
        <v>625974</v>
      </c>
      <c r="G14" s="22">
        <f t="shared" si="39"/>
        <v>625861.625</v>
      </c>
      <c r="H14" s="7">
        <f t="shared" si="40"/>
        <v>625884.33333333337</v>
      </c>
      <c r="I14" s="5">
        <v>214216</v>
      </c>
      <c r="J14" s="6">
        <f t="shared" si="41"/>
        <v>42</v>
      </c>
      <c r="K14" s="6">
        <f t="shared" si="41"/>
        <v>109</v>
      </c>
      <c r="L14" s="6">
        <f t="shared" si="41"/>
        <v>35</v>
      </c>
      <c r="M14" s="6">
        <f t="shared" si="42"/>
        <v>67</v>
      </c>
      <c r="N14" s="5">
        <f t="shared" si="24"/>
        <v>53.225806451612904</v>
      </c>
      <c r="O14" s="23">
        <f t="shared" si="43"/>
        <v>35</v>
      </c>
      <c r="P14" s="5">
        <f t="shared" si="44"/>
        <v>18.225806451612904</v>
      </c>
      <c r="Q14" s="5">
        <f t="shared" si="45"/>
        <v>22.708333333372138</v>
      </c>
      <c r="R14" s="7">
        <f t="shared" si="28"/>
        <v>322.58064516129031</v>
      </c>
      <c r="S14" s="6">
        <f t="shared" si="46"/>
        <v>186</v>
      </c>
      <c r="T14" s="7">
        <f t="shared" si="47"/>
        <v>136.58064516129031</v>
      </c>
      <c r="U14" s="7">
        <f t="shared" si="48"/>
        <v>1490.3225806451617</v>
      </c>
      <c r="V14" s="7">
        <f t="shared" si="48"/>
        <v>692</v>
      </c>
      <c r="W14" s="7">
        <f t="shared" si="49"/>
        <v>798.32258064516168</v>
      </c>
      <c r="X14" s="7">
        <f t="shared" si="50"/>
        <v>9032.2580645161324</v>
      </c>
      <c r="Y14" s="7">
        <f t="shared" si="50"/>
        <v>3123</v>
      </c>
      <c r="Z14" s="7">
        <f t="shared" si="51"/>
        <v>5909.2580645161324</v>
      </c>
      <c r="AA14" s="24">
        <f t="shared" si="52"/>
        <v>0.94082291367354653</v>
      </c>
      <c r="AB14" s="25"/>
    </row>
    <row r="15" spans="2:28" ht="18" x14ac:dyDescent="0.25">
      <c r="B15" s="3">
        <v>27</v>
      </c>
      <c r="C15" s="5">
        <f>C16+38</f>
        <v>62869</v>
      </c>
      <c r="D15" s="5">
        <f>D16+102</f>
        <v>486129</v>
      </c>
      <c r="E15" s="5">
        <f>E16+28</f>
        <v>76790</v>
      </c>
      <c r="F15" s="8">
        <f t="shared" si="38"/>
        <v>625788</v>
      </c>
      <c r="G15" s="22">
        <f t="shared" si="39"/>
        <v>625686.5</v>
      </c>
      <c r="H15" s="7">
        <f t="shared" si="40"/>
        <v>625707.75</v>
      </c>
      <c r="I15" s="5">
        <f>I16+69</f>
        <v>214149</v>
      </c>
      <c r="J15" s="6">
        <f t="shared" si="41"/>
        <v>38</v>
      </c>
      <c r="K15" s="6">
        <f t="shared" si="41"/>
        <v>102</v>
      </c>
      <c r="L15" s="6">
        <f t="shared" si="41"/>
        <v>28</v>
      </c>
      <c r="M15" s="6">
        <f t="shared" si="42"/>
        <v>69</v>
      </c>
      <c r="N15" s="5">
        <f t="shared" si="24"/>
        <v>53.225806451612904</v>
      </c>
      <c r="O15" s="23">
        <f t="shared" si="43"/>
        <v>28</v>
      </c>
      <c r="P15" s="5">
        <f t="shared" si="44"/>
        <v>25.225806451612904</v>
      </c>
      <c r="Q15" s="5">
        <f t="shared" si="45"/>
        <v>21.25</v>
      </c>
      <c r="R15" s="7">
        <f t="shared" si="28"/>
        <v>322.58064516129031</v>
      </c>
      <c r="S15" s="6">
        <f t="shared" si="46"/>
        <v>168</v>
      </c>
      <c r="T15" s="7">
        <f t="shared" si="47"/>
        <v>154.58064516129031</v>
      </c>
      <c r="U15" s="7">
        <f t="shared" si="48"/>
        <v>1437.0967741935488</v>
      </c>
      <c r="V15" s="7">
        <f t="shared" si="48"/>
        <v>657</v>
      </c>
      <c r="W15" s="7">
        <f t="shared" si="49"/>
        <v>780.09677419354875</v>
      </c>
      <c r="X15" s="7">
        <f t="shared" si="50"/>
        <v>8709.6774193548426</v>
      </c>
      <c r="Y15" s="7">
        <f t="shared" si="50"/>
        <v>2937</v>
      </c>
      <c r="Z15" s="7">
        <f t="shared" si="51"/>
        <v>5772.6774193548426</v>
      </c>
      <c r="AA15" s="24">
        <f t="shared" si="52"/>
        <v>0.92501981837845282</v>
      </c>
      <c r="AB15" s="25"/>
    </row>
    <row r="16" spans="2:28" ht="18" x14ac:dyDescent="0.25">
      <c r="B16" s="3">
        <v>26</v>
      </c>
      <c r="C16" s="5">
        <f t="shared" ref="C16" si="53">C17+35</f>
        <v>62831</v>
      </c>
      <c r="D16" s="5">
        <f>D17+99</f>
        <v>486027</v>
      </c>
      <c r="E16" s="5">
        <f>E17+30</f>
        <v>76762</v>
      </c>
      <c r="F16" s="8">
        <f t="shared" si="38"/>
        <v>625620</v>
      </c>
      <c r="G16" s="22">
        <f t="shared" si="39"/>
        <v>625520.91666666663</v>
      </c>
      <c r="H16" s="7">
        <f t="shared" si="40"/>
        <v>625541.54166666663</v>
      </c>
      <c r="I16" s="5">
        <f>I17+72</f>
        <v>214080</v>
      </c>
      <c r="J16" s="6">
        <f t="shared" si="41"/>
        <v>35</v>
      </c>
      <c r="K16" s="6">
        <f t="shared" si="41"/>
        <v>99</v>
      </c>
      <c r="L16" s="6">
        <f t="shared" si="41"/>
        <v>30</v>
      </c>
      <c r="M16" s="6">
        <f t="shared" si="42"/>
        <v>72</v>
      </c>
      <c r="N16" s="5">
        <f t="shared" si="24"/>
        <v>53.225806451612904</v>
      </c>
      <c r="O16" s="23">
        <f t="shared" si="43"/>
        <v>30</v>
      </c>
      <c r="P16" s="5">
        <f t="shared" si="44"/>
        <v>23.225806451612904</v>
      </c>
      <c r="Q16" s="5">
        <f t="shared" si="45"/>
        <v>20.625</v>
      </c>
      <c r="R16" s="7">
        <f t="shared" si="28"/>
        <v>322.58064516129031</v>
      </c>
      <c r="S16" s="6">
        <f t="shared" si="46"/>
        <v>164</v>
      </c>
      <c r="T16" s="7">
        <f t="shared" si="47"/>
        <v>158.58064516129031</v>
      </c>
      <c r="U16" s="7">
        <f t="shared" si="48"/>
        <v>1383.8709677419358</v>
      </c>
      <c r="V16" s="7">
        <f t="shared" si="48"/>
        <v>629</v>
      </c>
      <c r="W16" s="7">
        <f t="shared" si="49"/>
        <v>754.87096774193583</v>
      </c>
      <c r="X16" s="7">
        <f t="shared" si="50"/>
        <v>8387.0967741935528</v>
      </c>
      <c r="Y16" s="7">
        <f t="shared" si="50"/>
        <v>2769</v>
      </c>
      <c r="Z16" s="7">
        <f t="shared" si="51"/>
        <v>5618.0967741935528</v>
      </c>
      <c r="AA16" s="24">
        <f t="shared" si="52"/>
        <v>0.91564403019128437</v>
      </c>
      <c r="AB16" s="25"/>
    </row>
    <row r="17" spans="2:28" ht="18" x14ac:dyDescent="0.25">
      <c r="B17" s="3">
        <v>25</v>
      </c>
      <c r="C17" s="5">
        <f>C18+39</f>
        <v>62796</v>
      </c>
      <c r="D17" s="5">
        <f>D18+97</f>
        <v>485928</v>
      </c>
      <c r="E17" s="5">
        <f>E18+38</f>
        <v>76732</v>
      </c>
      <c r="F17" s="8">
        <f t="shared" si="38"/>
        <v>625456</v>
      </c>
      <c r="G17" s="22">
        <f t="shared" si="39"/>
        <v>625350.875</v>
      </c>
      <c r="H17" s="7">
        <f t="shared" si="40"/>
        <v>625371.08333333337</v>
      </c>
      <c r="I17" s="5">
        <f>I18+60</f>
        <v>214008</v>
      </c>
      <c r="J17" s="6">
        <f t="shared" si="41"/>
        <v>39</v>
      </c>
      <c r="K17" s="6">
        <f t="shared" si="41"/>
        <v>97</v>
      </c>
      <c r="L17" s="6">
        <f t="shared" si="41"/>
        <v>38</v>
      </c>
      <c r="M17" s="6">
        <f t="shared" si="42"/>
        <v>60</v>
      </c>
      <c r="N17" s="5">
        <f t="shared" si="24"/>
        <v>53.225806451612904</v>
      </c>
      <c r="O17" s="23">
        <f t="shared" si="43"/>
        <v>38</v>
      </c>
      <c r="P17" s="5">
        <f t="shared" si="44"/>
        <v>15.225806451612904</v>
      </c>
      <c r="Q17" s="5">
        <f t="shared" si="45"/>
        <v>20.208333333372138</v>
      </c>
      <c r="R17" s="7">
        <f t="shared" si="28"/>
        <v>322.58064516129031</v>
      </c>
      <c r="S17" s="6">
        <f t="shared" si="46"/>
        <v>174</v>
      </c>
      <c r="T17" s="7">
        <f t="shared" si="47"/>
        <v>148.58064516129031</v>
      </c>
      <c r="U17" s="7">
        <f t="shared" si="48"/>
        <v>1330.6451612903229</v>
      </c>
      <c r="V17" s="7">
        <f t="shared" si="48"/>
        <v>599</v>
      </c>
      <c r="W17" s="7">
        <f t="shared" si="49"/>
        <v>731.6451612903229</v>
      </c>
      <c r="X17" s="7">
        <f t="shared" si="50"/>
        <v>8064.5161290322621</v>
      </c>
      <c r="Y17" s="7">
        <f t="shared" si="50"/>
        <v>2605</v>
      </c>
      <c r="Z17" s="7">
        <f t="shared" si="51"/>
        <v>5459.5161290322621</v>
      </c>
      <c r="AA17" s="24">
        <f t="shared" si="52"/>
        <v>0.94537298162627215</v>
      </c>
      <c r="AB17" s="25"/>
    </row>
    <row r="18" spans="2:28" ht="18" x14ac:dyDescent="0.25">
      <c r="B18" s="3">
        <v>24</v>
      </c>
      <c r="C18" s="5">
        <f>C19+30</f>
        <v>62757</v>
      </c>
      <c r="D18" s="5">
        <f>D19+66</f>
        <v>485831</v>
      </c>
      <c r="E18" s="5">
        <f t="shared" ref="E18" si="54">E19+32</f>
        <v>76694</v>
      </c>
      <c r="F18" s="8">
        <f t="shared" si="38"/>
        <v>625282</v>
      </c>
      <c r="G18" s="22">
        <f t="shared" si="39"/>
        <v>625204.66666666663</v>
      </c>
      <c r="H18" s="7">
        <f t="shared" si="40"/>
        <v>625218.41666666663</v>
      </c>
      <c r="I18" s="5">
        <f>I19+57</f>
        <v>213948</v>
      </c>
      <c r="J18" s="6">
        <f t="shared" si="41"/>
        <v>30</v>
      </c>
      <c r="K18" s="6">
        <f t="shared" si="41"/>
        <v>66</v>
      </c>
      <c r="L18" s="6">
        <f t="shared" si="41"/>
        <v>32</v>
      </c>
      <c r="M18" s="6">
        <f t="shared" si="42"/>
        <v>57</v>
      </c>
      <c r="N18" s="5">
        <f t="shared" si="24"/>
        <v>53.225806451612904</v>
      </c>
      <c r="O18" s="23">
        <f t="shared" si="43"/>
        <v>32</v>
      </c>
      <c r="P18" s="5">
        <f t="shared" si="44"/>
        <v>21.225806451612904</v>
      </c>
      <c r="Q18" s="5">
        <f t="shared" si="45"/>
        <v>13.75</v>
      </c>
      <c r="R18" s="7">
        <f t="shared" si="28"/>
        <v>322.58064516129031</v>
      </c>
      <c r="S18" s="6">
        <f t="shared" si="46"/>
        <v>128</v>
      </c>
      <c r="T18" s="7">
        <f t="shared" si="47"/>
        <v>194.58064516129031</v>
      </c>
      <c r="U18" s="7">
        <f t="shared" si="48"/>
        <v>1277.41935483871</v>
      </c>
      <c r="V18" s="7">
        <f t="shared" si="48"/>
        <v>561</v>
      </c>
      <c r="W18" s="7">
        <f t="shared" si="49"/>
        <v>716.41935483870998</v>
      </c>
      <c r="X18" s="7">
        <f t="shared" si="50"/>
        <v>7741.9354838709714</v>
      </c>
      <c r="Y18" s="7">
        <f t="shared" si="50"/>
        <v>2431</v>
      </c>
      <c r="Z18" s="7">
        <f t="shared" si="51"/>
        <v>5310.9354838709714</v>
      </c>
      <c r="AA18" s="24">
        <f t="shared" si="52"/>
        <v>0.91351700554023374</v>
      </c>
      <c r="AB18" s="25"/>
    </row>
    <row r="19" spans="2:28" ht="18" x14ac:dyDescent="0.25">
      <c r="B19" s="3">
        <v>23</v>
      </c>
      <c r="C19" s="5">
        <f>C20+29</f>
        <v>62727</v>
      </c>
      <c r="D19" s="5">
        <f>D20+58</f>
        <v>485765</v>
      </c>
      <c r="E19" s="5">
        <f>E20+29</f>
        <v>76662</v>
      </c>
      <c r="F19" s="8">
        <f t="shared" si="38"/>
        <v>625154</v>
      </c>
      <c r="G19" s="22">
        <f t="shared" si="39"/>
        <v>625083.91666666663</v>
      </c>
      <c r="H19" s="7">
        <f t="shared" si="40"/>
        <v>625096</v>
      </c>
      <c r="I19" s="5">
        <f>I20+51</f>
        <v>213891</v>
      </c>
      <c r="J19" s="6">
        <f t="shared" si="41"/>
        <v>29</v>
      </c>
      <c r="K19" s="6">
        <f t="shared" si="41"/>
        <v>58</v>
      </c>
      <c r="L19" s="6">
        <f t="shared" si="41"/>
        <v>29</v>
      </c>
      <c r="M19" s="6">
        <f t="shared" si="42"/>
        <v>51</v>
      </c>
      <c r="N19" s="5">
        <f t="shared" si="24"/>
        <v>53.225806451612904</v>
      </c>
      <c r="O19" s="3">
        <f t="shared" si="43"/>
        <v>29</v>
      </c>
      <c r="P19" s="5">
        <f t="shared" si="44"/>
        <v>24.225806451612904</v>
      </c>
      <c r="Q19" s="5">
        <f t="shared" si="45"/>
        <v>12.083333333372138</v>
      </c>
      <c r="R19" s="7">
        <f t="shared" si="28"/>
        <v>322.58064516129031</v>
      </c>
      <c r="S19" s="6">
        <f t="shared" si="46"/>
        <v>116</v>
      </c>
      <c r="T19" s="7">
        <f t="shared" si="47"/>
        <v>206.58064516129031</v>
      </c>
      <c r="U19" s="7">
        <f t="shared" si="48"/>
        <v>1224.1935483870971</v>
      </c>
      <c r="V19" s="7">
        <f t="shared" si="48"/>
        <v>529</v>
      </c>
      <c r="W19" s="7">
        <f t="shared" si="49"/>
        <v>695.19354838709705</v>
      </c>
      <c r="X19" s="7">
        <f t="shared" si="50"/>
        <v>7419.3548387096807</v>
      </c>
      <c r="Y19" s="7">
        <f t="shared" si="50"/>
        <v>2303</v>
      </c>
      <c r="Z19" s="7">
        <f t="shared" si="51"/>
        <v>5116.3548387096807</v>
      </c>
      <c r="AA19" s="24">
        <f t="shared" si="52"/>
        <v>0.91543135902337891</v>
      </c>
      <c r="AB19" s="1"/>
    </row>
    <row r="20" spans="2:28" ht="18" x14ac:dyDescent="0.25">
      <c r="B20" s="3">
        <v>22</v>
      </c>
      <c r="C20" s="5">
        <v>62698</v>
      </c>
      <c r="D20" s="5">
        <v>485707</v>
      </c>
      <c r="E20" s="5">
        <v>76633</v>
      </c>
      <c r="F20" s="8">
        <f t="shared" si="38"/>
        <v>625038</v>
      </c>
      <c r="G20" s="22">
        <f t="shared" si="39"/>
        <v>624987.85416666663</v>
      </c>
      <c r="H20" s="7">
        <f t="shared" si="40"/>
        <v>624997.02083333326</v>
      </c>
      <c r="I20" s="5">
        <v>213840</v>
      </c>
      <c r="J20" s="6">
        <f t="shared" si="41"/>
        <v>22</v>
      </c>
      <c r="K20" s="6">
        <f t="shared" si="41"/>
        <v>44</v>
      </c>
      <c r="L20" s="6">
        <f t="shared" si="41"/>
        <v>17</v>
      </c>
      <c r="M20" s="6">
        <f t="shared" si="42"/>
        <v>32</v>
      </c>
      <c r="N20" s="5">
        <f t="shared" si="24"/>
        <v>53.225806451612904</v>
      </c>
      <c r="O20" s="3">
        <f t="shared" si="43"/>
        <v>17</v>
      </c>
      <c r="P20" s="5">
        <f t="shared" si="44"/>
        <v>36.225806451612904</v>
      </c>
      <c r="Q20" s="5">
        <f t="shared" si="45"/>
        <v>9.1666666666278616</v>
      </c>
      <c r="R20" s="7">
        <f t="shared" si="28"/>
        <v>322.58064516129031</v>
      </c>
      <c r="S20" s="6">
        <f t="shared" si="46"/>
        <v>83</v>
      </c>
      <c r="T20" s="7">
        <f t="shared" si="47"/>
        <v>239.58064516129031</v>
      </c>
      <c r="U20" s="7">
        <f t="shared" si="48"/>
        <v>1170.9677419354841</v>
      </c>
      <c r="V20" s="7">
        <f t="shared" si="48"/>
        <v>500</v>
      </c>
      <c r="W20" s="7">
        <f t="shared" si="49"/>
        <v>670.96774193548413</v>
      </c>
      <c r="X20" s="7">
        <f t="shared" si="50"/>
        <v>7096.77419354839</v>
      </c>
      <c r="Y20" s="7">
        <f t="shared" si="50"/>
        <v>2187</v>
      </c>
      <c r="Z20" s="7">
        <f t="shared" si="51"/>
        <v>4909.77419354839</v>
      </c>
      <c r="AA20" s="24">
        <f t="shared" si="52"/>
        <v>0.93305556938708711</v>
      </c>
      <c r="AB20" s="1"/>
    </row>
    <row r="21" spans="2:28" ht="18" x14ac:dyDescent="0.25">
      <c r="B21" s="3">
        <v>21</v>
      </c>
      <c r="C21" s="5">
        <f>C22+21</f>
        <v>62676</v>
      </c>
      <c r="D21" s="5">
        <f t="shared" ref="D21" si="55">D22+36</f>
        <v>485663</v>
      </c>
      <c r="E21" s="5">
        <f t="shared" ref="E21" si="56">E22+20</f>
        <v>76616</v>
      </c>
      <c r="F21" s="8">
        <f t="shared" si="38"/>
        <v>624955</v>
      </c>
      <c r="G21" s="22">
        <f t="shared" si="39"/>
        <v>624908.47916666663</v>
      </c>
      <c r="H21" s="7">
        <f t="shared" si="40"/>
        <v>624915.97916666663</v>
      </c>
      <c r="I21" s="5">
        <f>I22+21</f>
        <v>213808</v>
      </c>
      <c r="J21" s="6">
        <f t="shared" si="41"/>
        <v>21</v>
      </c>
      <c r="K21" s="6">
        <f t="shared" si="41"/>
        <v>36</v>
      </c>
      <c r="L21" s="6">
        <f t="shared" si="41"/>
        <v>20</v>
      </c>
      <c r="M21" s="6">
        <f t="shared" si="42"/>
        <v>21</v>
      </c>
      <c r="N21" s="5">
        <f t="shared" si="24"/>
        <v>53.225806451612904</v>
      </c>
      <c r="O21" s="3">
        <f t="shared" si="43"/>
        <v>20</v>
      </c>
      <c r="P21" s="5">
        <f t="shared" si="44"/>
        <v>33.225806451612904</v>
      </c>
      <c r="Q21" s="5">
        <f t="shared" si="45"/>
        <v>7.5</v>
      </c>
      <c r="R21" s="7">
        <f t="shared" si="28"/>
        <v>322.58064516129031</v>
      </c>
      <c r="S21" s="6">
        <f t="shared" si="46"/>
        <v>77</v>
      </c>
      <c r="T21" s="7">
        <f t="shared" si="47"/>
        <v>245.58064516129031</v>
      </c>
      <c r="U21" s="7">
        <f t="shared" si="48"/>
        <v>1117.7419354838712</v>
      </c>
      <c r="V21" s="7">
        <f t="shared" si="48"/>
        <v>483</v>
      </c>
      <c r="W21" s="7">
        <f t="shared" si="49"/>
        <v>634.7419354838712</v>
      </c>
      <c r="X21" s="7">
        <f t="shared" si="50"/>
        <v>6774.1935483870993</v>
      </c>
      <c r="Y21" s="7">
        <f t="shared" si="50"/>
        <v>2104</v>
      </c>
      <c r="Z21" s="7">
        <f t="shared" si="51"/>
        <v>4670.1935483870993</v>
      </c>
      <c r="AA21" s="24">
        <f t="shared" si="52"/>
        <v>0.96476382123773219</v>
      </c>
      <c r="AB21" s="1"/>
    </row>
    <row r="22" spans="2:28" ht="18" x14ac:dyDescent="0.25">
      <c r="B22" s="3">
        <v>20</v>
      </c>
      <c r="C22" s="5">
        <f>C23+20</f>
        <v>62655</v>
      </c>
      <c r="D22" s="5">
        <f>D23+33</f>
        <v>485627</v>
      </c>
      <c r="E22" s="5">
        <f>E23+18</f>
        <v>76596</v>
      </c>
      <c r="F22" s="8">
        <f t="shared" si="38"/>
        <v>624878</v>
      </c>
      <c r="G22" s="22">
        <f t="shared" si="39"/>
        <v>624835.10416666663</v>
      </c>
      <c r="H22" s="7">
        <f t="shared" si="40"/>
        <v>624841.97916666663</v>
      </c>
      <c r="I22" s="5">
        <f>I23+29</f>
        <v>213787</v>
      </c>
      <c r="J22" s="6">
        <f t="shared" si="41"/>
        <v>20</v>
      </c>
      <c r="K22" s="6">
        <f t="shared" si="41"/>
        <v>33</v>
      </c>
      <c r="L22" s="6">
        <f t="shared" si="41"/>
        <v>18</v>
      </c>
      <c r="M22" s="6">
        <f t="shared" si="42"/>
        <v>29</v>
      </c>
      <c r="N22" s="5">
        <f t="shared" si="24"/>
        <v>53.225806451612904</v>
      </c>
      <c r="O22" s="3">
        <f t="shared" si="43"/>
        <v>18</v>
      </c>
      <c r="P22" s="5">
        <f t="shared" si="44"/>
        <v>35.225806451612904</v>
      </c>
      <c r="Q22" s="5">
        <f t="shared" si="45"/>
        <v>6.875</v>
      </c>
      <c r="R22" s="7">
        <f t="shared" si="28"/>
        <v>322.58064516129031</v>
      </c>
      <c r="S22" s="6">
        <f t="shared" si="46"/>
        <v>71</v>
      </c>
      <c r="T22" s="7">
        <f t="shared" si="47"/>
        <v>251.58064516129031</v>
      </c>
      <c r="U22" s="7">
        <f t="shared" si="48"/>
        <v>1064.5161290322583</v>
      </c>
      <c r="V22" s="7">
        <f t="shared" si="48"/>
        <v>463</v>
      </c>
      <c r="W22" s="7">
        <f t="shared" si="49"/>
        <v>601.51612903225828</v>
      </c>
      <c r="X22" s="7">
        <f t="shared" si="50"/>
        <v>6451.6129032258086</v>
      </c>
      <c r="Y22" s="7">
        <f t="shared" si="50"/>
        <v>2027</v>
      </c>
      <c r="Z22" s="7">
        <f t="shared" si="51"/>
        <v>4424.6129032258086</v>
      </c>
      <c r="AA22" s="24">
        <f t="shared" si="52"/>
        <v>0.92575451459081592</v>
      </c>
      <c r="AB22" s="1"/>
    </row>
    <row r="23" spans="2:28" ht="18" x14ac:dyDescent="0.25">
      <c r="B23" s="3">
        <v>19</v>
      </c>
      <c r="C23" s="5">
        <f>C24+18</f>
        <v>62635</v>
      </c>
      <c r="D23" s="5">
        <f>D24+34</f>
        <v>485594</v>
      </c>
      <c r="E23" s="5">
        <f>E24+16</f>
        <v>76578</v>
      </c>
      <c r="F23" s="8">
        <f t="shared" si="38"/>
        <v>624807</v>
      </c>
      <c r="G23" s="22">
        <f t="shared" si="39"/>
        <v>624765.91666666663</v>
      </c>
      <c r="H23" s="7">
        <f t="shared" si="40"/>
        <v>624773</v>
      </c>
      <c r="I23" s="5">
        <f>I24+26</f>
        <v>213758</v>
      </c>
      <c r="J23" s="6">
        <f t="shared" si="41"/>
        <v>18</v>
      </c>
      <c r="K23" s="6">
        <f t="shared" si="41"/>
        <v>34</v>
      </c>
      <c r="L23" s="6">
        <f t="shared" si="41"/>
        <v>16</v>
      </c>
      <c r="M23" s="6">
        <f t="shared" si="42"/>
        <v>26</v>
      </c>
      <c r="N23" s="5">
        <f t="shared" si="24"/>
        <v>53.225806451612904</v>
      </c>
      <c r="O23" s="3">
        <f t="shared" si="43"/>
        <v>16</v>
      </c>
      <c r="P23" s="5">
        <f t="shared" si="44"/>
        <v>37.225806451612904</v>
      </c>
      <c r="Q23" s="5">
        <f t="shared" si="45"/>
        <v>7.0833333333721384</v>
      </c>
      <c r="R23" s="7">
        <f t="shared" si="28"/>
        <v>322.58064516129031</v>
      </c>
      <c r="S23" s="6">
        <f t="shared" si="46"/>
        <v>68</v>
      </c>
      <c r="T23" s="7">
        <f t="shared" si="47"/>
        <v>254.58064516129031</v>
      </c>
      <c r="U23" s="7">
        <f t="shared" si="48"/>
        <v>1011.2903225806455</v>
      </c>
      <c r="V23" s="7">
        <f t="shared" si="48"/>
        <v>445</v>
      </c>
      <c r="W23" s="7">
        <f t="shared" si="49"/>
        <v>566.29032258064547</v>
      </c>
      <c r="X23" s="7">
        <f t="shared" si="50"/>
        <v>6129.0322580645179</v>
      </c>
      <c r="Y23" s="7">
        <f t="shared" si="50"/>
        <v>1956</v>
      </c>
      <c r="Z23" s="7">
        <f t="shared" si="51"/>
        <v>4173.0322580645179</v>
      </c>
      <c r="AA23" s="24">
        <f t="shared" si="52"/>
        <v>0.93405183485108534</v>
      </c>
      <c r="AB23" s="1"/>
    </row>
    <row r="24" spans="2:28" ht="18" x14ac:dyDescent="0.25">
      <c r="B24" s="3">
        <v>18</v>
      </c>
      <c r="C24" s="5">
        <f>C25+15</f>
        <v>62617</v>
      </c>
      <c r="D24" s="5">
        <f>D25+30</f>
        <v>485560</v>
      </c>
      <c r="E24" s="5">
        <f>E25+22</f>
        <v>76562</v>
      </c>
      <c r="F24" s="9">
        <f>C24+D24+E24</f>
        <v>624739</v>
      </c>
      <c r="G24" s="22">
        <f t="shared" si="39"/>
        <v>624698.52083333337</v>
      </c>
      <c r="H24" s="7">
        <f t="shared" si="40"/>
        <v>624704.77083333337</v>
      </c>
      <c r="I24" s="5">
        <f>I25+29</f>
        <v>213732</v>
      </c>
      <c r="J24" s="6">
        <f t="shared" si="41"/>
        <v>15</v>
      </c>
      <c r="K24" s="6">
        <f t="shared" si="41"/>
        <v>30</v>
      </c>
      <c r="L24" s="6">
        <f t="shared" si="41"/>
        <v>22</v>
      </c>
      <c r="M24" s="6">
        <f t="shared" si="42"/>
        <v>29</v>
      </c>
      <c r="N24" s="5">
        <f t="shared" si="24"/>
        <v>53.225806451612904</v>
      </c>
      <c r="O24" s="3">
        <f t="shared" si="43"/>
        <v>22</v>
      </c>
      <c r="P24" s="5">
        <f t="shared" si="44"/>
        <v>31.225806451612904</v>
      </c>
      <c r="Q24" s="5">
        <f t="shared" si="45"/>
        <v>6.25</v>
      </c>
      <c r="R24" s="7">
        <f t="shared" si="28"/>
        <v>322.58064516129031</v>
      </c>
      <c r="S24" s="6">
        <f t="shared" si="46"/>
        <v>67</v>
      </c>
      <c r="T24" s="7">
        <f t="shared" si="47"/>
        <v>255.58064516129031</v>
      </c>
      <c r="U24" s="7">
        <f t="shared" si="48"/>
        <v>958.06451612903254</v>
      </c>
      <c r="V24" s="7">
        <f t="shared" si="48"/>
        <v>429</v>
      </c>
      <c r="W24" s="7">
        <f t="shared" si="49"/>
        <v>529.06451612903254</v>
      </c>
      <c r="X24" s="7">
        <f t="shared" si="50"/>
        <v>5806.4516129032272</v>
      </c>
      <c r="Y24" s="7">
        <f t="shared" si="50"/>
        <v>1888</v>
      </c>
      <c r="Z24" s="7">
        <f t="shared" si="51"/>
        <v>3918.4516129032272</v>
      </c>
      <c r="AA24" s="24">
        <f t="shared" si="52"/>
        <v>0.91772211680731453</v>
      </c>
      <c r="AB24" s="1"/>
    </row>
    <row r="25" spans="2:28" ht="18" x14ac:dyDescent="0.25">
      <c r="B25" s="3">
        <v>17</v>
      </c>
      <c r="C25" s="5">
        <f>C26+17</f>
        <v>62602</v>
      </c>
      <c r="D25" s="5">
        <f>D26+33</f>
        <v>485530</v>
      </c>
      <c r="E25" s="5">
        <f>E26+27</f>
        <v>76540</v>
      </c>
      <c r="F25" s="8">
        <f t="shared" si="38"/>
        <v>624672</v>
      </c>
      <c r="G25" s="22">
        <f t="shared" si="39"/>
        <v>624625.47916666663</v>
      </c>
      <c r="H25" s="7">
        <f t="shared" si="40"/>
        <v>624632.35416666663</v>
      </c>
      <c r="I25" s="5">
        <f>I26+25</f>
        <v>213703</v>
      </c>
      <c r="J25" s="6">
        <f t="shared" si="41"/>
        <v>17</v>
      </c>
      <c r="K25" s="6">
        <f t="shared" si="41"/>
        <v>33</v>
      </c>
      <c r="L25" s="6">
        <f t="shared" si="41"/>
        <v>27</v>
      </c>
      <c r="M25" s="7">
        <f t="shared" si="42"/>
        <v>25</v>
      </c>
      <c r="N25" s="5">
        <f t="shared" si="24"/>
        <v>53.225806451612904</v>
      </c>
      <c r="O25" s="3">
        <f t="shared" si="43"/>
        <v>27</v>
      </c>
      <c r="P25" s="5">
        <f t="shared" si="44"/>
        <v>26.225806451612904</v>
      </c>
      <c r="Q25" s="5">
        <f t="shared" si="45"/>
        <v>6.875</v>
      </c>
      <c r="R25" s="7">
        <f t="shared" si="28"/>
        <v>322.58064516129031</v>
      </c>
      <c r="S25" s="6">
        <f t="shared" si="46"/>
        <v>77</v>
      </c>
      <c r="T25" s="7">
        <f t="shared" si="47"/>
        <v>245.58064516129031</v>
      </c>
      <c r="U25" s="7">
        <f t="shared" si="48"/>
        <v>904.83870967741962</v>
      </c>
      <c r="V25" s="6">
        <f t="shared" si="48"/>
        <v>407</v>
      </c>
      <c r="W25" s="7">
        <f t="shared" si="49"/>
        <v>497.83870967741962</v>
      </c>
      <c r="X25" s="7">
        <f t="shared" si="50"/>
        <v>5483.8709677419365</v>
      </c>
      <c r="Y25" s="7">
        <f t="shared" si="50"/>
        <v>1821</v>
      </c>
      <c r="Z25" s="7">
        <f t="shared" si="51"/>
        <v>3662.8709677419365</v>
      </c>
      <c r="AA25" s="24">
        <f t="shared" si="52"/>
        <v>0.95112480188996051</v>
      </c>
      <c r="AB25" s="1"/>
    </row>
    <row r="26" spans="2:28" ht="18" x14ac:dyDescent="0.25">
      <c r="B26" s="3">
        <v>16</v>
      </c>
      <c r="C26" s="5">
        <f>C27+21</f>
        <v>62585</v>
      </c>
      <c r="D26" s="5">
        <f>D27+35</f>
        <v>485497</v>
      </c>
      <c r="E26" s="5">
        <f>E27+23</f>
        <v>76513</v>
      </c>
      <c r="F26" s="8">
        <f t="shared" si="38"/>
        <v>624595</v>
      </c>
      <c r="G26" s="22">
        <f t="shared" si="39"/>
        <v>624547.27083333337</v>
      </c>
      <c r="H26" s="7">
        <f t="shared" si="40"/>
        <v>624554.5625</v>
      </c>
      <c r="I26" s="5">
        <f t="shared" ref="I26" si="57">I27+27</f>
        <v>213678</v>
      </c>
      <c r="J26" s="6">
        <f t="shared" si="41"/>
        <v>21</v>
      </c>
      <c r="K26" s="6">
        <f t="shared" si="41"/>
        <v>35</v>
      </c>
      <c r="L26" s="6">
        <f t="shared" si="41"/>
        <v>23</v>
      </c>
      <c r="M26" s="7">
        <f t="shared" si="42"/>
        <v>27</v>
      </c>
      <c r="N26" s="5">
        <f t="shared" si="24"/>
        <v>53.225806451612904</v>
      </c>
      <c r="O26" s="3">
        <f t="shared" si="43"/>
        <v>23</v>
      </c>
      <c r="P26" s="5">
        <f t="shared" si="44"/>
        <v>30.225806451612904</v>
      </c>
      <c r="Q26" s="5">
        <f t="shared" si="45"/>
        <v>7.2916666666278616</v>
      </c>
      <c r="R26" s="7">
        <f t="shared" si="28"/>
        <v>322.58064516129031</v>
      </c>
      <c r="S26" s="6">
        <f t="shared" si="46"/>
        <v>79</v>
      </c>
      <c r="T26" s="7">
        <f t="shared" si="47"/>
        <v>243.58064516129031</v>
      </c>
      <c r="U26" s="7">
        <f t="shared" si="48"/>
        <v>851.61290322580669</v>
      </c>
      <c r="V26" s="6">
        <f t="shared" si="48"/>
        <v>380</v>
      </c>
      <c r="W26" s="7">
        <f t="shared" si="49"/>
        <v>471.61290322580669</v>
      </c>
      <c r="X26" s="7">
        <f t="shared" si="50"/>
        <v>5161.2903225806458</v>
      </c>
      <c r="Y26" s="7">
        <f t="shared" si="50"/>
        <v>1744</v>
      </c>
      <c r="Z26" s="7">
        <f t="shared" si="51"/>
        <v>3417.2903225806458</v>
      </c>
      <c r="AA26" s="24">
        <f t="shared" si="52"/>
        <v>0.94626047960665838</v>
      </c>
      <c r="AB26" s="1"/>
    </row>
    <row r="27" spans="2:28" ht="18" x14ac:dyDescent="0.25">
      <c r="B27" s="3">
        <v>15</v>
      </c>
      <c r="C27" s="5">
        <f>C28+19</f>
        <v>62564</v>
      </c>
      <c r="D27" s="5">
        <f>D28+41</f>
        <v>485462</v>
      </c>
      <c r="E27" s="5">
        <f>E28+20</f>
        <v>76490</v>
      </c>
      <c r="F27" s="8">
        <f t="shared" si="38"/>
        <v>624516</v>
      </c>
      <c r="G27" s="22">
        <f t="shared" si="39"/>
        <v>624467.66666666663</v>
      </c>
      <c r="H27" s="7">
        <f t="shared" si="40"/>
        <v>624476.20833333326</v>
      </c>
      <c r="I27" s="5">
        <f>I28+31</f>
        <v>213651</v>
      </c>
      <c r="J27" s="6">
        <f t="shared" si="41"/>
        <v>19</v>
      </c>
      <c r="K27" s="6">
        <f t="shared" si="41"/>
        <v>41</v>
      </c>
      <c r="L27" s="6">
        <f t="shared" si="41"/>
        <v>20</v>
      </c>
      <c r="M27" s="7">
        <f t="shared" si="42"/>
        <v>31</v>
      </c>
      <c r="N27" s="5">
        <f t="shared" si="24"/>
        <v>53.225806451612904</v>
      </c>
      <c r="O27" s="3">
        <f t="shared" si="43"/>
        <v>20</v>
      </c>
      <c r="P27" s="5">
        <f t="shared" si="44"/>
        <v>33.225806451612904</v>
      </c>
      <c r="Q27" s="5">
        <f t="shared" si="45"/>
        <v>8.5416666666278616</v>
      </c>
      <c r="R27" s="7">
        <f t="shared" si="28"/>
        <v>322.58064516129031</v>
      </c>
      <c r="S27" s="6">
        <f t="shared" si="46"/>
        <v>80</v>
      </c>
      <c r="T27" s="7">
        <f t="shared" si="47"/>
        <v>242.58064516129031</v>
      </c>
      <c r="U27" s="7">
        <f t="shared" si="48"/>
        <v>798.38709677419376</v>
      </c>
      <c r="V27" s="6">
        <f t="shared" si="48"/>
        <v>357</v>
      </c>
      <c r="W27" s="7">
        <f t="shared" si="49"/>
        <v>441.38709677419376</v>
      </c>
      <c r="X27" s="7">
        <f t="shared" si="50"/>
        <v>4838.7096774193551</v>
      </c>
      <c r="Y27" s="7">
        <f t="shared" si="50"/>
        <v>1665</v>
      </c>
      <c r="Z27" s="7">
        <f t="shared" si="51"/>
        <v>3173.7096774193551</v>
      </c>
      <c r="AA27" s="24">
        <f t="shared" si="52"/>
        <v>0.93244146518360649</v>
      </c>
      <c r="AB27" s="1"/>
    </row>
    <row r="28" spans="2:28" ht="18" x14ac:dyDescent="0.25">
      <c r="B28" s="3">
        <v>14</v>
      </c>
      <c r="C28" s="5">
        <f>C29+23</f>
        <v>62545</v>
      </c>
      <c r="D28" s="5">
        <f>D29+99</f>
        <v>485421</v>
      </c>
      <c r="E28" s="5">
        <f>E29+27</f>
        <v>76470</v>
      </c>
      <c r="F28" s="8">
        <f t="shared" si="38"/>
        <v>624436</v>
      </c>
      <c r="G28" s="22">
        <f t="shared" si="39"/>
        <v>624345.97916666663</v>
      </c>
      <c r="H28" s="7">
        <f t="shared" si="40"/>
        <v>624366.60416666663</v>
      </c>
      <c r="I28" s="5">
        <f>I29+49</f>
        <v>213620</v>
      </c>
      <c r="J28" s="6">
        <f t="shared" si="41"/>
        <v>23</v>
      </c>
      <c r="K28" s="6">
        <f t="shared" si="41"/>
        <v>99</v>
      </c>
      <c r="L28" s="6">
        <f t="shared" si="41"/>
        <v>27</v>
      </c>
      <c r="M28" s="7">
        <f t="shared" si="42"/>
        <v>49</v>
      </c>
      <c r="N28" s="5">
        <f t="shared" si="24"/>
        <v>53.225806451612904</v>
      </c>
      <c r="O28" s="3">
        <f t="shared" si="43"/>
        <v>27</v>
      </c>
      <c r="P28" s="5">
        <f t="shared" si="44"/>
        <v>26.225806451612904</v>
      </c>
      <c r="Q28" s="5">
        <f t="shared" si="45"/>
        <v>20.625</v>
      </c>
      <c r="R28" s="7">
        <f t="shared" si="28"/>
        <v>322.58064516129031</v>
      </c>
      <c r="S28" s="6">
        <f t="shared" si="46"/>
        <v>149</v>
      </c>
      <c r="T28" s="7">
        <f t="shared" si="47"/>
        <v>173.58064516129031</v>
      </c>
      <c r="U28" s="7">
        <f t="shared" si="48"/>
        <v>745.16129032258084</v>
      </c>
      <c r="V28" s="6">
        <f t="shared" si="48"/>
        <v>337</v>
      </c>
      <c r="W28" s="7">
        <f t="shared" si="49"/>
        <v>408.16129032258084</v>
      </c>
      <c r="X28" s="7">
        <f t="shared" si="50"/>
        <v>4516.1290322580644</v>
      </c>
      <c r="Y28" s="7">
        <f t="shared" si="50"/>
        <v>1585</v>
      </c>
      <c r="Z28" s="7">
        <f t="shared" si="51"/>
        <v>2931.1290322580644</v>
      </c>
      <c r="AA28" s="24">
        <f t="shared" si="52"/>
        <v>0.94995068736761745</v>
      </c>
      <c r="AB28" s="1"/>
    </row>
    <row r="29" spans="2:28" ht="18" x14ac:dyDescent="0.25">
      <c r="B29" s="3">
        <v>13</v>
      </c>
      <c r="C29" s="5">
        <v>62522</v>
      </c>
      <c r="D29" s="5">
        <v>485322</v>
      </c>
      <c r="E29" s="5">
        <v>76443</v>
      </c>
      <c r="F29" s="8">
        <f t="shared" si="38"/>
        <v>624287</v>
      </c>
      <c r="G29" s="22">
        <f t="shared" si="39"/>
        <v>624198.79166666663</v>
      </c>
      <c r="H29" s="7">
        <f t="shared" si="40"/>
        <v>624219</v>
      </c>
      <c r="I29" s="5">
        <v>213571</v>
      </c>
      <c r="J29" s="6">
        <f t="shared" si="41"/>
        <v>21</v>
      </c>
      <c r="K29" s="6">
        <f t="shared" si="41"/>
        <v>97</v>
      </c>
      <c r="L29" s="6">
        <f t="shared" si="41"/>
        <v>28</v>
      </c>
      <c r="M29" s="6">
        <f t="shared" si="42"/>
        <v>50</v>
      </c>
      <c r="N29" s="5">
        <f t="shared" si="24"/>
        <v>53.225806451612904</v>
      </c>
      <c r="O29" s="3">
        <f t="shared" si="43"/>
        <v>28</v>
      </c>
      <c r="P29" s="5">
        <f t="shared" si="44"/>
        <v>25.225806451612904</v>
      </c>
      <c r="Q29" s="5">
        <f t="shared" si="45"/>
        <v>20.208333333372138</v>
      </c>
      <c r="R29" s="7">
        <f t="shared" si="28"/>
        <v>322.58064516129031</v>
      </c>
      <c r="S29" s="6">
        <f t="shared" si="46"/>
        <v>146</v>
      </c>
      <c r="T29" s="7">
        <f t="shared" si="47"/>
        <v>176.58064516129031</v>
      </c>
      <c r="U29" s="7">
        <f t="shared" si="48"/>
        <v>691.93548387096791</v>
      </c>
      <c r="V29" s="6">
        <f t="shared" si="48"/>
        <v>310</v>
      </c>
      <c r="W29" s="7">
        <f t="shared" si="49"/>
        <v>381.93548387096791</v>
      </c>
      <c r="X29" s="7">
        <f t="shared" si="50"/>
        <v>4193.5483870967737</v>
      </c>
      <c r="Y29" s="7">
        <f t="shared" si="50"/>
        <v>1436</v>
      </c>
      <c r="Z29" s="7">
        <f t="shared" si="51"/>
        <v>2757.5483870967737</v>
      </c>
      <c r="AA29" s="24">
        <f t="shared" si="52"/>
        <v>0.94605948662533501</v>
      </c>
      <c r="AB29" s="1"/>
    </row>
    <row r="30" spans="2:28" ht="18" x14ac:dyDescent="0.25">
      <c r="B30" s="3">
        <v>12</v>
      </c>
      <c r="C30" s="5">
        <f>C31+18</f>
        <v>62501</v>
      </c>
      <c r="D30" s="5">
        <f>D31+102</f>
        <v>485225</v>
      </c>
      <c r="E30" s="5">
        <f t="shared" ref="E30" si="58">E31+30</f>
        <v>76415</v>
      </c>
      <c r="F30" s="8">
        <f t="shared" si="38"/>
        <v>624141</v>
      </c>
      <c r="G30" s="22">
        <f t="shared" si="39"/>
        <v>624050.375</v>
      </c>
      <c r="H30" s="7">
        <f t="shared" si="40"/>
        <v>624071.625</v>
      </c>
      <c r="I30" s="5">
        <f>I31+53</f>
        <v>213521</v>
      </c>
      <c r="J30" s="6">
        <f t="shared" si="41"/>
        <v>18</v>
      </c>
      <c r="K30" s="6">
        <f t="shared" si="41"/>
        <v>102</v>
      </c>
      <c r="L30" s="6">
        <f t="shared" si="41"/>
        <v>30</v>
      </c>
      <c r="M30" s="6">
        <f t="shared" si="42"/>
        <v>53</v>
      </c>
      <c r="N30" s="5">
        <f t="shared" si="24"/>
        <v>53.225806451612904</v>
      </c>
      <c r="O30" s="3">
        <f t="shared" si="43"/>
        <v>30</v>
      </c>
      <c r="P30" s="5">
        <f t="shared" si="44"/>
        <v>23.225806451612904</v>
      </c>
      <c r="Q30" s="5">
        <f t="shared" si="45"/>
        <v>21.25</v>
      </c>
      <c r="R30" s="7">
        <f t="shared" si="28"/>
        <v>322.58064516129031</v>
      </c>
      <c r="S30" s="6">
        <f t="shared" si="46"/>
        <v>150</v>
      </c>
      <c r="T30" s="7">
        <f t="shared" si="47"/>
        <v>172.58064516129031</v>
      </c>
      <c r="U30" s="7">
        <f t="shared" si="48"/>
        <v>638.70967741935499</v>
      </c>
      <c r="V30" s="6">
        <f t="shared" si="48"/>
        <v>282</v>
      </c>
      <c r="W30" s="7">
        <f t="shared" si="49"/>
        <v>356.70967741935499</v>
      </c>
      <c r="X30" s="7">
        <f t="shared" si="50"/>
        <v>3870.9677419354834</v>
      </c>
      <c r="Y30" s="7">
        <f t="shared" si="50"/>
        <v>1290</v>
      </c>
      <c r="Z30" s="7">
        <f t="shared" si="51"/>
        <v>2580.9677419354834</v>
      </c>
      <c r="AA30" s="24">
        <f t="shared" si="52"/>
        <v>0.94287423020210759</v>
      </c>
      <c r="AB30" s="1"/>
    </row>
    <row r="31" spans="2:28" ht="18" x14ac:dyDescent="0.25">
      <c r="B31" s="3">
        <v>11</v>
      </c>
      <c r="C31" s="5">
        <f>C32+15</f>
        <v>62483</v>
      </c>
      <c r="D31" s="5">
        <f>D32+90</f>
        <v>485123</v>
      </c>
      <c r="E31" s="5">
        <f>E32+31</f>
        <v>76385</v>
      </c>
      <c r="F31" s="8">
        <f t="shared" si="38"/>
        <v>623991</v>
      </c>
      <c r="G31" s="22">
        <f t="shared" si="39"/>
        <v>623908.83333333337</v>
      </c>
      <c r="H31" s="7">
        <f t="shared" si="40"/>
        <v>623927.58333333337</v>
      </c>
      <c r="I31" s="5">
        <f>I32+51</f>
        <v>213468</v>
      </c>
      <c r="J31" s="6">
        <f t="shared" si="41"/>
        <v>15</v>
      </c>
      <c r="K31" s="6">
        <f t="shared" si="41"/>
        <v>90</v>
      </c>
      <c r="L31" s="6">
        <f t="shared" si="41"/>
        <v>31</v>
      </c>
      <c r="M31" s="6">
        <f t="shared" si="42"/>
        <v>51</v>
      </c>
      <c r="N31" s="5">
        <f t="shared" si="24"/>
        <v>53.225806451612904</v>
      </c>
      <c r="O31" s="3">
        <f t="shared" si="43"/>
        <v>31</v>
      </c>
      <c r="P31" s="5">
        <f t="shared" si="44"/>
        <v>22.225806451612904</v>
      </c>
      <c r="Q31" s="5">
        <f t="shared" si="45"/>
        <v>18.75</v>
      </c>
      <c r="R31" s="7">
        <f t="shared" si="28"/>
        <v>322.58064516129031</v>
      </c>
      <c r="S31" s="6">
        <f t="shared" si="46"/>
        <v>136</v>
      </c>
      <c r="T31" s="7">
        <f t="shared" si="47"/>
        <v>186.58064516129031</v>
      </c>
      <c r="U31" s="7">
        <f t="shared" si="48"/>
        <v>585.48387096774206</v>
      </c>
      <c r="V31" s="6">
        <f t="shared" si="48"/>
        <v>252</v>
      </c>
      <c r="W31" s="7">
        <f t="shared" si="49"/>
        <v>333.48387096774206</v>
      </c>
      <c r="X31" s="7">
        <f t="shared" si="50"/>
        <v>3548.3870967741932</v>
      </c>
      <c r="Y31" s="7">
        <f t="shared" si="50"/>
        <v>1140</v>
      </c>
      <c r="Z31" s="7">
        <f t="shared" si="51"/>
        <v>2408.3870967741932</v>
      </c>
      <c r="AA31" s="24">
        <f t="shared" si="52"/>
        <v>0.93632917756904455</v>
      </c>
      <c r="AB31" s="1"/>
    </row>
    <row r="32" spans="2:28" ht="18" x14ac:dyDescent="0.25">
      <c r="B32" s="3">
        <v>10</v>
      </c>
      <c r="C32" s="5">
        <f>C33+12</f>
        <v>62468</v>
      </c>
      <c r="D32" s="5">
        <f>D33+82</f>
        <v>485033</v>
      </c>
      <c r="E32" s="5">
        <f>E33+28</f>
        <v>76354</v>
      </c>
      <c r="F32" s="8">
        <f t="shared" si="38"/>
        <v>623855</v>
      </c>
      <c r="G32" s="22">
        <f t="shared" si="39"/>
        <v>623781.29166666663</v>
      </c>
      <c r="H32" s="7">
        <f t="shared" si="40"/>
        <v>623798.375</v>
      </c>
      <c r="I32" s="5">
        <f>I33+52</f>
        <v>213417</v>
      </c>
      <c r="J32" s="6">
        <f t="shared" si="41"/>
        <v>12</v>
      </c>
      <c r="K32" s="6">
        <f t="shared" si="41"/>
        <v>82</v>
      </c>
      <c r="L32" s="6">
        <f t="shared" si="41"/>
        <v>28</v>
      </c>
      <c r="M32" s="6">
        <f t="shared" si="42"/>
        <v>52</v>
      </c>
      <c r="N32" s="5">
        <f t="shared" si="24"/>
        <v>53.225806451612904</v>
      </c>
      <c r="O32" s="3">
        <f t="shared" si="43"/>
        <v>28</v>
      </c>
      <c r="P32" s="5">
        <f t="shared" si="44"/>
        <v>25.225806451612904</v>
      </c>
      <c r="Q32" s="5">
        <f t="shared" si="45"/>
        <v>17.083333333372138</v>
      </c>
      <c r="R32" s="7">
        <f t="shared" si="28"/>
        <v>322.58064516129031</v>
      </c>
      <c r="S32" s="6">
        <f t="shared" si="46"/>
        <v>122</v>
      </c>
      <c r="T32" s="7">
        <f t="shared" si="47"/>
        <v>200.58064516129031</v>
      </c>
      <c r="U32" s="7">
        <f t="shared" si="48"/>
        <v>532.25806451612914</v>
      </c>
      <c r="V32" s="6">
        <f t="shared" si="48"/>
        <v>221</v>
      </c>
      <c r="W32" s="7">
        <f t="shared" si="49"/>
        <v>311.25806451612914</v>
      </c>
      <c r="X32" s="7">
        <f t="shared" si="50"/>
        <v>3225.8064516129029</v>
      </c>
      <c r="Y32" s="7">
        <f t="shared" si="50"/>
        <v>1004</v>
      </c>
      <c r="Z32" s="7">
        <f t="shared" si="51"/>
        <v>2221.8064516129029</v>
      </c>
      <c r="AA32" s="24">
        <f t="shared" si="52"/>
        <v>0.91992326464055008</v>
      </c>
      <c r="AB32" s="1"/>
    </row>
    <row r="33" spans="2:28" ht="18" x14ac:dyDescent="0.25">
      <c r="B33" s="3">
        <v>9</v>
      </c>
      <c r="C33" s="5">
        <f>C34+14</f>
        <v>62456</v>
      </c>
      <c r="D33" s="5">
        <f>D34+76</f>
        <v>484951</v>
      </c>
      <c r="E33" s="5">
        <f>E34+33</f>
        <v>76326</v>
      </c>
      <c r="F33" s="8">
        <f t="shared" si="38"/>
        <v>623733</v>
      </c>
      <c r="G33" s="22">
        <f t="shared" si="39"/>
        <v>623658.6875</v>
      </c>
      <c r="H33" s="7">
        <f t="shared" si="40"/>
        <v>623674.52083333337</v>
      </c>
      <c r="I33" s="5">
        <f t="shared" ref="I33" si="59">I34+50</f>
        <v>213365</v>
      </c>
      <c r="J33" s="6">
        <f t="shared" si="41"/>
        <v>14</v>
      </c>
      <c r="K33" s="6">
        <f t="shared" si="41"/>
        <v>76</v>
      </c>
      <c r="L33" s="6">
        <f t="shared" si="41"/>
        <v>33</v>
      </c>
      <c r="M33" s="6">
        <f t="shared" si="42"/>
        <v>50</v>
      </c>
      <c r="N33" s="5">
        <f t="shared" si="24"/>
        <v>53.225806451612904</v>
      </c>
      <c r="O33" s="3">
        <f t="shared" si="43"/>
        <v>33</v>
      </c>
      <c r="P33" s="5">
        <f t="shared" si="44"/>
        <v>20.225806451612904</v>
      </c>
      <c r="Q33" s="5">
        <f t="shared" si="45"/>
        <v>15.833333333372138</v>
      </c>
      <c r="R33" s="7">
        <f t="shared" si="28"/>
        <v>322.58064516129031</v>
      </c>
      <c r="S33" s="6">
        <f t="shared" si="46"/>
        <v>123</v>
      </c>
      <c r="T33" s="7">
        <f t="shared" si="47"/>
        <v>199.58064516129031</v>
      </c>
      <c r="U33" s="7">
        <f t="shared" si="48"/>
        <v>479.03225806451621</v>
      </c>
      <c r="V33" s="6">
        <f t="shared" si="48"/>
        <v>193</v>
      </c>
      <c r="W33" s="7">
        <f t="shared" si="49"/>
        <v>286.03225806451621</v>
      </c>
      <c r="X33" s="7">
        <f t="shared" si="50"/>
        <v>2903.2258064516127</v>
      </c>
      <c r="Y33" s="7">
        <f t="shared" si="50"/>
        <v>882</v>
      </c>
      <c r="Z33" s="7">
        <f t="shared" si="51"/>
        <v>2021.2258064516127</v>
      </c>
      <c r="AA33" s="24">
        <f t="shared" si="52"/>
        <v>0.92638448422036501</v>
      </c>
      <c r="AB33" s="1"/>
    </row>
    <row r="34" spans="2:28" ht="18" x14ac:dyDescent="0.25">
      <c r="B34" s="3">
        <v>8</v>
      </c>
      <c r="C34" s="5">
        <f>C35+16</f>
        <v>62442</v>
      </c>
      <c r="D34" s="5">
        <f>D35+71</f>
        <v>484875</v>
      </c>
      <c r="E34" s="5">
        <f>E35+30</f>
        <v>76293</v>
      </c>
      <c r="F34" s="8">
        <f t="shared" si="38"/>
        <v>623610</v>
      </c>
      <c r="G34" s="22">
        <f t="shared" si="39"/>
        <v>623539.3125</v>
      </c>
      <c r="H34" s="7">
        <f t="shared" si="40"/>
        <v>623554.10416666663</v>
      </c>
      <c r="I34" s="5">
        <f>I35+46</f>
        <v>213315</v>
      </c>
      <c r="J34" s="6">
        <f t="shared" si="41"/>
        <v>16</v>
      </c>
      <c r="K34" s="6">
        <f t="shared" si="41"/>
        <v>71</v>
      </c>
      <c r="L34" s="6">
        <f t="shared" si="41"/>
        <v>30</v>
      </c>
      <c r="M34" s="6">
        <f t="shared" si="42"/>
        <v>46</v>
      </c>
      <c r="N34" s="5">
        <f t="shared" si="24"/>
        <v>53.225806451612904</v>
      </c>
      <c r="O34" s="3">
        <f t="shared" si="43"/>
        <v>30</v>
      </c>
      <c r="P34" s="5">
        <f t="shared" si="44"/>
        <v>23.225806451612904</v>
      </c>
      <c r="Q34" s="5">
        <f t="shared" si="45"/>
        <v>14.791666666627862</v>
      </c>
      <c r="R34" s="7">
        <f t="shared" si="28"/>
        <v>322.58064516129031</v>
      </c>
      <c r="S34" s="6">
        <f t="shared" si="46"/>
        <v>117</v>
      </c>
      <c r="T34" s="7">
        <f t="shared" si="47"/>
        <v>205.58064516129031</v>
      </c>
      <c r="U34" s="7">
        <f t="shared" si="48"/>
        <v>425.80645161290329</v>
      </c>
      <c r="V34" s="6">
        <f t="shared" si="48"/>
        <v>160</v>
      </c>
      <c r="W34" s="7">
        <f t="shared" si="49"/>
        <v>265.80645161290329</v>
      </c>
      <c r="X34" s="7">
        <f t="shared" si="50"/>
        <v>2580.6451612903224</v>
      </c>
      <c r="Y34" s="7">
        <f t="shared" si="50"/>
        <v>759</v>
      </c>
      <c r="Z34" s="7">
        <f t="shared" si="51"/>
        <v>1821.6451612903224</v>
      </c>
      <c r="AA34" s="24">
        <f t="shared" si="52"/>
        <v>0.93065477863077395</v>
      </c>
      <c r="AB34" s="1"/>
    </row>
    <row r="35" spans="2:28" ht="18" x14ac:dyDescent="0.25">
      <c r="B35" s="3">
        <v>7</v>
      </c>
      <c r="C35" s="5">
        <v>62426</v>
      </c>
      <c r="D35" s="5">
        <v>484804</v>
      </c>
      <c r="E35" s="5">
        <v>76263</v>
      </c>
      <c r="F35" s="8">
        <f t="shared" si="38"/>
        <v>623493</v>
      </c>
      <c r="G35" s="22">
        <f t="shared" si="39"/>
        <v>623425.9375</v>
      </c>
      <c r="H35" s="7">
        <f t="shared" si="40"/>
        <v>623439.0625</v>
      </c>
      <c r="I35" s="5">
        <v>213269</v>
      </c>
      <c r="J35" s="6">
        <f t="shared" si="41"/>
        <v>22</v>
      </c>
      <c r="K35" s="6">
        <f t="shared" si="41"/>
        <v>63</v>
      </c>
      <c r="L35" s="6">
        <f t="shared" si="41"/>
        <v>26</v>
      </c>
      <c r="M35" s="6">
        <f t="shared" si="42"/>
        <v>40</v>
      </c>
      <c r="N35" s="5">
        <f t="shared" si="24"/>
        <v>53.225806451612904</v>
      </c>
      <c r="O35" s="3">
        <f t="shared" si="43"/>
        <v>26</v>
      </c>
      <c r="P35" s="5">
        <f t="shared" si="44"/>
        <v>27.225806451612904</v>
      </c>
      <c r="Q35" s="5">
        <f t="shared" si="45"/>
        <v>13.125</v>
      </c>
      <c r="R35" s="7">
        <f t="shared" si="28"/>
        <v>322.58064516129031</v>
      </c>
      <c r="S35" s="6">
        <f t="shared" si="46"/>
        <v>111</v>
      </c>
      <c r="T35" s="7">
        <f t="shared" si="47"/>
        <v>211.58064516129031</v>
      </c>
      <c r="U35" s="7">
        <f t="shared" si="48"/>
        <v>372.58064516129036</v>
      </c>
      <c r="V35" s="6">
        <f t="shared" si="48"/>
        <v>130</v>
      </c>
      <c r="W35" s="7">
        <f t="shared" si="49"/>
        <v>242.58064516129036</v>
      </c>
      <c r="X35" s="7">
        <f t="shared" si="50"/>
        <v>2258.0645161290322</v>
      </c>
      <c r="Y35" s="7">
        <f t="shared" si="50"/>
        <v>642</v>
      </c>
      <c r="Z35" s="7">
        <f t="shared" si="51"/>
        <v>1616.0645161290322</v>
      </c>
      <c r="AA35" s="24">
        <f t="shared" si="52"/>
        <v>0.94077931952014071</v>
      </c>
      <c r="AB35" s="1"/>
    </row>
    <row r="36" spans="2:28" ht="18" x14ac:dyDescent="0.25">
      <c r="B36" s="3">
        <v>6</v>
      </c>
      <c r="C36" s="5">
        <f>C37+20</f>
        <v>62404</v>
      </c>
      <c r="D36" s="5">
        <f>D37+61</f>
        <v>484741</v>
      </c>
      <c r="E36" s="5">
        <f>E37+24</f>
        <v>76237</v>
      </c>
      <c r="F36" s="8">
        <f t="shared" si="38"/>
        <v>623382</v>
      </c>
      <c r="G36" s="22">
        <f>(C37+D37+E37)+((S36/24)*9.5)</f>
        <v>623318.5625</v>
      </c>
      <c r="H36" s="7">
        <f t="shared" si="40"/>
        <v>623331.27083333337</v>
      </c>
      <c r="I36" s="5">
        <f>I37+39</f>
        <v>213229</v>
      </c>
      <c r="J36" s="6">
        <f t="shared" si="41"/>
        <v>20</v>
      </c>
      <c r="K36" s="6">
        <f>D36-D37</f>
        <v>61</v>
      </c>
      <c r="L36" s="6">
        <f t="shared" si="41"/>
        <v>24</v>
      </c>
      <c r="M36" s="6">
        <f t="shared" si="42"/>
        <v>39</v>
      </c>
      <c r="N36" s="5">
        <f t="shared" si="24"/>
        <v>53.225806451612904</v>
      </c>
      <c r="O36" s="3">
        <f t="shared" si="43"/>
        <v>24</v>
      </c>
      <c r="P36" s="5">
        <f t="shared" si="44"/>
        <v>29.225806451612904</v>
      </c>
      <c r="Q36" s="5">
        <f t="shared" si="45"/>
        <v>12.708333333372138</v>
      </c>
      <c r="R36" s="7">
        <f t="shared" si="28"/>
        <v>322.58064516129031</v>
      </c>
      <c r="S36" s="6">
        <f t="shared" si="46"/>
        <v>105</v>
      </c>
      <c r="T36" s="7">
        <f t="shared" si="47"/>
        <v>217.58064516129031</v>
      </c>
      <c r="U36" s="7">
        <f t="shared" si="48"/>
        <v>319.35483870967744</v>
      </c>
      <c r="V36" s="6">
        <f t="shared" si="48"/>
        <v>104</v>
      </c>
      <c r="W36" s="7">
        <f t="shared" si="49"/>
        <v>215.35483870967744</v>
      </c>
      <c r="X36" s="7">
        <f t="shared" si="50"/>
        <v>1935.4838709677417</v>
      </c>
      <c r="Y36" s="7">
        <f t="shared" si="50"/>
        <v>531</v>
      </c>
      <c r="Z36" s="7">
        <f t="shared" si="51"/>
        <v>1404.4838709677417</v>
      </c>
      <c r="AA36" s="24">
        <f t="shared" si="52"/>
        <v>0.93742527200976533</v>
      </c>
      <c r="AB36" s="1"/>
    </row>
    <row r="37" spans="2:28" ht="18" x14ac:dyDescent="0.25">
      <c r="B37" s="3">
        <v>5</v>
      </c>
      <c r="C37" s="5">
        <f>C38+18</f>
        <v>62384</v>
      </c>
      <c r="D37" s="5">
        <f>D38+58</f>
        <v>484680</v>
      </c>
      <c r="E37" s="5">
        <f>E38+19</f>
        <v>76213</v>
      </c>
      <c r="F37" s="8">
        <f>C37+D37+E37</f>
        <v>623277</v>
      </c>
      <c r="G37" s="22">
        <f t="shared" si="39"/>
        <v>623219.60416666663</v>
      </c>
      <c r="H37" s="7">
        <f t="shared" si="40"/>
        <v>623231.6875</v>
      </c>
      <c r="I37" s="5">
        <f>I38+35</f>
        <v>213190</v>
      </c>
      <c r="J37" s="6">
        <f t="shared" si="41"/>
        <v>18</v>
      </c>
      <c r="K37" s="6">
        <f>D37-D38</f>
        <v>58</v>
      </c>
      <c r="L37" s="6">
        <f t="shared" si="41"/>
        <v>19</v>
      </c>
      <c r="M37" s="6">
        <f t="shared" si="42"/>
        <v>35</v>
      </c>
      <c r="N37" s="5">
        <f t="shared" si="24"/>
        <v>53.225806451612904</v>
      </c>
      <c r="O37" s="3">
        <f t="shared" si="43"/>
        <v>19</v>
      </c>
      <c r="P37" s="5">
        <f t="shared" si="44"/>
        <v>34.225806451612904</v>
      </c>
      <c r="Q37" s="5">
        <f t="shared" si="45"/>
        <v>12.083333333372138</v>
      </c>
      <c r="R37" s="7">
        <f t="shared" si="28"/>
        <v>322.58064516129031</v>
      </c>
      <c r="S37" s="6">
        <f t="shared" si="46"/>
        <v>95</v>
      </c>
      <c r="T37" s="7">
        <f t="shared" si="47"/>
        <v>227.58064516129031</v>
      </c>
      <c r="U37" s="7">
        <f t="shared" si="48"/>
        <v>266.12903225806451</v>
      </c>
      <c r="V37" s="6">
        <f t="shared" si="48"/>
        <v>80</v>
      </c>
      <c r="W37" s="7">
        <f t="shared" si="49"/>
        <v>186.12903225806451</v>
      </c>
      <c r="X37" s="7">
        <f t="shared" si="50"/>
        <v>1612.9032258064515</v>
      </c>
      <c r="Y37" s="7">
        <f t="shared" si="50"/>
        <v>426</v>
      </c>
      <c r="Z37" s="7">
        <f t="shared" si="51"/>
        <v>1186.9032258064515</v>
      </c>
      <c r="AA37" s="24">
        <f t="shared" si="52"/>
        <v>0.93834311681711013</v>
      </c>
      <c r="AB37" s="1"/>
    </row>
    <row r="38" spans="2:28" ht="18" x14ac:dyDescent="0.25">
      <c r="B38" s="3">
        <v>4</v>
      </c>
      <c r="C38" s="5">
        <f t="shared" ref="C38" si="60">C39+16</f>
        <v>62366</v>
      </c>
      <c r="D38" s="5">
        <f>D39+56</f>
        <v>484622</v>
      </c>
      <c r="E38" s="5">
        <f>E39+17</f>
        <v>76194</v>
      </c>
      <c r="F38" s="8">
        <f t="shared" si="38"/>
        <v>623182</v>
      </c>
      <c r="G38" s="22">
        <f>(C39+D39+E39)+((S38/24)*9.5)</f>
        <v>623128.22916666663</v>
      </c>
      <c r="H38" s="7">
        <f t="shared" si="40"/>
        <v>623139.89583333326</v>
      </c>
      <c r="I38" s="5">
        <f>I39+32</f>
        <v>213155</v>
      </c>
      <c r="J38" s="6">
        <f>C38-C39</f>
        <v>16</v>
      </c>
      <c r="K38" s="6">
        <f t="shared" si="41"/>
        <v>56</v>
      </c>
      <c r="L38" s="6">
        <f t="shared" si="41"/>
        <v>17</v>
      </c>
      <c r="M38" s="6">
        <f t="shared" si="42"/>
        <v>32</v>
      </c>
      <c r="N38" s="5">
        <f t="shared" si="24"/>
        <v>53.225806451612904</v>
      </c>
      <c r="O38" s="3">
        <f t="shared" si="43"/>
        <v>17</v>
      </c>
      <c r="P38" s="5">
        <f t="shared" si="44"/>
        <v>36.225806451612904</v>
      </c>
      <c r="Q38" s="5">
        <f t="shared" si="45"/>
        <v>11.666666666627862</v>
      </c>
      <c r="R38" s="7">
        <f t="shared" si="28"/>
        <v>322.58064516129031</v>
      </c>
      <c r="S38" s="6">
        <f t="shared" si="46"/>
        <v>89</v>
      </c>
      <c r="T38" s="7">
        <f t="shared" si="47"/>
        <v>233.58064516129031</v>
      </c>
      <c r="U38" s="7">
        <f t="shared" si="48"/>
        <v>212.90322580645162</v>
      </c>
      <c r="V38" s="6">
        <f t="shared" si="48"/>
        <v>61</v>
      </c>
      <c r="W38" s="7">
        <f t="shared" si="49"/>
        <v>151.90322580645162</v>
      </c>
      <c r="X38" s="7">
        <f t="shared" si="50"/>
        <v>1290.3225806451612</v>
      </c>
      <c r="Y38" s="7">
        <f t="shared" si="50"/>
        <v>331</v>
      </c>
      <c r="Z38" s="7">
        <f t="shared" si="51"/>
        <v>959.32258064516122</v>
      </c>
      <c r="AA38" s="24">
        <f t="shared" si="52"/>
        <v>0.94102212425927823</v>
      </c>
      <c r="AB38" s="1"/>
    </row>
    <row r="39" spans="2:28" ht="18" x14ac:dyDescent="0.25">
      <c r="B39" s="3">
        <v>3</v>
      </c>
      <c r="C39" s="5">
        <f>C40+14</f>
        <v>62350</v>
      </c>
      <c r="D39" s="5">
        <f>D40+54</f>
        <v>484566</v>
      </c>
      <c r="E39" s="5">
        <f>E40+14</f>
        <v>76177</v>
      </c>
      <c r="F39" s="8">
        <f>C39+D39+E39</f>
        <v>623093</v>
      </c>
      <c r="G39" s="22">
        <f t="shared" si="39"/>
        <v>623043.45833333337</v>
      </c>
      <c r="H39" s="7">
        <f t="shared" si="40"/>
        <v>623054.70833333337</v>
      </c>
      <c r="I39" s="5">
        <f>I40+30</f>
        <v>213123</v>
      </c>
      <c r="J39" s="6">
        <f>C39-C40</f>
        <v>14</v>
      </c>
      <c r="K39" s="6">
        <f t="shared" si="41"/>
        <v>54</v>
      </c>
      <c r="L39" s="6">
        <f t="shared" si="41"/>
        <v>14</v>
      </c>
      <c r="M39" s="6">
        <f t="shared" si="42"/>
        <v>30</v>
      </c>
      <c r="N39" s="5">
        <f t="shared" si="24"/>
        <v>53.225806451612904</v>
      </c>
      <c r="O39" s="3">
        <f t="shared" si="43"/>
        <v>14</v>
      </c>
      <c r="P39" s="5">
        <f t="shared" si="44"/>
        <v>39.225806451612904</v>
      </c>
      <c r="Q39" s="5">
        <f t="shared" si="45"/>
        <v>11.25</v>
      </c>
      <c r="R39" s="7">
        <f t="shared" si="28"/>
        <v>322.58064516129031</v>
      </c>
      <c r="S39" s="6">
        <f t="shared" si="46"/>
        <v>82</v>
      </c>
      <c r="T39" s="7">
        <f t="shared" si="47"/>
        <v>240.58064516129031</v>
      </c>
      <c r="U39" s="7">
        <f t="shared" si="48"/>
        <v>159.67741935483872</v>
      </c>
      <c r="V39" s="6">
        <f t="shared" si="48"/>
        <v>44</v>
      </c>
      <c r="W39" s="7">
        <f t="shared" si="49"/>
        <v>115.67741935483872</v>
      </c>
      <c r="X39" s="7">
        <f t="shared" si="50"/>
        <v>967.74193548387098</v>
      </c>
      <c r="Y39" s="7">
        <f t="shared" si="50"/>
        <v>242</v>
      </c>
      <c r="Z39" s="7">
        <f t="shared" si="51"/>
        <v>725.74193548387098</v>
      </c>
      <c r="AA39" s="24">
        <f t="shared" si="52"/>
        <v>0.93912285212032109</v>
      </c>
      <c r="AB39" s="1"/>
    </row>
    <row r="40" spans="2:28" ht="18" x14ac:dyDescent="0.25">
      <c r="B40" s="3">
        <v>2</v>
      </c>
      <c r="C40" s="5">
        <f>C41+13</f>
        <v>62336</v>
      </c>
      <c r="D40" s="5">
        <f>D41+52</f>
        <v>484512</v>
      </c>
      <c r="E40" s="5">
        <f>E41+15</f>
        <v>76163</v>
      </c>
      <c r="F40" s="8">
        <f t="shared" si="38"/>
        <v>623011</v>
      </c>
      <c r="G40" s="22">
        <f t="shared" si="39"/>
        <v>622962.66666666663</v>
      </c>
      <c r="H40" s="7">
        <f t="shared" si="40"/>
        <v>622973.5</v>
      </c>
      <c r="I40" s="5">
        <f>I41+29</f>
        <v>213093</v>
      </c>
      <c r="J40" s="6">
        <f t="shared" si="41"/>
        <v>13</v>
      </c>
      <c r="K40" s="6">
        <f t="shared" si="41"/>
        <v>52</v>
      </c>
      <c r="L40" s="6">
        <f t="shared" si="41"/>
        <v>15</v>
      </c>
      <c r="M40" s="6">
        <f t="shared" si="42"/>
        <v>29</v>
      </c>
      <c r="N40" s="5">
        <f t="shared" si="24"/>
        <v>53.225806451612904</v>
      </c>
      <c r="O40" s="3">
        <f t="shared" si="43"/>
        <v>15</v>
      </c>
      <c r="P40" s="5">
        <f t="shared" si="44"/>
        <v>38.225806451612904</v>
      </c>
      <c r="Q40" s="5">
        <f t="shared" si="45"/>
        <v>10.833333333372138</v>
      </c>
      <c r="R40" s="7">
        <f>R41</f>
        <v>322.58064516129031</v>
      </c>
      <c r="S40" s="6">
        <f t="shared" si="46"/>
        <v>80</v>
      </c>
      <c r="T40" s="7">
        <f t="shared" si="47"/>
        <v>242.58064516129031</v>
      </c>
      <c r="U40" s="7">
        <f t="shared" si="48"/>
        <v>106.45161290322581</v>
      </c>
      <c r="V40" s="6">
        <f t="shared" si="48"/>
        <v>30</v>
      </c>
      <c r="W40" s="7">
        <f t="shared" si="49"/>
        <v>76.451612903225808</v>
      </c>
      <c r="X40" s="7">
        <f t="shared" si="50"/>
        <v>645.16129032258061</v>
      </c>
      <c r="Y40" s="7">
        <f t="shared" si="50"/>
        <v>160</v>
      </c>
      <c r="Z40" s="7">
        <f t="shared" si="51"/>
        <v>485.16129032258061</v>
      </c>
      <c r="AA40" s="24">
        <f t="shared" si="52"/>
        <v>0.94013606516248294</v>
      </c>
      <c r="AB40" s="1"/>
    </row>
    <row r="41" spans="2:28" ht="18.75" thickBot="1" x14ac:dyDescent="0.3">
      <c r="B41" s="3">
        <v>1</v>
      </c>
      <c r="C41" s="5">
        <f>C42+12</f>
        <v>62323</v>
      </c>
      <c r="D41" s="5">
        <f>D42+53</f>
        <v>484460</v>
      </c>
      <c r="E41" s="5">
        <f>E42+15</f>
        <v>76148</v>
      </c>
      <c r="F41" s="8">
        <f t="shared" si="38"/>
        <v>622931</v>
      </c>
      <c r="G41" s="22">
        <f>(C42+D42+E42)+((S41/24)*9.5)</f>
        <v>622882.66666666663</v>
      </c>
      <c r="H41" s="7">
        <f>G41+((K41/12)*2.5)</f>
        <v>622893.70833333326</v>
      </c>
      <c r="I41" s="5">
        <f>I42+28</f>
        <v>213064</v>
      </c>
      <c r="J41" s="6">
        <f t="shared" si="41"/>
        <v>12</v>
      </c>
      <c r="K41" s="6">
        <f t="shared" si="41"/>
        <v>53</v>
      </c>
      <c r="L41" s="6">
        <f t="shared" si="41"/>
        <v>15</v>
      </c>
      <c r="M41" s="6">
        <f t="shared" si="42"/>
        <v>28</v>
      </c>
      <c r="N41" s="43">
        <f>O6/31</f>
        <v>53.225806451612904</v>
      </c>
      <c r="O41" s="3">
        <f t="shared" si="43"/>
        <v>15</v>
      </c>
      <c r="P41" s="5">
        <f t="shared" si="44"/>
        <v>38.225806451612904</v>
      </c>
      <c r="Q41" s="5">
        <f t="shared" si="45"/>
        <v>11.041666666627862</v>
      </c>
      <c r="R41" s="45">
        <f>S6/31</f>
        <v>322.58064516129031</v>
      </c>
      <c r="S41" s="6">
        <f t="shared" si="46"/>
        <v>80</v>
      </c>
      <c r="T41" s="7">
        <f t="shared" si="47"/>
        <v>242.58064516129031</v>
      </c>
      <c r="U41" s="7">
        <f>N41</f>
        <v>53.225806451612904</v>
      </c>
      <c r="V41" s="6">
        <f>O41</f>
        <v>15</v>
      </c>
      <c r="W41" s="7">
        <f t="shared" si="49"/>
        <v>38.225806451612904</v>
      </c>
      <c r="X41" s="7">
        <f>R41</f>
        <v>322.58064516129031</v>
      </c>
      <c r="Y41" s="7">
        <f>S41</f>
        <v>80</v>
      </c>
      <c r="Z41" s="7">
        <f t="shared" si="51"/>
        <v>242.58064516129031</v>
      </c>
      <c r="AA41" s="24">
        <f t="shared" si="52"/>
        <v>0.94385835636601745</v>
      </c>
      <c r="AB41" s="1"/>
    </row>
    <row r="42" spans="2:28" ht="54.75" thickBot="1" x14ac:dyDescent="0.3">
      <c r="B42" s="33" t="s">
        <v>13</v>
      </c>
      <c r="C42" s="3">
        <v>62311</v>
      </c>
      <c r="D42" s="3">
        <v>484407</v>
      </c>
      <c r="E42" s="3">
        <v>76133</v>
      </c>
      <c r="F42" s="8">
        <v>622851</v>
      </c>
      <c r="G42" s="9">
        <v>622818.97916666663</v>
      </c>
      <c r="H42" s="9">
        <v>622827.52083333326</v>
      </c>
      <c r="I42" s="3">
        <v>213036</v>
      </c>
      <c r="J42" s="10"/>
      <c r="K42" s="10"/>
      <c r="L42" s="10"/>
      <c r="M42" s="46">
        <f>SUM(M11:M41)</f>
        <v>1258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58">
        <f>AVERAGE(AA11:AA41)</f>
        <v>0.93514043310511541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4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50" spans="26:27" ht="18" x14ac:dyDescent="0.25">
      <c r="Z50" s="10" t="s">
        <v>38</v>
      </c>
    </row>
    <row r="51" spans="26:27" ht="18" x14ac:dyDescent="0.25">
      <c r="Z51" s="10" t="s">
        <v>44</v>
      </c>
      <c r="AA51" s="10"/>
    </row>
    <row r="52" spans="26:27" ht="18" x14ac:dyDescent="0.25">
      <c r="Z52" s="10" t="s">
        <v>45</v>
      </c>
      <c r="AA52" s="10"/>
    </row>
    <row r="53" spans="26:27" ht="18" x14ac:dyDescent="0.25">
      <c r="Z53" s="10" t="s">
        <v>12</v>
      </c>
      <c r="AA53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2:AB55"/>
  <sheetViews>
    <sheetView tabSelected="1" topLeftCell="J1" zoomScale="85" zoomScaleNormal="85" zoomScaleSheetLayoutView="95" workbookViewId="0">
      <pane ySplit="1" topLeftCell="A20" activePane="bottomLeft" state="frozen"/>
      <selection pane="bottomLeft" activeCell="U6" sqref="U6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1.425781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6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45658</v>
      </c>
    </row>
    <row r="5" spans="2:28" x14ac:dyDescent="0.25">
      <c r="C5" s="77" t="s">
        <v>37</v>
      </c>
      <c r="D5" s="77"/>
      <c r="E5" s="77"/>
      <c r="T5" s="52"/>
      <c r="U5" s="52" t="s">
        <v>42</v>
      </c>
      <c r="V5" s="52" t="s">
        <v>43</v>
      </c>
      <c r="W5" s="42"/>
    </row>
    <row r="6" spans="2:28" ht="15.75" x14ac:dyDescent="0.25">
      <c r="N6" s="13" t="s">
        <v>27</v>
      </c>
      <c r="O6" s="29">
        <f>S6*16.5%</f>
        <v>919.05000000000007</v>
      </c>
      <c r="P6" s="30" t="s">
        <v>26</v>
      </c>
      <c r="Q6" s="11">
        <f>(S6*8)/100</f>
        <v>445.6</v>
      </c>
      <c r="R6" s="17" t="s">
        <v>25</v>
      </c>
      <c r="S6" s="11">
        <v>5570</v>
      </c>
      <c r="T6" s="52" t="s">
        <v>41</v>
      </c>
      <c r="U6" s="52">
        <v>395</v>
      </c>
      <c r="V6" s="51">
        <f>U6/31</f>
        <v>12.741935483870968</v>
      </c>
    </row>
    <row r="7" spans="2:28" ht="46.5" customHeight="1" x14ac:dyDescent="0.25">
      <c r="B7" s="80" t="s">
        <v>24</v>
      </c>
      <c r="C7" s="78" t="s">
        <v>9</v>
      </c>
      <c r="D7" s="78"/>
      <c r="E7" s="78"/>
      <c r="F7" s="78"/>
      <c r="G7" s="78"/>
      <c r="H7" s="78"/>
      <c r="I7" s="78"/>
      <c r="J7" s="78" t="s">
        <v>23</v>
      </c>
      <c r="K7" s="78"/>
      <c r="L7" s="78"/>
      <c r="M7" s="78"/>
      <c r="N7" s="78" t="s">
        <v>22</v>
      </c>
      <c r="O7" s="78"/>
      <c r="P7" s="78"/>
      <c r="Q7" s="79" t="s">
        <v>21</v>
      </c>
      <c r="R7" s="78" t="s">
        <v>20</v>
      </c>
      <c r="S7" s="78"/>
      <c r="T7" s="78"/>
      <c r="U7" s="78" t="s">
        <v>10</v>
      </c>
      <c r="V7" s="78"/>
      <c r="W7" s="78"/>
      <c r="X7" s="78" t="s">
        <v>11</v>
      </c>
      <c r="Y7" s="78"/>
      <c r="Z7" s="78"/>
      <c r="AA7" s="78"/>
      <c r="AB7" s="79" t="s">
        <v>8</v>
      </c>
    </row>
    <row r="8" spans="2:28" ht="30" x14ac:dyDescent="0.25">
      <c r="B8" s="8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79"/>
      <c r="R8" s="18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7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19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20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8" customFormat="1" ht="18" x14ac:dyDescent="0.25">
      <c r="B11" s="59">
        <v>31</v>
      </c>
      <c r="C11" s="59">
        <v>155729</v>
      </c>
      <c r="D11" s="59">
        <v>1437763</v>
      </c>
      <c r="E11" s="59">
        <v>294718</v>
      </c>
      <c r="F11" s="61">
        <f t="shared" ref="F11" si="0">C11+D11+E11</f>
        <v>1888210</v>
      </c>
      <c r="G11" s="62">
        <f t="shared" ref="G11" si="1">(C12+D12+E12)+((S12/24)*3)</f>
        <v>1888207</v>
      </c>
      <c r="H11" s="60">
        <f t="shared" ref="H11" si="2">G11+((K11/12)*1.5)</f>
        <v>1888207</v>
      </c>
      <c r="I11" s="7">
        <v>984842</v>
      </c>
      <c r="J11" s="63">
        <f t="shared" ref="J11:L11" si="3">C11-C12</f>
        <v>8</v>
      </c>
      <c r="K11" s="63">
        <f t="shared" si="3"/>
        <v>0</v>
      </c>
      <c r="L11" s="63">
        <f t="shared" si="3"/>
        <v>0</v>
      </c>
      <c r="M11" s="63">
        <f t="shared" ref="M11" si="4">I11-I12</f>
        <v>17</v>
      </c>
      <c r="N11" s="64">
        <f t="shared" ref="N11" si="5">N12</f>
        <v>29.646774193548389</v>
      </c>
      <c r="O11" s="65">
        <f t="shared" ref="O11" si="6">L11</f>
        <v>0</v>
      </c>
      <c r="P11" s="64">
        <f t="shared" ref="P11" si="7">N11-O11</f>
        <v>29.646774193548389</v>
      </c>
      <c r="Q11" s="64">
        <f t="shared" ref="Q11" si="8">H11-G11</f>
        <v>0</v>
      </c>
      <c r="R11" s="73">
        <f t="shared" ref="R11" si="9">R12</f>
        <v>179.67741935483872</v>
      </c>
      <c r="S11" s="63">
        <f t="shared" ref="S11" si="10">J11+K11+L11</f>
        <v>8</v>
      </c>
      <c r="T11" s="60">
        <f t="shared" ref="T11" si="11">R11-S11</f>
        <v>171.67741935483872</v>
      </c>
      <c r="U11" s="60">
        <f t="shared" ref="U11:V11" si="12">U12+N11</f>
        <v>919.04999999999961</v>
      </c>
      <c r="V11" s="60">
        <f t="shared" si="12"/>
        <v>211</v>
      </c>
      <c r="W11" s="60">
        <f t="shared" ref="W11" si="13">U11-V11</f>
        <v>708.04999999999961</v>
      </c>
      <c r="X11" s="60">
        <f t="shared" ref="X11:Y11" si="14">X12+R11</f>
        <v>5570.0000000000009</v>
      </c>
      <c r="Y11" s="60">
        <f t="shared" si="14"/>
        <v>1954</v>
      </c>
      <c r="Z11" s="60">
        <f t="shared" ref="Z11" si="15">X11-Y11</f>
        <v>3616.0000000000009</v>
      </c>
      <c r="AA11" s="66">
        <f t="shared" ref="AA11" si="16">COS(ATAN(M11/S11))</f>
        <v>0.42579703632987964</v>
      </c>
      <c r="AB11" s="67"/>
    </row>
    <row r="12" spans="2:28" ht="18" x14ac:dyDescent="0.25">
      <c r="B12" s="3">
        <v>30</v>
      </c>
      <c r="C12" s="5">
        <f>C13+19</f>
        <v>155721</v>
      </c>
      <c r="D12" s="5">
        <f>D13+21</f>
        <v>1437763</v>
      </c>
      <c r="E12" s="5">
        <v>294718</v>
      </c>
      <c r="F12" s="8">
        <f t="shared" ref="F12:F41" si="17">C12+D12+E12</f>
        <v>1888202</v>
      </c>
      <c r="G12" s="22">
        <f t="shared" ref="G12" si="18">(C13+D13+E13)+((S13/24)*3)</f>
        <v>1888168</v>
      </c>
      <c r="H12" s="7">
        <f t="shared" ref="H12" si="19">G12+((K12/12)*1.5)</f>
        <v>1888170.625</v>
      </c>
      <c r="I12" s="7">
        <f>I13+28</f>
        <v>984825</v>
      </c>
      <c r="J12" s="6">
        <f t="shared" ref="J12" si="20">C12-C13</f>
        <v>19</v>
      </c>
      <c r="K12" s="6">
        <f t="shared" ref="K12" si="21">D12-D13</f>
        <v>21</v>
      </c>
      <c r="L12" s="6">
        <f t="shared" ref="L12" si="22">E12-E13</f>
        <v>0</v>
      </c>
      <c r="M12" s="6">
        <f t="shared" ref="M12" si="23">I12-I13</f>
        <v>28</v>
      </c>
      <c r="N12" s="5">
        <f t="shared" ref="N12:N40" si="24">N13</f>
        <v>29.646774193548389</v>
      </c>
      <c r="O12" s="23">
        <f t="shared" ref="O12" si="25">L12</f>
        <v>0</v>
      </c>
      <c r="P12" s="5">
        <f t="shared" ref="P12" si="26">N12-O12</f>
        <v>29.646774193548389</v>
      </c>
      <c r="Q12" s="5">
        <f t="shared" ref="Q12" si="27">H12-G12</f>
        <v>2.625</v>
      </c>
      <c r="R12" s="20">
        <f t="shared" ref="R12:R38" si="28">R13</f>
        <v>179.67741935483872</v>
      </c>
      <c r="S12" s="6">
        <f t="shared" ref="S12" si="29">J12+K12+L12</f>
        <v>40</v>
      </c>
      <c r="T12" s="7">
        <f t="shared" ref="T12" si="30">R12-S12</f>
        <v>139.67741935483872</v>
      </c>
      <c r="U12" s="7">
        <f t="shared" ref="U12" si="31">U13+N12</f>
        <v>889.40322580645125</v>
      </c>
      <c r="V12" s="7">
        <f t="shared" ref="V12" si="32">V13+O12</f>
        <v>211</v>
      </c>
      <c r="W12" s="7">
        <f t="shared" ref="W12" si="33">U12-V12</f>
        <v>678.40322580645125</v>
      </c>
      <c r="X12" s="7">
        <f t="shared" ref="X12" si="34">X13+R12</f>
        <v>5390.3225806451619</v>
      </c>
      <c r="Y12" s="7">
        <f t="shared" ref="Y12" si="35">Y13+S12</f>
        <v>1946</v>
      </c>
      <c r="Z12" s="7">
        <f t="shared" ref="Z12" si="36">X12-Y12</f>
        <v>3444.3225806451619</v>
      </c>
      <c r="AA12" s="24">
        <f t="shared" ref="AA12" si="37">COS(ATAN(M12/S12))</f>
        <v>0.81923192051904048</v>
      </c>
      <c r="AB12" s="25"/>
    </row>
    <row r="13" spans="2:28" ht="18" x14ac:dyDescent="0.25">
      <c r="B13" s="3">
        <v>29</v>
      </c>
      <c r="C13" s="5">
        <f>C14+30</f>
        <v>155702</v>
      </c>
      <c r="D13" s="5">
        <f>D14+18</f>
        <v>1437742</v>
      </c>
      <c r="E13" s="5">
        <v>294718</v>
      </c>
      <c r="F13" s="8">
        <f t="shared" si="17"/>
        <v>1888162</v>
      </c>
      <c r="G13" s="22">
        <f t="shared" ref="G13:G40" si="38">(C14+D14+E14)+((S14/24)*3)</f>
        <v>1888122.125</v>
      </c>
      <c r="H13" s="7">
        <f t="shared" ref="H13:H40" si="39">G13+((K13/12)*1.5)</f>
        <v>1888124.375</v>
      </c>
      <c r="I13" s="7">
        <f>I14+30</f>
        <v>984797</v>
      </c>
      <c r="J13" s="6">
        <f t="shared" ref="J13:L41" si="40">C13-C14</f>
        <v>30</v>
      </c>
      <c r="K13" s="6">
        <f t="shared" si="40"/>
        <v>18</v>
      </c>
      <c r="L13" s="6">
        <f t="shared" si="40"/>
        <v>0</v>
      </c>
      <c r="M13" s="6">
        <f t="shared" ref="M13:M41" si="41">I13-I14</f>
        <v>30</v>
      </c>
      <c r="N13" s="5">
        <f t="shared" si="24"/>
        <v>29.646774193548389</v>
      </c>
      <c r="O13" s="23">
        <f t="shared" ref="O13:O41" si="42">L13</f>
        <v>0</v>
      </c>
      <c r="P13" s="5">
        <f t="shared" ref="P13:P41" si="43">N13-O13</f>
        <v>29.646774193548389</v>
      </c>
      <c r="Q13" s="5">
        <f t="shared" ref="Q13:Q41" si="44">H13-G13</f>
        <v>2.25</v>
      </c>
      <c r="R13" s="20">
        <f t="shared" si="28"/>
        <v>179.67741935483872</v>
      </c>
      <c r="S13" s="6">
        <f t="shared" ref="S13:S41" si="45">J13+K13+L13</f>
        <v>48</v>
      </c>
      <c r="T13" s="7">
        <f t="shared" ref="T13:T41" si="46">R13-S13</f>
        <v>131.67741935483872</v>
      </c>
      <c r="U13" s="7">
        <f t="shared" ref="U13:V40" si="47">U14+N13</f>
        <v>859.75645161290288</v>
      </c>
      <c r="V13" s="7">
        <f t="shared" si="47"/>
        <v>211</v>
      </c>
      <c r="W13" s="7">
        <f t="shared" ref="W13:W41" si="48">U13-V13</f>
        <v>648.75645161290288</v>
      </c>
      <c r="X13" s="7">
        <f t="shared" ref="X13:Y40" si="49">X14+R13</f>
        <v>5210.6451612903229</v>
      </c>
      <c r="Y13" s="7">
        <f t="shared" si="49"/>
        <v>1906</v>
      </c>
      <c r="Z13" s="7">
        <f t="shared" ref="Z13:Z41" si="50">X13-Y13</f>
        <v>3304.6451612903229</v>
      </c>
      <c r="AA13" s="24">
        <f t="shared" ref="AA13:AA41" si="51">COS(ATAN(M13/S13))</f>
        <v>0.84799830400508802</v>
      </c>
      <c r="AB13" s="25"/>
    </row>
    <row r="14" spans="2:28" ht="18" x14ac:dyDescent="0.25">
      <c r="B14" s="3">
        <v>28</v>
      </c>
      <c r="C14" s="5">
        <f>C15+33</f>
        <v>155672</v>
      </c>
      <c r="D14" s="5">
        <f>D15+27</f>
        <v>1437724</v>
      </c>
      <c r="E14" s="5">
        <v>294718</v>
      </c>
      <c r="F14" s="8">
        <f t="shared" si="17"/>
        <v>1888114</v>
      </c>
      <c r="G14" s="22">
        <f t="shared" si="38"/>
        <v>1888054.75</v>
      </c>
      <c r="H14" s="7">
        <f t="shared" si="39"/>
        <v>1888058.125</v>
      </c>
      <c r="I14" s="7">
        <f>I15+31</f>
        <v>984767</v>
      </c>
      <c r="J14" s="7">
        <f>C14-C15</f>
        <v>33</v>
      </c>
      <c r="K14" s="6">
        <f t="shared" si="40"/>
        <v>27</v>
      </c>
      <c r="L14" s="6">
        <f t="shared" si="40"/>
        <v>5</v>
      </c>
      <c r="M14" s="6">
        <f t="shared" si="41"/>
        <v>31</v>
      </c>
      <c r="N14" s="5">
        <f t="shared" si="24"/>
        <v>29.646774193548389</v>
      </c>
      <c r="O14" s="23">
        <f t="shared" si="42"/>
        <v>5</v>
      </c>
      <c r="P14" s="5">
        <f t="shared" si="43"/>
        <v>24.646774193548389</v>
      </c>
      <c r="Q14" s="5">
        <f t="shared" si="44"/>
        <v>3.375</v>
      </c>
      <c r="R14" s="20">
        <f t="shared" si="28"/>
        <v>179.67741935483872</v>
      </c>
      <c r="S14" s="6">
        <f t="shared" si="45"/>
        <v>65</v>
      </c>
      <c r="T14" s="7">
        <f t="shared" si="46"/>
        <v>114.67741935483872</v>
      </c>
      <c r="U14" s="7">
        <f t="shared" si="47"/>
        <v>830.10967741935451</v>
      </c>
      <c r="V14" s="7">
        <f t="shared" si="47"/>
        <v>211</v>
      </c>
      <c r="W14" s="7">
        <f t="shared" si="48"/>
        <v>619.10967741935451</v>
      </c>
      <c r="X14" s="7">
        <f t="shared" si="49"/>
        <v>5030.9677419354839</v>
      </c>
      <c r="Y14" s="7">
        <f t="shared" si="49"/>
        <v>1858</v>
      </c>
      <c r="Z14" s="7">
        <f t="shared" si="50"/>
        <v>3172.9677419354839</v>
      </c>
      <c r="AA14" s="24">
        <f t="shared" si="51"/>
        <v>0.90260368120345091</v>
      </c>
      <c r="AB14" s="25"/>
    </row>
    <row r="15" spans="2:28" ht="18" x14ac:dyDescent="0.25">
      <c r="B15" s="3">
        <v>27</v>
      </c>
      <c r="C15" s="5">
        <v>155639</v>
      </c>
      <c r="D15" s="5">
        <v>1437697</v>
      </c>
      <c r="E15" s="5">
        <v>294713</v>
      </c>
      <c r="F15" s="8">
        <f t="shared" si="17"/>
        <v>1888049</v>
      </c>
      <c r="G15" s="22">
        <f>(C16+D16+E16)+((S16/24)*3)</f>
        <v>1888009.375</v>
      </c>
      <c r="H15" s="7">
        <f t="shared" si="39"/>
        <v>1888011.625</v>
      </c>
      <c r="I15" s="7">
        <v>984736</v>
      </c>
      <c r="J15" s="6">
        <f t="shared" si="40"/>
        <v>26</v>
      </c>
      <c r="K15" s="6">
        <f>D15-D16</f>
        <v>18</v>
      </c>
      <c r="L15" s="6">
        <f t="shared" si="40"/>
        <v>2</v>
      </c>
      <c r="M15" s="6">
        <f t="shared" si="41"/>
        <v>25</v>
      </c>
      <c r="N15" s="5">
        <f t="shared" si="24"/>
        <v>29.646774193548389</v>
      </c>
      <c r="O15" s="23">
        <f t="shared" si="42"/>
        <v>2</v>
      </c>
      <c r="P15" s="5">
        <f t="shared" si="43"/>
        <v>27.646774193548389</v>
      </c>
      <c r="Q15" s="5">
        <f t="shared" si="44"/>
        <v>2.25</v>
      </c>
      <c r="R15" s="20">
        <f t="shared" si="28"/>
        <v>179.67741935483872</v>
      </c>
      <c r="S15" s="6">
        <f t="shared" si="45"/>
        <v>46</v>
      </c>
      <c r="T15" s="7">
        <f t="shared" si="46"/>
        <v>133.67741935483872</v>
      </c>
      <c r="U15" s="7">
        <f t="shared" si="47"/>
        <v>800.46290322580614</v>
      </c>
      <c r="V15" s="7">
        <f t="shared" si="47"/>
        <v>206</v>
      </c>
      <c r="W15" s="7">
        <f t="shared" si="48"/>
        <v>594.46290322580614</v>
      </c>
      <c r="X15" s="7">
        <f t="shared" si="49"/>
        <v>4851.2903225806449</v>
      </c>
      <c r="Y15" s="7">
        <f t="shared" si="49"/>
        <v>1793</v>
      </c>
      <c r="Z15" s="7">
        <f t="shared" si="50"/>
        <v>3058.2903225806449</v>
      </c>
      <c r="AA15" s="24">
        <f t="shared" si="51"/>
        <v>0.87862450957254656</v>
      </c>
      <c r="AB15" s="25"/>
    </row>
    <row r="16" spans="2:28" ht="18" x14ac:dyDescent="0.25">
      <c r="B16" s="3">
        <v>26</v>
      </c>
      <c r="C16" s="5">
        <v>155613</v>
      </c>
      <c r="D16" s="5">
        <v>1437679</v>
      </c>
      <c r="E16" s="5">
        <v>294711</v>
      </c>
      <c r="F16" s="8">
        <f>C16+D16+E16</f>
        <v>1888003</v>
      </c>
      <c r="G16" s="22">
        <f>(C17+D17+E17)+((S17/24)*3)</f>
        <v>1887961.375</v>
      </c>
      <c r="H16" s="7">
        <f t="shared" si="39"/>
        <v>1887962.75</v>
      </c>
      <c r="I16" s="7">
        <v>984711</v>
      </c>
      <c r="J16" s="6">
        <f t="shared" si="40"/>
        <v>34</v>
      </c>
      <c r="K16" s="6">
        <f>D16-D17</f>
        <v>11</v>
      </c>
      <c r="L16" s="6">
        <f t="shared" si="40"/>
        <v>6</v>
      </c>
      <c r="M16" s="6">
        <f t="shared" si="41"/>
        <v>41</v>
      </c>
      <c r="N16" s="5">
        <f t="shared" si="24"/>
        <v>29.646774193548389</v>
      </c>
      <c r="O16" s="23">
        <f t="shared" si="42"/>
        <v>6</v>
      </c>
      <c r="P16" s="5">
        <f t="shared" si="43"/>
        <v>23.646774193548389</v>
      </c>
      <c r="Q16" s="5">
        <f t="shared" si="44"/>
        <v>1.375</v>
      </c>
      <c r="R16" s="20">
        <f t="shared" si="28"/>
        <v>179.67741935483872</v>
      </c>
      <c r="S16" s="6">
        <f t="shared" si="45"/>
        <v>51</v>
      </c>
      <c r="T16" s="7">
        <f t="shared" si="46"/>
        <v>128.67741935483872</v>
      </c>
      <c r="U16" s="7">
        <f t="shared" si="47"/>
        <v>770.81612903225778</v>
      </c>
      <c r="V16" s="7">
        <f t="shared" si="47"/>
        <v>204</v>
      </c>
      <c r="W16" s="7">
        <f t="shared" si="48"/>
        <v>566.81612903225778</v>
      </c>
      <c r="X16" s="7">
        <f t="shared" si="49"/>
        <v>4671.6129032258059</v>
      </c>
      <c r="Y16" s="7">
        <f t="shared" si="49"/>
        <v>1747</v>
      </c>
      <c r="Z16" s="7">
        <f t="shared" si="50"/>
        <v>2924.6129032258059</v>
      </c>
      <c r="AA16" s="24">
        <f t="shared" si="51"/>
        <v>0.77937567080628412</v>
      </c>
      <c r="AB16" s="25"/>
    </row>
    <row r="17" spans="2:28" ht="18" x14ac:dyDescent="0.25">
      <c r="B17" s="3">
        <v>25</v>
      </c>
      <c r="C17" s="5">
        <f>C18+30</f>
        <v>155579</v>
      </c>
      <c r="D17" s="5">
        <f>D18+33</f>
        <v>1437668</v>
      </c>
      <c r="E17" s="5">
        <f>E18+12</f>
        <v>294705</v>
      </c>
      <c r="F17" s="8">
        <f>C17+D17+E17</f>
        <v>1887952</v>
      </c>
      <c r="G17" s="22">
        <f>(C18+D18+E18)+((S18/24)*3)</f>
        <v>1887885.875</v>
      </c>
      <c r="H17" s="7">
        <f t="shared" si="39"/>
        <v>1887890</v>
      </c>
      <c r="I17" s="7">
        <f t="shared" ref="I17" si="52">I18+59</f>
        <v>984670</v>
      </c>
      <c r="J17" s="6">
        <f t="shared" si="40"/>
        <v>30</v>
      </c>
      <c r="K17" s="6">
        <f>D17-D18</f>
        <v>33</v>
      </c>
      <c r="L17" s="6">
        <f t="shared" si="40"/>
        <v>12</v>
      </c>
      <c r="M17" s="6">
        <f t="shared" si="41"/>
        <v>59</v>
      </c>
      <c r="N17" s="5">
        <f t="shared" si="24"/>
        <v>29.646774193548389</v>
      </c>
      <c r="O17" s="23">
        <f t="shared" si="42"/>
        <v>12</v>
      </c>
      <c r="P17" s="5">
        <f t="shared" si="43"/>
        <v>17.646774193548389</v>
      </c>
      <c r="Q17" s="5">
        <f t="shared" si="44"/>
        <v>4.125</v>
      </c>
      <c r="R17" s="20">
        <f t="shared" si="28"/>
        <v>179.67741935483872</v>
      </c>
      <c r="S17" s="6">
        <f t="shared" si="45"/>
        <v>75</v>
      </c>
      <c r="T17" s="7">
        <f t="shared" si="46"/>
        <v>104.67741935483872</v>
      </c>
      <c r="U17" s="7">
        <f t="shared" si="47"/>
        <v>741.16935483870941</v>
      </c>
      <c r="V17" s="7">
        <f t="shared" si="47"/>
        <v>198</v>
      </c>
      <c r="W17" s="7">
        <f t="shared" si="48"/>
        <v>543.16935483870941</v>
      </c>
      <c r="X17" s="7">
        <f t="shared" si="49"/>
        <v>4491.9354838709669</v>
      </c>
      <c r="Y17" s="7">
        <f t="shared" si="49"/>
        <v>1696</v>
      </c>
      <c r="Z17" s="7">
        <f t="shared" si="50"/>
        <v>2795.9354838709669</v>
      </c>
      <c r="AA17" s="24">
        <f t="shared" si="51"/>
        <v>0.78595456433679733</v>
      </c>
      <c r="AB17" s="25"/>
    </row>
    <row r="18" spans="2:28" ht="18" x14ac:dyDescent="0.25">
      <c r="B18" s="3">
        <v>24</v>
      </c>
      <c r="C18" s="5">
        <f>C19+27</f>
        <v>155549</v>
      </c>
      <c r="D18" s="5">
        <f>D19+32</f>
        <v>1437635</v>
      </c>
      <c r="E18" s="5">
        <f>E19+12</f>
        <v>294693</v>
      </c>
      <c r="F18" s="8">
        <f t="shared" si="17"/>
        <v>1887877</v>
      </c>
      <c r="G18" s="22">
        <f t="shared" si="38"/>
        <v>1887814.625</v>
      </c>
      <c r="H18" s="7">
        <f t="shared" si="39"/>
        <v>1887818.625</v>
      </c>
      <c r="I18" s="7">
        <f>I19+37</f>
        <v>984611</v>
      </c>
      <c r="J18" s="6">
        <f t="shared" si="40"/>
        <v>27</v>
      </c>
      <c r="K18" s="6">
        <f t="shared" si="40"/>
        <v>32</v>
      </c>
      <c r="L18" s="6">
        <f t="shared" si="40"/>
        <v>12</v>
      </c>
      <c r="M18" s="6">
        <f t="shared" si="41"/>
        <v>37</v>
      </c>
      <c r="N18" s="5">
        <f t="shared" si="24"/>
        <v>29.646774193548389</v>
      </c>
      <c r="O18" s="23">
        <f t="shared" si="42"/>
        <v>12</v>
      </c>
      <c r="P18" s="5">
        <f t="shared" si="43"/>
        <v>17.646774193548389</v>
      </c>
      <c r="Q18" s="5">
        <f t="shared" si="44"/>
        <v>4</v>
      </c>
      <c r="R18" s="20">
        <f t="shared" si="28"/>
        <v>179.67741935483872</v>
      </c>
      <c r="S18" s="6">
        <f t="shared" si="45"/>
        <v>71</v>
      </c>
      <c r="T18" s="7">
        <f t="shared" si="46"/>
        <v>108.67741935483872</v>
      </c>
      <c r="U18" s="7">
        <f t="shared" si="47"/>
        <v>711.52258064516104</v>
      </c>
      <c r="V18" s="7">
        <f t="shared" si="47"/>
        <v>186</v>
      </c>
      <c r="W18" s="7">
        <f t="shared" si="48"/>
        <v>525.52258064516104</v>
      </c>
      <c r="X18" s="7">
        <f t="shared" si="49"/>
        <v>4312.2580645161279</v>
      </c>
      <c r="Y18" s="7">
        <f t="shared" si="49"/>
        <v>1621</v>
      </c>
      <c r="Z18" s="7">
        <f t="shared" si="50"/>
        <v>2691.2580645161279</v>
      </c>
      <c r="AA18" s="24">
        <f t="shared" si="51"/>
        <v>0.8868074520989796</v>
      </c>
      <c r="AB18" s="25"/>
    </row>
    <row r="19" spans="2:28" ht="18" x14ac:dyDescent="0.25">
      <c r="B19" s="3">
        <v>23</v>
      </c>
      <c r="C19" s="5">
        <v>155522</v>
      </c>
      <c r="D19" s="5">
        <v>1437603</v>
      </c>
      <c r="E19" s="5">
        <v>294681</v>
      </c>
      <c r="F19" s="8">
        <f t="shared" si="17"/>
        <v>1887806</v>
      </c>
      <c r="G19" s="22">
        <f t="shared" si="38"/>
        <v>1887749</v>
      </c>
      <c r="H19" s="7">
        <f t="shared" si="39"/>
        <v>1887755.75</v>
      </c>
      <c r="I19" s="7">
        <f>I20+40</f>
        <v>984574</v>
      </c>
      <c r="J19" s="6">
        <f t="shared" si="40"/>
        <v>14</v>
      </c>
      <c r="K19" s="6">
        <f t="shared" si="40"/>
        <v>54</v>
      </c>
      <c r="L19" s="6">
        <f t="shared" si="40"/>
        <v>1</v>
      </c>
      <c r="M19" s="6">
        <f t="shared" si="41"/>
        <v>40</v>
      </c>
      <c r="N19" s="5">
        <f t="shared" si="24"/>
        <v>29.646774193548389</v>
      </c>
      <c r="O19" s="3">
        <f t="shared" si="42"/>
        <v>1</v>
      </c>
      <c r="P19" s="5">
        <f t="shared" si="43"/>
        <v>28.646774193548389</v>
      </c>
      <c r="Q19" s="5">
        <f t="shared" si="44"/>
        <v>6.75</v>
      </c>
      <c r="R19" s="20">
        <f t="shared" si="28"/>
        <v>179.67741935483872</v>
      </c>
      <c r="S19" s="6">
        <f t="shared" si="45"/>
        <v>69</v>
      </c>
      <c r="T19" s="7">
        <f t="shared" si="46"/>
        <v>110.67741935483872</v>
      </c>
      <c r="U19" s="7">
        <f t="shared" si="47"/>
        <v>681.87580645161268</v>
      </c>
      <c r="V19" s="7">
        <f t="shared" si="47"/>
        <v>174</v>
      </c>
      <c r="W19" s="7">
        <f t="shared" si="48"/>
        <v>507.87580645161268</v>
      </c>
      <c r="X19" s="7">
        <f t="shared" si="49"/>
        <v>4132.5806451612889</v>
      </c>
      <c r="Y19" s="7">
        <f t="shared" si="49"/>
        <v>1550</v>
      </c>
      <c r="Z19" s="7">
        <f t="shared" si="50"/>
        <v>2582.5806451612889</v>
      </c>
      <c r="AA19" s="24">
        <f t="shared" si="51"/>
        <v>0.86514000146501402</v>
      </c>
      <c r="AB19" s="1"/>
    </row>
    <row r="20" spans="2:28" ht="18" x14ac:dyDescent="0.25">
      <c r="B20" s="3">
        <v>22</v>
      </c>
      <c r="C20" s="5">
        <v>155508</v>
      </c>
      <c r="D20" s="5">
        <v>1437549</v>
      </c>
      <c r="E20" s="5">
        <v>294680</v>
      </c>
      <c r="F20" s="8">
        <f t="shared" si="17"/>
        <v>1887737</v>
      </c>
      <c r="G20" s="22">
        <f t="shared" si="38"/>
        <v>1887650</v>
      </c>
      <c r="H20" s="7">
        <f t="shared" si="39"/>
        <v>1887657.375</v>
      </c>
      <c r="I20" s="7">
        <v>984534</v>
      </c>
      <c r="J20" s="6">
        <f t="shared" si="40"/>
        <v>26</v>
      </c>
      <c r="K20" s="6">
        <f t="shared" si="40"/>
        <v>59</v>
      </c>
      <c r="L20" s="6">
        <f t="shared" si="40"/>
        <v>11</v>
      </c>
      <c r="M20" s="6">
        <f t="shared" si="41"/>
        <v>66</v>
      </c>
      <c r="N20" s="5">
        <f t="shared" si="24"/>
        <v>29.646774193548389</v>
      </c>
      <c r="O20" s="3">
        <f t="shared" si="42"/>
        <v>11</v>
      </c>
      <c r="P20" s="5">
        <f t="shared" si="43"/>
        <v>18.646774193548389</v>
      </c>
      <c r="Q20" s="5">
        <f t="shared" si="44"/>
        <v>7.375</v>
      </c>
      <c r="R20" s="20">
        <f t="shared" si="28"/>
        <v>179.67741935483872</v>
      </c>
      <c r="S20" s="6">
        <f t="shared" si="45"/>
        <v>96</v>
      </c>
      <c r="T20" s="7">
        <f t="shared" si="46"/>
        <v>83.677419354838719</v>
      </c>
      <c r="U20" s="7">
        <f t="shared" si="47"/>
        <v>652.22903225806431</v>
      </c>
      <c r="V20" s="7">
        <f t="shared" si="47"/>
        <v>173</v>
      </c>
      <c r="W20" s="7">
        <f t="shared" si="48"/>
        <v>479.22903225806431</v>
      </c>
      <c r="X20" s="7">
        <f t="shared" si="49"/>
        <v>3952.9032258064503</v>
      </c>
      <c r="Y20" s="7">
        <f t="shared" si="49"/>
        <v>1481</v>
      </c>
      <c r="Z20" s="7">
        <f t="shared" si="50"/>
        <v>2471.9032258064503</v>
      </c>
      <c r="AA20" s="24">
        <f t="shared" si="51"/>
        <v>0.82404192419936761</v>
      </c>
      <c r="AB20" s="1"/>
    </row>
    <row r="21" spans="2:28" ht="18" x14ac:dyDescent="0.25">
      <c r="B21" s="3">
        <v>21</v>
      </c>
      <c r="C21" s="5">
        <v>155482</v>
      </c>
      <c r="D21" s="5">
        <v>1437490</v>
      </c>
      <c r="E21" s="5">
        <v>294669</v>
      </c>
      <c r="F21" s="8">
        <f t="shared" si="17"/>
        <v>1887641</v>
      </c>
      <c r="G21" s="22">
        <f t="shared" si="38"/>
        <v>1887574</v>
      </c>
      <c r="H21" s="7">
        <f t="shared" si="39"/>
        <v>1887580</v>
      </c>
      <c r="I21" s="7">
        <v>984468</v>
      </c>
      <c r="J21" s="6">
        <f t="shared" si="40"/>
        <v>24</v>
      </c>
      <c r="K21" s="6">
        <f t="shared" si="40"/>
        <v>48</v>
      </c>
      <c r="L21" s="6">
        <f t="shared" si="40"/>
        <v>0</v>
      </c>
      <c r="M21" s="6">
        <f t="shared" si="41"/>
        <v>53</v>
      </c>
      <c r="N21" s="5">
        <f t="shared" si="24"/>
        <v>29.646774193548389</v>
      </c>
      <c r="O21" s="3">
        <f t="shared" si="42"/>
        <v>0</v>
      </c>
      <c r="P21" s="5">
        <f t="shared" si="43"/>
        <v>29.646774193548389</v>
      </c>
      <c r="Q21" s="5">
        <f t="shared" si="44"/>
        <v>6</v>
      </c>
      <c r="R21" s="20">
        <f t="shared" si="28"/>
        <v>179.67741935483872</v>
      </c>
      <c r="S21" s="6">
        <f t="shared" si="45"/>
        <v>72</v>
      </c>
      <c r="T21" s="7">
        <f t="shared" si="46"/>
        <v>107.67741935483872</v>
      </c>
      <c r="U21" s="7">
        <f t="shared" si="47"/>
        <v>622.58225806451594</v>
      </c>
      <c r="V21" s="7">
        <f t="shared" si="47"/>
        <v>162</v>
      </c>
      <c r="W21" s="7">
        <f t="shared" si="48"/>
        <v>460.58225806451594</v>
      </c>
      <c r="X21" s="7">
        <f t="shared" si="49"/>
        <v>3773.2258064516118</v>
      </c>
      <c r="Y21" s="7">
        <f t="shared" si="49"/>
        <v>1385</v>
      </c>
      <c r="Z21" s="7">
        <f t="shared" si="50"/>
        <v>2388.2258064516118</v>
      </c>
      <c r="AA21" s="24">
        <f t="shared" si="51"/>
        <v>0.80533688389362212</v>
      </c>
      <c r="AB21" s="1"/>
    </row>
    <row r="22" spans="2:28" ht="18" x14ac:dyDescent="0.25">
      <c r="B22" s="3">
        <v>20</v>
      </c>
      <c r="C22" s="5">
        <v>155458</v>
      </c>
      <c r="D22" s="5">
        <v>1437442</v>
      </c>
      <c r="E22" s="5">
        <v>294669</v>
      </c>
      <c r="F22" s="9">
        <f>C22+D22+E22</f>
        <v>1887569</v>
      </c>
      <c r="G22" s="22">
        <f t="shared" si="38"/>
        <v>1887536.625</v>
      </c>
      <c r="H22" s="7">
        <f t="shared" si="39"/>
        <v>1887538.375</v>
      </c>
      <c r="I22" s="7">
        <v>984415</v>
      </c>
      <c r="J22" s="6">
        <f t="shared" si="40"/>
        <v>25</v>
      </c>
      <c r="K22" s="6">
        <f t="shared" si="40"/>
        <v>14</v>
      </c>
      <c r="L22" s="6">
        <f t="shared" si="40"/>
        <v>1</v>
      </c>
      <c r="M22" s="6">
        <f t="shared" si="41"/>
        <v>30</v>
      </c>
      <c r="N22" s="5">
        <f t="shared" si="24"/>
        <v>29.646774193548389</v>
      </c>
      <c r="O22" s="3">
        <f t="shared" si="42"/>
        <v>1</v>
      </c>
      <c r="P22" s="5">
        <f t="shared" si="43"/>
        <v>28.646774193548389</v>
      </c>
      <c r="Q22" s="5">
        <f t="shared" si="44"/>
        <v>1.75</v>
      </c>
      <c r="R22" s="20">
        <f t="shared" si="28"/>
        <v>179.67741935483872</v>
      </c>
      <c r="S22" s="6">
        <f t="shared" si="45"/>
        <v>40</v>
      </c>
      <c r="T22" s="7">
        <f t="shared" si="46"/>
        <v>139.67741935483872</v>
      </c>
      <c r="U22" s="7">
        <f t="shared" si="47"/>
        <v>592.93548387096757</v>
      </c>
      <c r="V22" s="7">
        <f t="shared" si="47"/>
        <v>162</v>
      </c>
      <c r="W22" s="7">
        <f t="shared" si="48"/>
        <v>430.93548387096757</v>
      </c>
      <c r="X22" s="7">
        <f t="shared" si="49"/>
        <v>3593.5483870967732</v>
      </c>
      <c r="Y22" s="7">
        <f t="shared" si="49"/>
        <v>1313</v>
      </c>
      <c r="Z22" s="7">
        <f t="shared" si="50"/>
        <v>2280.5483870967732</v>
      </c>
      <c r="AA22" s="24">
        <f t="shared" si="51"/>
        <v>0.8</v>
      </c>
      <c r="AB22" s="1"/>
    </row>
    <row r="23" spans="2:28" ht="18" x14ac:dyDescent="0.25">
      <c r="B23" s="3">
        <v>19</v>
      </c>
      <c r="C23" s="5">
        <v>155433</v>
      </c>
      <c r="D23" s="5">
        <v>1437428</v>
      </c>
      <c r="E23" s="5">
        <v>294668</v>
      </c>
      <c r="F23" s="8">
        <f t="shared" si="17"/>
        <v>1887529</v>
      </c>
      <c r="G23" s="22">
        <f t="shared" si="38"/>
        <v>1887474.25</v>
      </c>
      <c r="H23" s="7">
        <f t="shared" si="39"/>
        <v>1887477.75</v>
      </c>
      <c r="I23" s="7">
        <v>984385</v>
      </c>
      <c r="J23" s="6">
        <f t="shared" si="40"/>
        <v>24</v>
      </c>
      <c r="K23" s="6">
        <f t="shared" si="40"/>
        <v>28</v>
      </c>
      <c r="L23" s="6">
        <f t="shared" si="40"/>
        <v>9</v>
      </c>
      <c r="M23" s="6">
        <f t="shared" si="41"/>
        <v>31</v>
      </c>
      <c r="N23" s="5">
        <f t="shared" si="24"/>
        <v>29.646774193548389</v>
      </c>
      <c r="O23" s="3">
        <f t="shared" si="42"/>
        <v>9</v>
      </c>
      <c r="P23" s="5">
        <f t="shared" si="43"/>
        <v>20.646774193548389</v>
      </c>
      <c r="Q23" s="5">
        <f t="shared" si="44"/>
        <v>3.5</v>
      </c>
      <c r="R23" s="20">
        <f t="shared" si="28"/>
        <v>179.67741935483872</v>
      </c>
      <c r="S23" s="6">
        <f t="shared" si="45"/>
        <v>61</v>
      </c>
      <c r="T23" s="7">
        <f t="shared" si="46"/>
        <v>118.67741935483872</v>
      </c>
      <c r="U23" s="7">
        <f t="shared" si="47"/>
        <v>563.28870967741921</v>
      </c>
      <c r="V23" s="7">
        <f t="shared" si="47"/>
        <v>161</v>
      </c>
      <c r="W23" s="7">
        <f t="shared" si="48"/>
        <v>402.28870967741921</v>
      </c>
      <c r="X23" s="7">
        <f t="shared" si="49"/>
        <v>3413.8709677419347</v>
      </c>
      <c r="Y23" s="7">
        <f t="shared" si="49"/>
        <v>1273</v>
      </c>
      <c r="Z23" s="7">
        <f t="shared" si="50"/>
        <v>2140.8709677419347</v>
      </c>
      <c r="AA23" s="24">
        <f t="shared" si="51"/>
        <v>0.89148518502171392</v>
      </c>
      <c r="AB23" s="1"/>
    </row>
    <row r="24" spans="2:28" ht="18" x14ac:dyDescent="0.25">
      <c r="B24" s="3">
        <v>18</v>
      </c>
      <c r="C24" s="5">
        <v>155409</v>
      </c>
      <c r="D24" s="5">
        <f t="shared" ref="D24" si="53">D25+21</f>
        <v>1437400</v>
      </c>
      <c r="E24" s="5">
        <f t="shared" ref="E24" si="54">E25+4</f>
        <v>294659</v>
      </c>
      <c r="F24" s="8">
        <f t="shared" si="17"/>
        <v>1887468</v>
      </c>
      <c r="G24" s="22">
        <f t="shared" si="38"/>
        <v>1887424.625</v>
      </c>
      <c r="H24" s="7">
        <f t="shared" si="39"/>
        <v>1887427.25</v>
      </c>
      <c r="I24" s="7">
        <f>I25+33</f>
        <v>984354</v>
      </c>
      <c r="J24" s="6">
        <f t="shared" si="40"/>
        <v>25</v>
      </c>
      <c r="K24" s="6">
        <f t="shared" si="40"/>
        <v>21</v>
      </c>
      <c r="L24" s="6">
        <f t="shared" si="40"/>
        <v>4</v>
      </c>
      <c r="M24" s="6">
        <f t="shared" si="41"/>
        <v>33</v>
      </c>
      <c r="N24" s="5">
        <f t="shared" si="24"/>
        <v>29.646774193548389</v>
      </c>
      <c r="O24" s="3">
        <f t="shared" si="42"/>
        <v>4</v>
      </c>
      <c r="P24" s="5">
        <f t="shared" si="43"/>
        <v>25.646774193548389</v>
      </c>
      <c r="Q24" s="5">
        <f t="shared" si="44"/>
        <v>2.625</v>
      </c>
      <c r="R24" s="20">
        <f t="shared" si="28"/>
        <v>179.67741935483872</v>
      </c>
      <c r="S24" s="6">
        <f t="shared" si="45"/>
        <v>50</v>
      </c>
      <c r="T24" s="7">
        <f t="shared" si="46"/>
        <v>129.67741935483872</v>
      </c>
      <c r="U24" s="7">
        <f t="shared" si="47"/>
        <v>533.64193548387084</v>
      </c>
      <c r="V24" s="7">
        <f t="shared" si="47"/>
        <v>152</v>
      </c>
      <c r="W24" s="7">
        <f t="shared" si="48"/>
        <v>381.64193548387084</v>
      </c>
      <c r="X24" s="7">
        <f t="shared" si="49"/>
        <v>3234.1935483870961</v>
      </c>
      <c r="Y24" s="7">
        <f t="shared" si="49"/>
        <v>1212</v>
      </c>
      <c r="Z24" s="7">
        <f t="shared" si="50"/>
        <v>2022.1935483870961</v>
      </c>
      <c r="AA24" s="24">
        <f t="shared" si="51"/>
        <v>0.83460940656172522</v>
      </c>
      <c r="AB24" s="1"/>
    </row>
    <row r="25" spans="2:28" ht="18" x14ac:dyDescent="0.25">
      <c r="B25" s="3">
        <v>17</v>
      </c>
      <c r="C25" s="5">
        <v>155384</v>
      </c>
      <c r="D25" s="5">
        <f>D26+22</f>
        <v>1437379</v>
      </c>
      <c r="E25" s="5">
        <f>E26+10</f>
        <v>294655</v>
      </c>
      <c r="F25" s="8">
        <f t="shared" si="17"/>
        <v>1887418</v>
      </c>
      <c r="G25" s="22">
        <f t="shared" si="38"/>
        <v>1887371.625</v>
      </c>
      <c r="H25" s="7">
        <f t="shared" si="39"/>
        <v>1887374.375</v>
      </c>
      <c r="I25" s="7">
        <f>I26+30</f>
        <v>984321</v>
      </c>
      <c r="J25" s="6">
        <f t="shared" si="40"/>
        <v>21</v>
      </c>
      <c r="K25" s="6">
        <f t="shared" si="40"/>
        <v>22</v>
      </c>
      <c r="L25" s="6">
        <f t="shared" si="40"/>
        <v>10</v>
      </c>
      <c r="M25" s="7">
        <f t="shared" si="41"/>
        <v>30</v>
      </c>
      <c r="N25" s="5">
        <f t="shared" si="24"/>
        <v>29.646774193548389</v>
      </c>
      <c r="O25" s="3">
        <f t="shared" si="42"/>
        <v>10</v>
      </c>
      <c r="P25" s="5">
        <f t="shared" si="43"/>
        <v>19.646774193548389</v>
      </c>
      <c r="Q25" s="5">
        <f t="shared" si="44"/>
        <v>2.75</v>
      </c>
      <c r="R25" s="20">
        <f t="shared" si="28"/>
        <v>179.67741935483872</v>
      </c>
      <c r="S25" s="6">
        <f t="shared" si="45"/>
        <v>53</v>
      </c>
      <c r="T25" s="7">
        <f t="shared" si="46"/>
        <v>126.67741935483872</v>
      </c>
      <c r="U25" s="7">
        <f t="shared" si="47"/>
        <v>503.99516129032247</v>
      </c>
      <c r="V25" s="6">
        <f t="shared" si="47"/>
        <v>148</v>
      </c>
      <c r="W25" s="7">
        <f t="shared" si="48"/>
        <v>355.99516129032247</v>
      </c>
      <c r="X25" s="7">
        <f t="shared" si="49"/>
        <v>3054.5161290322576</v>
      </c>
      <c r="Y25" s="7">
        <f t="shared" si="49"/>
        <v>1162</v>
      </c>
      <c r="Z25" s="7">
        <f t="shared" si="50"/>
        <v>1892.5161290322576</v>
      </c>
      <c r="AA25" s="24">
        <f t="shared" si="51"/>
        <v>0.87025685507145967</v>
      </c>
      <c r="AB25" s="1"/>
    </row>
    <row r="26" spans="2:28" ht="18" x14ac:dyDescent="0.25">
      <c r="B26" s="3">
        <v>16</v>
      </c>
      <c r="C26" s="5">
        <v>155363</v>
      </c>
      <c r="D26" s="5">
        <f>D27+21</f>
        <v>1437357</v>
      </c>
      <c r="E26" s="5">
        <f>E27+9</f>
        <v>294645</v>
      </c>
      <c r="F26" s="8">
        <f t="shared" si="17"/>
        <v>1887365</v>
      </c>
      <c r="G26" s="22">
        <f t="shared" si="38"/>
        <v>1887318.5</v>
      </c>
      <c r="H26" s="7">
        <f t="shared" si="39"/>
        <v>1887321.125</v>
      </c>
      <c r="I26" s="7">
        <f>I27+29</f>
        <v>984291</v>
      </c>
      <c r="J26" s="6">
        <f t="shared" si="40"/>
        <v>23</v>
      </c>
      <c r="K26" s="6">
        <f t="shared" si="40"/>
        <v>21</v>
      </c>
      <c r="L26" s="6">
        <f t="shared" si="40"/>
        <v>9</v>
      </c>
      <c r="M26" s="7">
        <f t="shared" si="41"/>
        <v>29</v>
      </c>
      <c r="N26" s="5">
        <f t="shared" si="24"/>
        <v>29.646774193548389</v>
      </c>
      <c r="O26" s="3">
        <f t="shared" si="42"/>
        <v>9</v>
      </c>
      <c r="P26" s="5">
        <f t="shared" si="43"/>
        <v>20.646774193548389</v>
      </c>
      <c r="Q26" s="5">
        <f t="shared" si="44"/>
        <v>2.625</v>
      </c>
      <c r="R26" s="20">
        <f t="shared" si="28"/>
        <v>179.67741935483872</v>
      </c>
      <c r="S26" s="6">
        <f t="shared" si="45"/>
        <v>53</v>
      </c>
      <c r="T26" s="7">
        <f t="shared" si="46"/>
        <v>126.67741935483872</v>
      </c>
      <c r="U26" s="7">
        <f t="shared" si="47"/>
        <v>474.3483870967741</v>
      </c>
      <c r="V26" s="6">
        <f t="shared" si="47"/>
        <v>138</v>
      </c>
      <c r="W26" s="7">
        <f t="shared" si="48"/>
        <v>336.3483870967741</v>
      </c>
      <c r="X26" s="7">
        <f t="shared" si="49"/>
        <v>2874.838709677419</v>
      </c>
      <c r="Y26" s="7">
        <f t="shared" si="49"/>
        <v>1109</v>
      </c>
      <c r="Z26" s="7">
        <f t="shared" si="50"/>
        <v>1765.838709677419</v>
      </c>
      <c r="AA26" s="24">
        <f t="shared" si="51"/>
        <v>0.8772622419185101</v>
      </c>
      <c r="AB26" s="1"/>
    </row>
    <row r="27" spans="2:28" ht="18" x14ac:dyDescent="0.25">
      <c r="B27" s="3">
        <v>15</v>
      </c>
      <c r="C27" s="5">
        <v>155340</v>
      </c>
      <c r="D27" s="5">
        <v>1437336</v>
      </c>
      <c r="E27" s="5">
        <v>294636</v>
      </c>
      <c r="F27" s="8">
        <f t="shared" si="17"/>
        <v>1887312</v>
      </c>
      <c r="G27" s="22">
        <f t="shared" si="38"/>
        <v>1887270.125</v>
      </c>
      <c r="H27" s="7">
        <f t="shared" si="39"/>
        <v>1887273.75</v>
      </c>
      <c r="I27" s="7">
        <f>I28+31</f>
        <v>984262</v>
      </c>
      <c r="J27" s="6">
        <f t="shared" si="40"/>
        <v>20</v>
      </c>
      <c r="K27" s="6">
        <f t="shared" si="40"/>
        <v>29</v>
      </c>
      <c r="L27" s="6">
        <f t="shared" si="40"/>
        <v>3</v>
      </c>
      <c r="M27" s="7">
        <f t="shared" si="41"/>
        <v>31</v>
      </c>
      <c r="N27" s="5">
        <f t="shared" si="24"/>
        <v>29.646774193548389</v>
      </c>
      <c r="O27" s="3">
        <f t="shared" si="42"/>
        <v>3</v>
      </c>
      <c r="P27" s="5">
        <f t="shared" si="43"/>
        <v>26.646774193548389</v>
      </c>
      <c r="Q27" s="5">
        <f t="shared" si="44"/>
        <v>3.625</v>
      </c>
      <c r="R27" s="20">
        <f t="shared" si="28"/>
        <v>179.67741935483872</v>
      </c>
      <c r="S27" s="6">
        <f t="shared" si="45"/>
        <v>52</v>
      </c>
      <c r="T27" s="7">
        <f t="shared" si="46"/>
        <v>127.67741935483872</v>
      </c>
      <c r="U27" s="7">
        <f t="shared" si="47"/>
        <v>444.70161290322574</v>
      </c>
      <c r="V27" s="6">
        <f t="shared" si="47"/>
        <v>129</v>
      </c>
      <c r="W27" s="7">
        <f t="shared" si="48"/>
        <v>315.70161290322574</v>
      </c>
      <c r="X27" s="7">
        <f t="shared" si="49"/>
        <v>2695.1612903225805</v>
      </c>
      <c r="Y27" s="7">
        <f t="shared" si="49"/>
        <v>1056</v>
      </c>
      <c r="Z27" s="7">
        <f t="shared" si="50"/>
        <v>1639.1612903225805</v>
      </c>
      <c r="AA27" s="24">
        <f t="shared" si="51"/>
        <v>0.85894697420856336</v>
      </c>
      <c r="AB27" s="1"/>
    </row>
    <row r="28" spans="2:28" ht="18" x14ac:dyDescent="0.25">
      <c r="B28" s="3">
        <v>14</v>
      </c>
      <c r="C28" s="5">
        <f>C29+23</f>
        <v>155320</v>
      </c>
      <c r="D28" s="5">
        <f>D29+46</f>
        <v>1437307</v>
      </c>
      <c r="E28" s="5">
        <f>E29+12</f>
        <v>294633</v>
      </c>
      <c r="F28" s="8">
        <f>C28+D28+E28</f>
        <v>1887260</v>
      </c>
      <c r="G28" s="22">
        <f t="shared" si="38"/>
        <v>1887189</v>
      </c>
      <c r="H28" s="7">
        <f t="shared" si="39"/>
        <v>1887194.75</v>
      </c>
      <c r="I28" s="7">
        <f>I29+53</f>
        <v>984231</v>
      </c>
      <c r="J28" s="6">
        <f t="shared" si="40"/>
        <v>23</v>
      </c>
      <c r="K28" s="6">
        <f t="shared" ref="K28:L30" si="55">D28-D29</f>
        <v>46</v>
      </c>
      <c r="L28" s="6">
        <f t="shared" si="55"/>
        <v>12</v>
      </c>
      <c r="M28" s="7">
        <f t="shared" si="41"/>
        <v>53</v>
      </c>
      <c r="N28" s="5">
        <f t="shared" si="24"/>
        <v>29.646774193548389</v>
      </c>
      <c r="O28" s="3">
        <f t="shared" si="42"/>
        <v>12</v>
      </c>
      <c r="P28" s="5">
        <f t="shared" si="43"/>
        <v>17.646774193548389</v>
      </c>
      <c r="Q28" s="5">
        <f t="shared" si="44"/>
        <v>5.75</v>
      </c>
      <c r="R28" s="20">
        <f t="shared" si="28"/>
        <v>179.67741935483872</v>
      </c>
      <c r="S28" s="6">
        <f t="shared" si="45"/>
        <v>81</v>
      </c>
      <c r="T28" s="7">
        <f t="shared" si="46"/>
        <v>98.677419354838719</v>
      </c>
      <c r="U28" s="7">
        <f t="shared" si="47"/>
        <v>415.05483870967737</v>
      </c>
      <c r="V28" s="6">
        <f t="shared" si="47"/>
        <v>126</v>
      </c>
      <c r="W28" s="7">
        <f t="shared" si="48"/>
        <v>289.05483870967737</v>
      </c>
      <c r="X28" s="7">
        <f t="shared" si="49"/>
        <v>2515.483870967742</v>
      </c>
      <c r="Y28" s="7">
        <f t="shared" si="49"/>
        <v>1004</v>
      </c>
      <c r="Z28" s="7">
        <f t="shared" si="50"/>
        <v>1511.483870967742</v>
      </c>
      <c r="AA28" s="24">
        <f t="shared" si="51"/>
        <v>0.83678757589475772</v>
      </c>
      <c r="AB28" s="1"/>
    </row>
    <row r="29" spans="2:28" ht="18" x14ac:dyDescent="0.25">
      <c r="B29" s="3">
        <v>13</v>
      </c>
      <c r="C29" s="5">
        <v>155297</v>
      </c>
      <c r="D29" s="5">
        <v>1437261</v>
      </c>
      <c r="E29" s="5">
        <v>294621</v>
      </c>
      <c r="F29" s="8">
        <f>C29+D29+E29</f>
        <v>1887179</v>
      </c>
      <c r="G29" s="22">
        <f t="shared" si="38"/>
        <v>1887105.625</v>
      </c>
      <c r="H29" s="7">
        <f t="shared" si="39"/>
        <v>1887112.125</v>
      </c>
      <c r="I29" s="7">
        <v>984178</v>
      </c>
      <c r="J29" s="6">
        <f t="shared" si="40"/>
        <v>21</v>
      </c>
      <c r="K29" s="6">
        <f t="shared" si="55"/>
        <v>52</v>
      </c>
      <c r="L29" s="6">
        <f t="shared" si="55"/>
        <v>7</v>
      </c>
      <c r="M29" s="6">
        <f t="shared" si="41"/>
        <v>55</v>
      </c>
      <c r="N29" s="5">
        <f t="shared" si="24"/>
        <v>29.646774193548389</v>
      </c>
      <c r="O29" s="3">
        <f t="shared" si="42"/>
        <v>7</v>
      </c>
      <c r="P29" s="5">
        <f t="shared" si="43"/>
        <v>22.646774193548389</v>
      </c>
      <c r="Q29" s="5">
        <f t="shared" si="44"/>
        <v>6.5</v>
      </c>
      <c r="R29" s="20">
        <f t="shared" si="28"/>
        <v>179.67741935483872</v>
      </c>
      <c r="S29" s="6">
        <f t="shared" si="45"/>
        <v>80</v>
      </c>
      <c r="T29" s="7">
        <f t="shared" si="46"/>
        <v>99.677419354838719</v>
      </c>
      <c r="U29" s="7">
        <f t="shared" si="47"/>
        <v>385.408064516129</v>
      </c>
      <c r="V29" s="6">
        <f t="shared" si="47"/>
        <v>114</v>
      </c>
      <c r="W29" s="7">
        <f t="shared" si="48"/>
        <v>271.408064516129</v>
      </c>
      <c r="X29" s="7">
        <f t="shared" si="49"/>
        <v>2335.8064516129034</v>
      </c>
      <c r="Y29" s="7">
        <f t="shared" si="49"/>
        <v>923</v>
      </c>
      <c r="Z29" s="7">
        <f t="shared" si="50"/>
        <v>1412.8064516129034</v>
      </c>
      <c r="AA29" s="24">
        <f t="shared" si="51"/>
        <v>0.82404192419936761</v>
      </c>
      <c r="AB29" s="1"/>
    </row>
    <row r="30" spans="2:28" ht="18" x14ac:dyDescent="0.25">
      <c r="B30" s="3">
        <v>12</v>
      </c>
      <c r="C30" s="5">
        <v>155276</v>
      </c>
      <c r="D30" s="5">
        <v>1437209</v>
      </c>
      <c r="E30" s="5">
        <v>294614</v>
      </c>
      <c r="F30" s="8">
        <f>C30+D30+E30</f>
        <v>1887099</v>
      </c>
      <c r="G30" s="22">
        <f t="shared" si="38"/>
        <v>1887054.375</v>
      </c>
      <c r="H30" s="7">
        <f t="shared" si="39"/>
        <v>1887058.125</v>
      </c>
      <c r="I30" s="7">
        <v>984123</v>
      </c>
      <c r="J30" s="6">
        <f t="shared" si="40"/>
        <v>19</v>
      </c>
      <c r="K30" s="6">
        <f t="shared" si="55"/>
        <v>30</v>
      </c>
      <c r="L30" s="6">
        <f t="shared" si="55"/>
        <v>4</v>
      </c>
      <c r="M30" s="6">
        <f t="shared" si="41"/>
        <v>40</v>
      </c>
      <c r="N30" s="5">
        <f t="shared" si="24"/>
        <v>29.646774193548389</v>
      </c>
      <c r="O30" s="3">
        <f t="shared" si="42"/>
        <v>4</v>
      </c>
      <c r="P30" s="5">
        <f t="shared" si="43"/>
        <v>25.646774193548389</v>
      </c>
      <c r="Q30" s="5">
        <f t="shared" si="44"/>
        <v>3.75</v>
      </c>
      <c r="R30" s="20">
        <f t="shared" si="28"/>
        <v>179.67741935483872</v>
      </c>
      <c r="S30" s="6">
        <f t="shared" si="45"/>
        <v>53</v>
      </c>
      <c r="T30" s="7">
        <f t="shared" si="46"/>
        <v>126.67741935483872</v>
      </c>
      <c r="U30" s="7">
        <f t="shared" si="47"/>
        <v>355.76129032258063</v>
      </c>
      <c r="V30" s="6">
        <f t="shared" si="47"/>
        <v>107</v>
      </c>
      <c r="W30" s="7">
        <f t="shared" si="48"/>
        <v>248.76129032258063</v>
      </c>
      <c r="X30" s="7">
        <f t="shared" si="49"/>
        <v>2156.1290322580649</v>
      </c>
      <c r="Y30" s="7">
        <f t="shared" si="49"/>
        <v>843</v>
      </c>
      <c r="Z30" s="7">
        <f t="shared" si="50"/>
        <v>1313.1290322580649</v>
      </c>
      <c r="AA30" s="24">
        <f t="shared" si="51"/>
        <v>0.79818915033323068</v>
      </c>
      <c r="AB30" s="1"/>
    </row>
    <row r="31" spans="2:28" ht="18" x14ac:dyDescent="0.25">
      <c r="B31" s="3">
        <v>11</v>
      </c>
      <c r="C31" s="5">
        <v>155257</v>
      </c>
      <c r="D31" s="5">
        <v>1437179</v>
      </c>
      <c r="E31" s="5">
        <v>294610</v>
      </c>
      <c r="F31" s="8">
        <f t="shared" si="17"/>
        <v>1887046</v>
      </c>
      <c r="G31" s="22">
        <f t="shared" si="38"/>
        <v>1886986.375</v>
      </c>
      <c r="H31" s="7">
        <f t="shared" si="39"/>
        <v>1886990.375</v>
      </c>
      <c r="I31" s="7">
        <v>984083</v>
      </c>
      <c r="J31" s="6">
        <f t="shared" si="40"/>
        <v>25</v>
      </c>
      <c r="K31" s="6">
        <f t="shared" si="40"/>
        <v>32</v>
      </c>
      <c r="L31" s="6">
        <f t="shared" si="40"/>
        <v>10</v>
      </c>
      <c r="M31" s="6">
        <f t="shared" si="41"/>
        <v>44</v>
      </c>
      <c r="N31" s="5">
        <f t="shared" si="24"/>
        <v>29.646774193548389</v>
      </c>
      <c r="O31" s="3">
        <f t="shared" si="42"/>
        <v>10</v>
      </c>
      <c r="P31" s="5">
        <f t="shared" si="43"/>
        <v>19.646774193548389</v>
      </c>
      <c r="Q31" s="5">
        <f t="shared" si="44"/>
        <v>4</v>
      </c>
      <c r="R31" s="20">
        <f t="shared" si="28"/>
        <v>179.67741935483872</v>
      </c>
      <c r="S31" s="6">
        <f t="shared" si="45"/>
        <v>67</v>
      </c>
      <c r="T31" s="7">
        <f t="shared" si="46"/>
        <v>112.67741935483872</v>
      </c>
      <c r="U31" s="7">
        <f t="shared" si="47"/>
        <v>326.11451612903227</v>
      </c>
      <c r="V31" s="6">
        <f t="shared" si="47"/>
        <v>103</v>
      </c>
      <c r="W31" s="7">
        <f t="shared" si="48"/>
        <v>223.11451612903227</v>
      </c>
      <c r="X31" s="7">
        <f t="shared" si="49"/>
        <v>1976.4516129032263</v>
      </c>
      <c r="Y31" s="7">
        <f t="shared" si="49"/>
        <v>790</v>
      </c>
      <c r="Z31" s="7">
        <f t="shared" si="50"/>
        <v>1186.4516129032263</v>
      </c>
      <c r="AA31" s="24">
        <f t="shared" si="51"/>
        <v>0.83586903447941918</v>
      </c>
      <c r="AB31" s="1"/>
    </row>
    <row r="32" spans="2:28" ht="18" x14ac:dyDescent="0.25">
      <c r="B32" s="3">
        <v>10</v>
      </c>
      <c r="C32" s="5">
        <v>155232</v>
      </c>
      <c r="D32" s="5">
        <v>1437147</v>
      </c>
      <c r="E32" s="5">
        <v>294600</v>
      </c>
      <c r="F32" s="8">
        <f t="shared" si="17"/>
        <v>1886979</v>
      </c>
      <c r="G32" s="22">
        <f t="shared" si="38"/>
        <v>1886928.5</v>
      </c>
      <c r="H32" s="7">
        <f t="shared" si="39"/>
        <v>1886932.75</v>
      </c>
      <c r="I32" s="7">
        <v>984039</v>
      </c>
      <c r="J32" s="6">
        <f t="shared" si="40"/>
        <v>16</v>
      </c>
      <c r="K32" s="6">
        <f t="shared" si="40"/>
        <v>34</v>
      </c>
      <c r="L32" s="6">
        <f t="shared" si="40"/>
        <v>9</v>
      </c>
      <c r="M32" s="6">
        <f t="shared" si="41"/>
        <v>21</v>
      </c>
      <c r="N32" s="5">
        <f t="shared" si="24"/>
        <v>29.646774193548389</v>
      </c>
      <c r="O32" s="3">
        <f t="shared" si="42"/>
        <v>9</v>
      </c>
      <c r="P32" s="5">
        <f t="shared" si="43"/>
        <v>20.646774193548389</v>
      </c>
      <c r="Q32" s="5">
        <f t="shared" si="44"/>
        <v>4.25</v>
      </c>
      <c r="R32" s="20">
        <f t="shared" si="28"/>
        <v>179.67741935483872</v>
      </c>
      <c r="S32" s="6">
        <f t="shared" si="45"/>
        <v>59</v>
      </c>
      <c r="T32" s="7">
        <f t="shared" si="46"/>
        <v>120.67741935483872</v>
      </c>
      <c r="U32" s="7">
        <f t="shared" si="47"/>
        <v>296.4677419354839</v>
      </c>
      <c r="V32" s="6">
        <f t="shared" si="47"/>
        <v>93</v>
      </c>
      <c r="W32" s="7">
        <f t="shared" si="48"/>
        <v>203.4677419354839</v>
      </c>
      <c r="X32" s="7">
        <f t="shared" si="49"/>
        <v>1796.7741935483875</v>
      </c>
      <c r="Y32" s="7">
        <f t="shared" si="49"/>
        <v>723</v>
      </c>
      <c r="Z32" s="7">
        <f t="shared" si="50"/>
        <v>1073.7741935483875</v>
      </c>
      <c r="AA32" s="24">
        <f t="shared" si="51"/>
        <v>0.9421026317177148</v>
      </c>
      <c r="AB32" s="1"/>
    </row>
    <row r="33" spans="2:28" ht="18" x14ac:dyDescent="0.25">
      <c r="B33" s="3">
        <v>9</v>
      </c>
      <c r="C33" s="5">
        <v>155216</v>
      </c>
      <c r="D33" s="5">
        <v>1437113</v>
      </c>
      <c r="E33" s="5">
        <v>294591</v>
      </c>
      <c r="F33" s="8">
        <f t="shared" si="17"/>
        <v>1886920</v>
      </c>
      <c r="G33" s="22">
        <f t="shared" si="38"/>
        <v>1886861.75</v>
      </c>
      <c r="H33" s="7">
        <f t="shared" si="39"/>
        <v>1886866.75</v>
      </c>
      <c r="I33" s="7">
        <v>984018</v>
      </c>
      <c r="J33" s="6">
        <f t="shared" si="40"/>
        <v>21</v>
      </c>
      <c r="K33" s="6">
        <f t="shared" si="40"/>
        <v>40</v>
      </c>
      <c r="L33" s="6">
        <f t="shared" si="40"/>
        <v>7</v>
      </c>
      <c r="M33" s="6">
        <f t="shared" si="41"/>
        <v>41</v>
      </c>
      <c r="N33" s="5">
        <f t="shared" si="24"/>
        <v>29.646774193548389</v>
      </c>
      <c r="O33" s="3">
        <f t="shared" si="42"/>
        <v>7</v>
      </c>
      <c r="P33" s="5">
        <f t="shared" si="43"/>
        <v>22.646774193548389</v>
      </c>
      <c r="Q33" s="5">
        <f t="shared" si="44"/>
        <v>5</v>
      </c>
      <c r="R33" s="20">
        <f t="shared" si="28"/>
        <v>179.67741935483872</v>
      </c>
      <c r="S33" s="6">
        <f t="shared" si="45"/>
        <v>68</v>
      </c>
      <c r="T33" s="7">
        <f t="shared" si="46"/>
        <v>111.67741935483872</v>
      </c>
      <c r="U33" s="7">
        <f t="shared" si="47"/>
        <v>266.82096774193553</v>
      </c>
      <c r="V33" s="6">
        <f t="shared" si="47"/>
        <v>84</v>
      </c>
      <c r="W33" s="7">
        <f t="shared" si="48"/>
        <v>182.82096774193553</v>
      </c>
      <c r="X33" s="7">
        <f t="shared" si="49"/>
        <v>1617.0967741935488</v>
      </c>
      <c r="Y33" s="7">
        <f t="shared" si="49"/>
        <v>664</v>
      </c>
      <c r="Z33" s="7">
        <f t="shared" si="50"/>
        <v>953.09677419354875</v>
      </c>
      <c r="AA33" s="24">
        <f t="shared" si="51"/>
        <v>0.85637970633792959</v>
      </c>
      <c r="AB33" s="1"/>
    </row>
    <row r="34" spans="2:28" ht="18" x14ac:dyDescent="0.25">
      <c r="B34" s="3">
        <v>8</v>
      </c>
      <c r="C34" s="5">
        <v>155195</v>
      </c>
      <c r="D34" s="5">
        <v>1437073</v>
      </c>
      <c r="E34" s="5">
        <v>294584</v>
      </c>
      <c r="F34" s="8">
        <f t="shared" si="17"/>
        <v>1886852</v>
      </c>
      <c r="G34" s="22">
        <f t="shared" si="38"/>
        <v>1886786.125</v>
      </c>
      <c r="H34" s="7">
        <f t="shared" si="39"/>
        <v>1886791.375</v>
      </c>
      <c r="I34" s="7">
        <v>983977</v>
      </c>
      <c r="J34" s="6">
        <f t="shared" si="40"/>
        <v>25</v>
      </c>
      <c r="K34" s="6">
        <f t="shared" si="40"/>
        <v>42</v>
      </c>
      <c r="L34" s="6">
        <f t="shared" si="40"/>
        <v>11</v>
      </c>
      <c r="M34" s="6">
        <f t="shared" si="41"/>
        <v>88</v>
      </c>
      <c r="N34" s="5">
        <f t="shared" si="24"/>
        <v>29.646774193548389</v>
      </c>
      <c r="O34" s="3">
        <f t="shared" si="42"/>
        <v>11</v>
      </c>
      <c r="P34" s="5">
        <f t="shared" si="43"/>
        <v>18.646774193548389</v>
      </c>
      <c r="Q34" s="5">
        <f t="shared" si="44"/>
        <v>5.25</v>
      </c>
      <c r="R34" s="20">
        <f t="shared" si="28"/>
        <v>179.67741935483872</v>
      </c>
      <c r="S34" s="6">
        <f t="shared" si="45"/>
        <v>78</v>
      </c>
      <c r="T34" s="7">
        <f t="shared" si="46"/>
        <v>101.67741935483872</v>
      </c>
      <c r="U34" s="7">
        <f t="shared" si="47"/>
        <v>237.17419354838714</v>
      </c>
      <c r="V34" s="6">
        <f t="shared" si="47"/>
        <v>77</v>
      </c>
      <c r="W34" s="7">
        <f t="shared" si="48"/>
        <v>160.17419354838714</v>
      </c>
      <c r="X34" s="7">
        <f t="shared" si="49"/>
        <v>1437.41935483871</v>
      </c>
      <c r="Y34" s="7">
        <f t="shared" si="49"/>
        <v>596</v>
      </c>
      <c r="Z34" s="7">
        <f t="shared" si="50"/>
        <v>841.41935483870998</v>
      </c>
      <c r="AA34" s="24">
        <f t="shared" si="51"/>
        <v>0.66330751431585178</v>
      </c>
      <c r="AB34" s="1"/>
    </row>
    <row r="35" spans="2:28" ht="18" x14ac:dyDescent="0.25">
      <c r="B35" s="3">
        <v>7</v>
      </c>
      <c r="C35" s="5">
        <v>155170</v>
      </c>
      <c r="D35" s="5">
        <v>1437031</v>
      </c>
      <c r="E35" s="5">
        <v>294573</v>
      </c>
      <c r="F35" s="8">
        <f t="shared" si="17"/>
        <v>1886774</v>
      </c>
      <c r="G35" s="22">
        <f t="shared" si="38"/>
        <v>1886688.125</v>
      </c>
      <c r="H35" s="7">
        <f t="shared" si="39"/>
        <v>1886694.5</v>
      </c>
      <c r="I35" s="7">
        <v>983889</v>
      </c>
      <c r="J35" s="6">
        <f t="shared" si="40"/>
        <v>33</v>
      </c>
      <c r="K35" s="6">
        <f t="shared" si="40"/>
        <v>51</v>
      </c>
      <c r="L35" s="6">
        <f t="shared" si="40"/>
        <v>13</v>
      </c>
      <c r="M35" s="6">
        <f t="shared" si="41"/>
        <v>87</v>
      </c>
      <c r="N35" s="5">
        <f t="shared" si="24"/>
        <v>29.646774193548389</v>
      </c>
      <c r="O35" s="3">
        <f t="shared" si="42"/>
        <v>13</v>
      </c>
      <c r="P35" s="5">
        <f t="shared" si="43"/>
        <v>16.646774193548389</v>
      </c>
      <c r="Q35" s="5">
        <f t="shared" si="44"/>
        <v>6.375</v>
      </c>
      <c r="R35" s="20">
        <f t="shared" si="28"/>
        <v>179.67741935483872</v>
      </c>
      <c r="S35" s="6">
        <f t="shared" si="45"/>
        <v>97</v>
      </c>
      <c r="T35" s="7">
        <f t="shared" si="46"/>
        <v>82.677419354838719</v>
      </c>
      <c r="U35" s="7">
        <f t="shared" si="47"/>
        <v>207.52741935483874</v>
      </c>
      <c r="V35" s="6">
        <f t="shared" si="47"/>
        <v>66</v>
      </c>
      <c r="W35" s="7">
        <f t="shared" si="48"/>
        <v>141.52741935483874</v>
      </c>
      <c r="X35" s="7">
        <f t="shared" si="49"/>
        <v>1257.7419354838712</v>
      </c>
      <c r="Y35" s="7">
        <f t="shared" si="49"/>
        <v>518</v>
      </c>
      <c r="Z35" s="7">
        <f t="shared" si="50"/>
        <v>739.7419354838712</v>
      </c>
      <c r="AA35" s="24">
        <f t="shared" si="51"/>
        <v>0.74443789023084783</v>
      </c>
      <c r="AB35" s="1"/>
    </row>
    <row r="36" spans="2:28" ht="18" x14ac:dyDescent="0.25">
      <c r="B36" s="3">
        <v>6</v>
      </c>
      <c r="C36" s="7">
        <f>C37+30</f>
        <v>155137</v>
      </c>
      <c r="D36" s="7">
        <f>D37+47</f>
        <v>1436980</v>
      </c>
      <c r="E36" s="22">
        <f>E37+12</f>
        <v>294560</v>
      </c>
      <c r="F36" s="8">
        <f t="shared" si="17"/>
        <v>1886677</v>
      </c>
      <c r="G36" s="22">
        <f t="shared" si="38"/>
        <v>1886597.75</v>
      </c>
      <c r="H36" s="7">
        <f t="shared" si="39"/>
        <v>1886603.625</v>
      </c>
      <c r="I36" s="7">
        <f>I37+81</f>
        <v>983802</v>
      </c>
      <c r="J36" s="6">
        <f t="shared" si="40"/>
        <v>30</v>
      </c>
      <c r="K36" s="6">
        <f t="shared" si="40"/>
        <v>47</v>
      </c>
      <c r="L36" s="6">
        <f t="shared" si="40"/>
        <v>12</v>
      </c>
      <c r="M36" s="6">
        <f t="shared" si="41"/>
        <v>81</v>
      </c>
      <c r="N36" s="5">
        <f t="shared" si="24"/>
        <v>29.646774193548389</v>
      </c>
      <c r="O36" s="3">
        <f t="shared" si="42"/>
        <v>12</v>
      </c>
      <c r="P36" s="5">
        <f t="shared" si="43"/>
        <v>17.646774193548389</v>
      </c>
      <c r="Q36" s="5">
        <f t="shared" si="44"/>
        <v>5.875</v>
      </c>
      <c r="R36" s="20">
        <f t="shared" si="28"/>
        <v>179.67741935483872</v>
      </c>
      <c r="S36" s="6">
        <f t="shared" si="45"/>
        <v>89</v>
      </c>
      <c r="T36" s="7">
        <f t="shared" si="46"/>
        <v>90.677419354838719</v>
      </c>
      <c r="U36" s="7">
        <f t="shared" si="47"/>
        <v>177.88064516129035</v>
      </c>
      <c r="V36" s="6">
        <f t="shared" si="47"/>
        <v>53</v>
      </c>
      <c r="W36" s="7">
        <f t="shared" si="48"/>
        <v>124.88064516129035</v>
      </c>
      <c r="X36" s="7">
        <f t="shared" si="49"/>
        <v>1078.0645161290324</v>
      </c>
      <c r="Y36" s="7">
        <f t="shared" si="49"/>
        <v>421</v>
      </c>
      <c r="Z36" s="7">
        <f t="shared" si="50"/>
        <v>657.06451612903243</v>
      </c>
      <c r="AA36" s="24">
        <f t="shared" si="51"/>
        <v>0.73956395294230293</v>
      </c>
      <c r="AB36" s="1"/>
    </row>
    <row r="37" spans="2:28" ht="18" x14ac:dyDescent="0.25">
      <c r="B37" s="3">
        <v>5</v>
      </c>
      <c r="C37" s="7">
        <f t="shared" ref="C37" si="56">C38+25</f>
        <v>155107</v>
      </c>
      <c r="D37" s="7">
        <f>D38+43</f>
        <v>1436933</v>
      </c>
      <c r="E37" s="22">
        <f>E38+10</f>
        <v>294548</v>
      </c>
      <c r="F37" s="8">
        <f t="shared" si="17"/>
        <v>1886588</v>
      </c>
      <c r="G37" s="22">
        <f t="shared" si="38"/>
        <v>1886519</v>
      </c>
      <c r="H37" s="7">
        <f t="shared" si="39"/>
        <v>1886524.375</v>
      </c>
      <c r="I37" s="7">
        <f>I38+80</f>
        <v>983721</v>
      </c>
      <c r="J37" s="6">
        <f t="shared" si="40"/>
        <v>25</v>
      </c>
      <c r="K37" s="6">
        <f t="shared" si="40"/>
        <v>43</v>
      </c>
      <c r="L37" s="6">
        <f t="shared" si="40"/>
        <v>10</v>
      </c>
      <c r="M37" s="6">
        <f t="shared" si="41"/>
        <v>80</v>
      </c>
      <c r="N37" s="5">
        <f t="shared" si="24"/>
        <v>29.646774193548389</v>
      </c>
      <c r="O37" s="3">
        <f t="shared" si="42"/>
        <v>10</v>
      </c>
      <c r="P37" s="5">
        <f t="shared" si="43"/>
        <v>19.646774193548389</v>
      </c>
      <c r="Q37" s="5">
        <f t="shared" si="44"/>
        <v>5.375</v>
      </c>
      <c r="R37" s="20">
        <f t="shared" si="28"/>
        <v>179.67741935483872</v>
      </c>
      <c r="S37" s="6">
        <f t="shared" si="45"/>
        <v>78</v>
      </c>
      <c r="T37" s="7">
        <f t="shared" si="46"/>
        <v>101.67741935483872</v>
      </c>
      <c r="U37" s="7">
        <f t="shared" si="47"/>
        <v>148.23387096774195</v>
      </c>
      <c r="V37" s="6">
        <f t="shared" si="47"/>
        <v>41</v>
      </c>
      <c r="W37" s="7">
        <f t="shared" si="48"/>
        <v>107.23387096774195</v>
      </c>
      <c r="X37" s="7">
        <f t="shared" si="49"/>
        <v>898.38709677419365</v>
      </c>
      <c r="Y37" s="7">
        <f t="shared" si="49"/>
        <v>332</v>
      </c>
      <c r="Z37" s="7">
        <f t="shared" si="50"/>
        <v>566.38709677419365</v>
      </c>
      <c r="AA37" s="24">
        <f t="shared" si="51"/>
        <v>0.69810013612953992</v>
      </c>
      <c r="AB37" s="1"/>
    </row>
    <row r="38" spans="2:28" ht="18" x14ac:dyDescent="0.25">
      <c r="B38" s="3">
        <v>4</v>
      </c>
      <c r="C38" s="7">
        <f>C39+24</f>
        <v>155082</v>
      </c>
      <c r="D38" s="7">
        <f>D39+39</f>
        <v>1436890</v>
      </c>
      <c r="E38" s="22">
        <f t="shared" ref="E38:E39" si="57">E39+9</f>
        <v>294538</v>
      </c>
      <c r="F38" s="9">
        <f>C38+D38+E38</f>
        <v>1886510</v>
      </c>
      <c r="G38" s="22">
        <f t="shared" si="38"/>
        <v>1886446.25</v>
      </c>
      <c r="H38" s="7">
        <f t="shared" si="39"/>
        <v>1886451.125</v>
      </c>
      <c r="I38" s="7">
        <f>I39+66</f>
        <v>983641</v>
      </c>
      <c r="J38" s="6">
        <f t="shared" si="40"/>
        <v>24</v>
      </c>
      <c r="K38" s="6">
        <f t="shared" si="40"/>
        <v>39</v>
      </c>
      <c r="L38" s="6">
        <f t="shared" si="40"/>
        <v>9</v>
      </c>
      <c r="M38" s="6">
        <f t="shared" si="41"/>
        <v>66</v>
      </c>
      <c r="N38" s="5">
        <f t="shared" si="24"/>
        <v>29.646774193548389</v>
      </c>
      <c r="O38" s="3">
        <f t="shared" si="42"/>
        <v>9</v>
      </c>
      <c r="P38" s="5">
        <f t="shared" si="43"/>
        <v>20.646774193548389</v>
      </c>
      <c r="Q38" s="5">
        <f t="shared" si="44"/>
        <v>4.875</v>
      </c>
      <c r="R38" s="20">
        <f t="shared" si="28"/>
        <v>179.67741935483872</v>
      </c>
      <c r="S38" s="6">
        <f t="shared" si="45"/>
        <v>72</v>
      </c>
      <c r="T38" s="7">
        <f t="shared" si="46"/>
        <v>107.67741935483872</v>
      </c>
      <c r="U38" s="7">
        <f t="shared" si="47"/>
        <v>118.58709677419355</v>
      </c>
      <c r="V38" s="6">
        <f t="shared" si="47"/>
        <v>31</v>
      </c>
      <c r="W38" s="7">
        <f t="shared" si="48"/>
        <v>87.587096774193554</v>
      </c>
      <c r="X38" s="7">
        <f t="shared" si="49"/>
        <v>718.70967741935488</v>
      </c>
      <c r="Y38" s="7">
        <f t="shared" si="49"/>
        <v>254</v>
      </c>
      <c r="Z38" s="7">
        <f t="shared" si="50"/>
        <v>464.70967741935488</v>
      </c>
      <c r="AA38" s="24">
        <f t="shared" si="51"/>
        <v>0.73715414020074144</v>
      </c>
      <c r="AB38" s="1"/>
    </row>
    <row r="39" spans="2:28" ht="18" x14ac:dyDescent="0.25">
      <c r="B39" s="3">
        <v>3</v>
      </c>
      <c r="C39" s="7">
        <f>C40+23</f>
        <v>155058</v>
      </c>
      <c r="D39" s="7">
        <f>D40+34</f>
        <v>1436851</v>
      </c>
      <c r="E39" s="22">
        <f t="shared" si="57"/>
        <v>294529</v>
      </c>
      <c r="F39" s="8">
        <f t="shared" si="17"/>
        <v>1886438</v>
      </c>
      <c r="G39" s="22">
        <f t="shared" si="38"/>
        <v>1886379.375</v>
      </c>
      <c r="H39" s="7">
        <f t="shared" si="39"/>
        <v>1886383.625</v>
      </c>
      <c r="I39" s="7">
        <f>I40+67</f>
        <v>983575</v>
      </c>
      <c r="J39" s="6">
        <f t="shared" si="40"/>
        <v>23</v>
      </c>
      <c r="K39" s="6">
        <f t="shared" si="40"/>
        <v>34</v>
      </c>
      <c r="L39" s="6">
        <f t="shared" si="40"/>
        <v>9</v>
      </c>
      <c r="M39" s="6">
        <f t="shared" si="41"/>
        <v>67</v>
      </c>
      <c r="N39" s="5">
        <f t="shared" si="24"/>
        <v>29.646774193548389</v>
      </c>
      <c r="O39" s="3">
        <f t="shared" si="42"/>
        <v>9</v>
      </c>
      <c r="P39" s="5">
        <f t="shared" si="43"/>
        <v>20.646774193548389</v>
      </c>
      <c r="Q39" s="5">
        <f t="shared" si="44"/>
        <v>4.25</v>
      </c>
      <c r="R39" s="20">
        <f>R40</f>
        <v>179.67741935483872</v>
      </c>
      <c r="S39" s="6">
        <f t="shared" si="45"/>
        <v>66</v>
      </c>
      <c r="T39" s="7">
        <f t="shared" si="46"/>
        <v>113.67741935483872</v>
      </c>
      <c r="U39" s="7">
        <f t="shared" si="47"/>
        <v>88.940322580645159</v>
      </c>
      <c r="V39" s="6">
        <f t="shared" si="47"/>
        <v>22</v>
      </c>
      <c r="W39" s="7">
        <f t="shared" si="48"/>
        <v>66.940322580645159</v>
      </c>
      <c r="X39" s="7">
        <f t="shared" si="49"/>
        <v>539.0322580645161</v>
      </c>
      <c r="Y39" s="7">
        <f t="shared" si="49"/>
        <v>182</v>
      </c>
      <c r="Z39" s="7">
        <f t="shared" si="50"/>
        <v>357.0322580645161</v>
      </c>
      <c r="AA39" s="24">
        <f t="shared" si="51"/>
        <v>0.70177035277820043</v>
      </c>
      <c r="AB39" s="1"/>
    </row>
    <row r="40" spans="2:28" ht="18" x14ac:dyDescent="0.25">
      <c r="B40" s="3">
        <v>2</v>
      </c>
      <c r="C40" s="7">
        <f>C41+22</f>
        <v>155035</v>
      </c>
      <c r="D40" s="7">
        <f>D41+31</f>
        <v>1436817</v>
      </c>
      <c r="E40" s="22">
        <f>E41+6</f>
        <v>294520</v>
      </c>
      <c r="F40" s="8">
        <f t="shared" si="17"/>
        <v>1886372</v>
      </c>
      <c r="G40" s="22">
        <f t="shared" si="38"/>
        <v>1886320.125</v>
      </c>
      <c r="H40" s="7">
        <f t="shared" si="39"/>
        <v>1886324</v>
      </c>
      <c r="I40" s="7">
        <f>I41+63</f>
        <v>983508</v>
      </c>
      <c r="J40" s="6">
        <f t="shared" si="40"/>
        <v>22</v>
      </c>
      <c r="K40" s="6">
        <f t="shared" si="40"/>
        <v>31</v>
      </c>
      <c r="L40" s="6">
        <f t="shared" si="40"/>
        <v>6</v>
      </c>
      <c r="M40" s="6">
        <f t="shared" si="41"/>
        <v>63</v>
      </c>
      <c r="N40" s="5">
        <f t="shared" si="24"/>
        <v>29.646774193548389</v>
      </c>
      <c r="O40" s="3">
        <f t="shared" si="42"/>
        <v>6</v>
      </c>
      <c r="P40" s="5">
        <f t="shared" si="43"/>
        <v>23.646774193548389</v>
      </c>
      <c r="Q40" s="5">
        <f t="shared" si="44"/>
        <v>3.875</v>
      </c>
      <c r="R40" s="20">
        <f>R41</f>
        <v>179.67741935483872</v>
      </c>
      <c r="S40" s="6">
        <f t="shared" si="45"/>
        <v>59</v>
      </c>
      <c r="T40" s="7">
        <f t="shared" si="46"/>
        <v>120.67741935483872</v>
      </c>
      <c r="U40" s="7">
        <f t="shared" si="47"/>
        <v>59.293548387096777</v>
      </c>
      <c r="V40" s="6">
        <f t="shared" si="47"/>
        <v>13</v>
      </c>
      <c r="W40" s="7">
        <f t="shared" si="48"/>
        <v>46.293548387096777</v>
      </c>
      <c r="X40" s="7">
        <f t="shared" si="49"/>
        <v>359.35483870967744</v>
      </c>
      <c r="Y40" s="7">
        <f t="shared" si="49"/>
        <v>116</v>
      </c>
      <c r="Z40" s="7">
        <f t="shared" si="50"/>
        <v>243.35483870967744</v>
      </c>
      <c r="AA40" s="24">
        <f t="shared" si="51"/>
        <v>0.68355564670892088</v>
      </c>
      <c r="AB40" s="1"/>
    </row>
    <row r="41" spans="2:28" ht="18.75" thickBot="1" x14ac:dyDescent="0.3">
      <c r="B41" s="3">
        <v>1</v>
      </c>
      <c r="C41" s="7">
        <f>C42+20</f>
        <v>155013</v>
      </c>
      <c r="D41" s="7">
        <f>D42+30</f>
        <v>1436786</v>
      </c>
      <c r="E41" s="22">
        <f>E42+7</f>
        <v>294514</v>
      </c>
      <c r="F41" s="8">
        <f t="shared" si="17"/>
        <v>1886313</v>
      </c>
      <c r="G41" s="22">
        <f>(C42+D42+E42)+((S42/24)*3)</f>
        <v>1886256</v>
      </c>
      <c r="H41" s="7">
        <f>G41+((K41/12)*1.5)</f>
        <v>1886259.75</v>
      </c>
      <c r="I41" s="7">
        <f>I42+62</f>
        <v>983445</v>
      </c>
      <c r="J41" s="6">
        <f t="shared" si="40"/>
        <v>20</v>
      </c>
      <c r="K41" s="6">
        <f t="shared" si="40"/>
        <v>30</v>
      </c>
      <c r="L41" s="6">
        <f t="shared" si="40"/>
        <v>7</v>
      </c>
      <c r="M41" s="6">
        <f t="shared" si="41"/>
        <v>62</v>
      </c>
      <c r="N41" s="43">
        <f>O6/31</f>
        <v>29.646774193548389</v>
      </c>
      <c r="O41" s="3">
        <f t="shared" si="42"/>
        <v>7</v>
      </c>
      <c r="P41" s="5">
        <f t="shared" si="43"/>
        <v>22.646774193548389</v>
      </c>
      <c r="Q41" s="5">
        <f t="shared" si="44"/>
        <v>3.75</v>
      </c>
      <c r="R41" s="47">
        <f>S6/31</f>
        <v>179.67741935483872</v>
      </c>
      <c r="S41" s="6">
        <f t="shared" si="45"/>
        <v>57</v>
      </c>
      <c r="T41" s="7">
        <f t="shared" si="46"/>
        <v>122.67741935483872</v>
      </c>
      <c r="U41" s="7">
        <f>N41</f>
        <v>29.646774193548389</v>
      </c>
      <c r="V41" s="6">
        <f>O41</f>
        <v>7</v>
      </c>
      <c r="W41" s="7">
        <f t="shared" si="48"/>
        <v>22.646774193548389</v>
      </c>
      <c r="X41" s="7">
        <f>R41</f>
        <v>179.67741935483872</v>
      </c>
      <c r="Y41" s="7">
        <f>S41</f>
        <v>57</v>
      </c>
      <c r="Z41" s="7">
        <f t="shared" si="50"/>
        <v>122.67741935483872</v>
      </c>
      <c r="AA41" s="24">
        <f t="shared" si="51"/>
        <v>0.67679926088311659</v>
      </c>
      <c r="AB41" s="1"/>
    </row>
    <row r="42" spans="2:28" ht="54.75" thickBot="1" x14ac:dyDescent="0.3">
      <c r="B42" s="33" t="s">
        <v>13</v>
      </c>
      <c r="C42" s="7">
        <v>154993</v>
      </c>
      <c r="D42" s="7">
        <v>1436756</v>
      </c>
      <c r="E42" s="7">
        <v>294507</v>
      </c>
      <c r="F42" s="54">
        <v>1886256</v>
      </c>
      <c r="G42" s="55">
        <v>1886221.375</v>
      </c>
      <c r="H42" s="20">
        <v>1886224.5</v>
      </c>
      <c r="I42" s="7">
        <v>983383</v>
      </c>
      <c r="J42" s="10"/>
      <c r="K42" s="10"/>
      <c r="L42" s="10"/>
      <c r="M42" s="46">
        <f>SUM(M11:M41)</f>
        <v>1459</v>
      </c>
      <c r="N42" s="10"/>
      <c r="O42" s="10"/>
      <c r="P42" s="10"/>
      <c r="Q42" s="10"/>
      <c r="R42" s="21"/>
      <c r="S42" s="10"/>
      <c r="T42" s="10"/>
      <c r="U42" s="10"/>
      <c r="V42" s="10"/>
      <c r="W42" s="10"/>
      <c r="X42" s="10"/>
      <c r="Y42" s="10"/>
      <c r="Z42" s="10"/>
      <c r="AA42" s="58">
        <f>AVERAGE(AA11:AA41)</f>
        <v>0.79650101704399945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21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1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41"/>
      <c r="E45" s="10"/>
      <c r="F45" s="10"/>
      <c r="G45" s="10"/>
      <c r="H45" s="10" t="s">
        <v>40</v>
      </c>
      <c r="I45" s="10"/>
      <c r="J45" s="10"/>
      <c r="K45" s="10"/>
      <c r="L45" s="10"/>
      <c r="M45" s="10"/>
      <c r="N45" s="10"/>
      <c r="O45" s="10"/>
      <c r="P45" s="10"/>
      <c r="Q45" s="10"/>
      <c r="R45" s="21"/>
      <c r="S45" s="10"/>
      <c r="T45" s="10"/>
      <c r="U45" s="10"/>
      <c r="V45" s="10"/>
      <c r="W45" s="10"/>
      <c r="X45" s="10"/>
      <c r="Y45" s="10"/>
      <c r="Z45" s="10"/>
      <c r="AA45" s="10"/>
    </row>
    <row r="46" spans="2:28" x14ac:dyDescent="0.25">
      <c r="C46" s="35"/>
    </row>
    <row r="52" spans="26:27" ht="18" x14ac:dyDescent="0.25">
      <c r="Z52" s="10" t="s">
        <v>38</v>
      </c>
    </row>
    <row r="53" spans="26:27" ht="18" x14ac:dyDescent="0.25">
      <c r="Z53" s="10" t="s">
        <v>44</v>
      </c>
      <c r="AA53" s="10"/>
    </row>
    <row r="54" spans="26:27" ht="18" x14ac:dyDescent="0.25">
      <c r="Z54" s="10" t="s">
        <v>45</v>
      </c>
      <c r="AA54" s="10"/>
    </row>
    <row r="55" spans="26:27" ht="18" x14ac:dyDescent="0.25">
      <c r="Z55" s="10" t="s">
        <v>12</v>
      </c>
      <c r="AA55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Cocina C</vt:lpstr>
      <vt:lpstr>Ciencia A</vt:lpstr>
      <vt:lpstr>Preparatoria</vt:lpstr>
      <vt:lpstr>Sede Martí</vt:lpstr>
      <vt:lpstr>A.Cultural</vt:lpstr>
      <vt:lpstr>Laboratorios Tec.</vt:lpstr>
      <vt:lpstr>Sede Fajardo</vt:lpstr>
      <vt:lpstr>A.Cultural!Área_de_impresión</vt:lpstr>
      <vt:lpstr>'Ciencia A'!Área_de_impresión</vt:lpstr>
      <vt:lpstr>'Cocina C'!Área_de_impresión</vt:lpstr>
      <vt:lpstr>'Laboratorios Tec.'!Área_de_impresión</vt:lpstr>
      <vt:lpstr>Preparatoria!Área_de_impresión</vt:lpstr>
      <vt:lpstr>'Sede Fajardo'!Área_de_impresión</vt:lpstr>
      <vt:lpstr>'Sede Martí'!Área_de_impresión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irma</cp:lastModifiedBy>
  <cp:lastPrinted>2025-02-10T02:39:49Z</cp:lastPrinted>
  <dcterms:created xsi:type="dcterms:W3CDTF">2019-08-08T19:02:32Z</dcterms:created>
  <dcterms:modified xsi:type="dcterms:W3CDTF">2009-01-01T06:41:49Z</dcterms:modified>
</cp:coreProperties>
</file>