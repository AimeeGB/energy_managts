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778" firstSheet="0" activeTab="0" autoFilterDateGrouping="1"/>
  </bookViews>
  <sheets>
    <sheet name="Cocina C" sheetId="1" state="visible" r:id="rId1"/>
    <sheet name="Ciencia A" sheetId="2" state="visible" r:id="rId2"/>
    <sheet name="Preparatoria" sheetId="3" state="visible" r:id="rId3"/>
    <sheet name="Sede Martí" sheetId="4" state="visible" r:id="rId4"/>
    <sheet name="A.Cultural" sheetId="5" state="visible" r:id="rId5"/>
    <sheet name="Laboratorios Tec." sheetId="6" state="visible" r:id="rId6"/>
    <sheet name="Sede Fajardo" sheetId="7" state="visible" r:id="rId7"/>
  </sheets>
  <definedNames>
    <definedName name="_xlnm.Print_Area" localSheetId="0">'Cocina C'!$A$1:$AB$55</definedName>
    <definedName name="_xlnm.Print_Area" localSheetId="1">'Ciencia A'!$A$1:$AB$55</definedName>
    <definedName name="_xlnm.Print_Area" localSheetId="2">'Preparatoria'!$A$1:$AB$55</definedName>
    <definedName name="_xlnm.Print_Area" localSheetId="3">'Sede Martí'!$A$1:$AB$55</definedName>
    <definedName name="_xlnm.Print_Area" localSheetId="4">'A.Cultural'!$A$1:$AB$55</definedName>
    <definedName name="_xlnm.Print_Area" localSheetId="5">'Laboratorios Tec.'!$A$1:$AB$55</definedName>
    <definedName name="_xlnm.Print_Area" localSheetId="6">'Sede Fajardo'!$A$1:$AB$55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Tahoma"/>
      <family val="2"/>
      <color theme="1"/>
      <sz val="9"/>
    </font>
    <font>
      <name val="Arial"/>
      <family val="2"/>
      <b val="1"/>
      <color theme="1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4"/>
      <scheme val="minor"/>
    </font>
    <font>
      <name val="Arial"/>
      <family val="2"/>
      <color theme="1"/>
      <sz val="14"/>
    </font>
    <font>
      <name val="Arial"/>
      <family val="2"/>
      <color rgb="FF000000"/>
      <sz val="14"/>
    </font>
    <font>
      <name val="Calibri"/>
      <family val="2"/>
      <b val="1"/>
      <color rgb="FFFF0000"/>
      <sz val="14"/>
      <scheme val="minor"/>
    </font>
    <font>
      <name val="Calibri"/>
      <family val="2"/>
      <color rgb="FF000000"/>
      <sz val="12"/>
      <scheme val="minor"/>
    </font>
    <font>
      <name val="Arial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sz val="12"/>
      <scheme val="minor"/>
    </font>
    <font>
      <name val="Tahoma"/>
      <family val="2"/>
      <sz val="9"/>
    </font>
    <font>
      <name val="Arial"/>
      <family val="2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0" borderId="0"/>
  </cellStyleXfs>
  <cellXfs count="66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1" fontId="10" fillId="0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14" fillId="0" borderId="0" applyAlignment="1" pivotButton="0" quotePrefix="0" xfId="0">
      <alignment horizontal="left"/>
    </xf>
    <xf numFmtId="0" fontId="14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0" borderId="0" pivotButton="0" quotePrefix="0" xfId="0"/>
    <xf numFmtId="0" fontId="15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" fontId="18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1" fontId="9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top" wrapText="1"/>
    </xf>
    <xf numFmtId="2" fontId="1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7" fontId="8" fillId="0" borderId="0" pivotButton="0" quotePrefix="0" xfId="0"/>
    <xf numFmtId="1" fontId="14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right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wrapText="1"/>
    </xf>
    <xf numFmtId="0" fontId="9" fillId="0" borderId="0" applyAlignment="1" pivotButton="0" quotePrefix="0" xfId="0">
      <alignment wrapText="1"/>
    </xf>
    <xf numFmtId="1" fontId="0" fillId="0" borderId="0" pivotButton="0" quotePrefix="0" xfId="0"/>
    <xf numFmtId="17" fontId="7" fillId="0" borderId="0" pivotButton="0" quotePrefix="0" xfId="0"/>
    <xf numFmtId="1" fontId="9" fillId="0" borderId="0" pivotButton="0" quotePrefix="0" xfId="0"/>
    <xf numFmtId="14" fontId="0" fillId="0" borderId="0" pivotButton="0" quotePrefix="0" xfId="0"/>
    <xf numFmtId="1" fontId="9" fillId="2" borderId="1" applyAlignment="1" pivotButton="0" quotePrefix="0" xfId="0">
      <alignment horizontal="center" vertical="center" wrapText="1"/>
    </xf>
    <xf numFmtId="0" fontId="9" fillId="2" borderId="0" pivotButton="0" quotePrefix="0" xfId="0"/>
    <xf numFmtId="1" fontId="18" fillId="2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18" fillId="0" borderId="2" applyAlignment="1" pivotButton="0" quotePrefix="0" xfId="0">
      <alignment horizontal="center" vertical="center" wrapText="1"/>
    </xf>
    <xf numFmtId="1" fontId="18" fillId="0" borderId="2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1" fontId="9" fillId="0" borderId="2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 wrapText="1"/>
    </xf>
    <xf numFmtId="2" fontId="1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1" fontId="1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tabSelected="1" zoomScale="50" zoomScaleNormal="50" zoomScaleSheetLayoutView="95" workbookViewId="0">
      <pane ySplit="1" topLeftCell="A2" activePane="bottomLeft" state="frozen"/>
      <selection pane="bottomLeft" activeCell="I18" sqref="I18"/>
    </sheetView>
  </sheetViews>
  <sheetFormatPr baseColWidth="10" defaultColWidth="11.42578125" defaultRowHeight="15"/>
  <cols>
    <col width="11.42578125" customWidth="1" style="53" min="1" max="2"/>
    <col width="12.28515625" bestFit="1" customWidth="1" style="53" min="3" max="3"/>
    <col width="12.140625" customWidth="1" style="53" min="4" max="4"/>
    <col width="16.28515625" customWidth="1" style="53" min="5" max="5"/>
    <col width="13" customWidth="1" style="53" min="6" max="7"/>
    <col width="12" customWidth="1" style="53" min="8" max="8"/>
    <col width="12.28515625" bestFit="1" customWidth="1" style="53" min="9" max="9"/>
    <col width="14" customWidth="1" style="53" min="11" max="11"/>
    <col width="13.42578125" bestFit="1" customWidth="1" style="53" min="16" max="16"/>
    <col width="13.140625" customWidth="1" style="53" min="17" max="17"/>
    <col width="11.42578125" customWidth="1" style="13" min="18" max="18"/>
    <col width="13.28515625" customWidth="1" style="53" min="19" max="19"/>
    <col width="14.7109375" bestFit="1" customWidth="1" style="53" min="20" max="20"/>
    <col width="11.7109375" bestFit="1" customWidth="1" style="53" min="21" max="21"/>
    <col width="13.28515625" bestFit="1" customWidth="1" style="53" min="22" max="22"/>
    <col width="12.5703125" bestFit="1" customWidth="1" style="53" min="23" max="23"/>
    <col width="11.5703125" bestFit="1" customWidth="1" style="53" min="24" max="24"/>
    <col width="14" bestFit="1" customWidth="1" style="53" min="25" max="25"/>
    <col width="13.42578125" bestFit="1" customWidth="1" style="53" min="26" max="26"/>
    <col width="15.140625" customWidth="1" style="53" min="27" max="27"/>
    <col width="16.140625" customWidth="1" style="53" min="28" max="28"/>
  </cols>
  <sheetData>
    <row r="2" ht="15.75" customHeight="1" s="53">
      <c r="G2" s="23" t="inlineStr">
        <is>
          <t xml:space="preserve">                                                                        ANEXO No. 1.</t>
        </is>
      </c>
    </row>
    <row r="3" ht="15.75" customHeight="1" s="53">
      <c r="G3" s="23" t="inlineStr">
        <is>
          <t xml:space="preserve">                                                                  TABLA 1A</t>
        </is>
      </c>
    </row>
    <row r="4" ht="15.75" customHeight="1" s="53">
      <c r="G4" s="24" t="inlineStr">
        <is>
          <t xml:space="preserve">Cumplimiento del plan de consumo de energía eléctrica total, mes: </t>
        </is>
      </c>
      <c r="N4" s="25" t="inlineStr">
        <is>
          <t>abril-2024</t>
        </is>
      </c>
    </row>
    <row r="5">
      <c r="C5" s="58" t="inlineStr">
        <is>
          <t>SERVICIO: COCINA COMEDOR</t>
        </is>
      </c>
      <c r="T5" s="40" t="n"/>
      <c r="U5" s="40" t="inlineStr">
        <is>
          <t>total</t>
        </is>
      </c>
      <c r="V5" s="40" t="inlineStr">
        <is>
          <t>diaria</t>
        </is>
      </c>
      <c r="W5" s="35" t="n"/>
    </row>
    <row r="6" ht="15.75" customHeight="1" s="53">
      <c r="C6" t="inlineStr">
        <is>
          <t>SERVICIO: COCINA COMEDOR</t>
        </is>
      </c>
      <c r="N6" s="11" t="inlineStr">
        <is>
          <t>Plan Pico N</t>
        </is>
      </c>
      <c r="O6" s="26">
        <f>S6*16.5%</f>
        <v/>
      </c>
      <c r="P6" s="27" t="inlineStr">
        <is>
          <t>Plan Pico D</t>
        </is>
      </c>
      <c r="Q6" s="10">
        <f>(S6*8)/100</f>
        <v/>
      </c>
      <c r="R6" s="14" t="inlineStr">
        <is>
          <t>PLAN MES</t>
        </is>
      </c>
      <c r="S6" s="10" t="n">
        <v>21000</v>
      </c>
      <c r="T6" s="40" t="inlineStr">
        <is>
          <t>Perdidas:</t>
        </is>
      </c>
      <c r="U6" s="40" t="n">
        <v>4811</v>
      </c>
      <c r="V6" s="39">
        <f>U6/30</f>
        <v/>
      </c>
    </row>
    <row r="7" ht="15.75" customHeight="1" s="53">
      <c r="N7" s="11" t="n"/>
      <c r="O7" s="26" t="n"/>
      <c r="P7" s="27" t="n"/>
      <c r="Q7" s="10" t="n"/>
      <c r="R7" s="14" t="n"/>
      <c r="S7" s="10" t="n"/>
      <c r="T7" s="40" t="n"/>
      <c r="U7" s="40" t="n"/>
      <c r="V7" s="39" t="n"/>
    </row>
    <row r="8" ht="46.5" customHeight="1" s="53">
      <c r="B8" s="59" t="inlineStr">
        <is>
          <t>Día</t>
        </is>
      </c>
      <c r="C8" s="56" t="inlineStr">
        <is>
          <t>Lectura del contador</t>
        </is>
      </c>
      <c r="D8" s="62" t="n"/>
      <c r="E8" s="62" t="n"/>
      <c r="F8" s="62" t="n"/>
      <c r="G8" s="62" t="n"/>
      <c r="H8" s="62" t="n"/>
      <c r="I8" s="63" t="n"/>
      <c r="J8" s="56" t="inlineStr">
        <is>
          <t>Consumo diario kWh y kvarh</t>
        </is>
      </c>
      <c r="K8" s="62" t="n"/>
      <c r="L8" s="62" t="n"/>
      <c r="M8" s="63" t="n"/>
      <c r="N8" s="56" t="inlineStr">
        <is>
          <t>Consumo diario Pico nocturno kWh</t>
        </is>
      </c>
      <c r="O8" s="62" t="n"/>
      <c r="P8" s="63" t="n"/>
      <c r="Q8" s="57" t="inlineStr">
        <is>
          <t>Consumo diario pico Diurno kWh</t>
        </is>
      </c>
      <c r="R8" s="56" t="inlineStr">
        <is>
          <t>Consumo diario total kWh</t>
        </is>
      </c>
      <c r="S8" s="62" t="n"/>
      <c r="T8" s="63" t="n"/>
      <c r="U8" s="56" t="inlineStr">
        <is>
          <t>Consumo acumulado Pico kWh</t>
        </is>
      </c>
      <c r="V8" s="62" t="n"/>
      <c r="W8" s="63" t="n"/>
      <c r="X8" s="56" t="inlineStr">
        <is>
          <t>Consumo acumulado Total kWh</t>
        </is>
      </c>
      <c r="Y8" s="62" t="n"/>
      <c r="Z8" s="62" t="n"/>
      <c r="AA8" s="63" t="n"/>
      <c r="AB8" s="57" t="inlineStr">
        <is>
          <t>Firma Responsable</t>
        </is>
      </c>
    </row>
    <row r="9" ht="30" customHeight="1" s="53">
      <c r="B9" s="64" t="n"/>
      <c r="C9" s="59" t="inlineStr">
        <is>
          <t>MAD</t>
        </is>
      </c>
      <c r="D9" s="59" t="inlineStr">
        <is>
          <t>DIA</t>
        </is>
      </c>
      <c r="E9" s="59" t="inlineStr">
        <is>
          <t>PICO</t>
        </is>
      </c>
      <c r="F9" s="59" t="inlineStr">
        <is>
          <t>TOTAL</t>
        </is>
      </c>
      <c r="G9" s="59" t="inlineStr">
        <is>
          <t>Pico Diurno 11 am</t>
        </is>
      </c>
      <c r="H9" s="59" t="inlineStr">
        <is>
          <t>Pico Diurno 1 pm</t>
        </is>
      </c>
      <c r="I9" s="59" t="inlineStr">
        <is>
          <t>REACT</t>
        </is>
      </c>
      <c r="J9" s="59" t="inlineStr">
        <is>
          <t>MAD</t>
        </is>
      </c>
      <c r="K9" s="59" t="inlineStr">
        <is>
          <t>DIA</t>
        </is>
      </c>
      <c r="L9" s="59" t="inlineStr">
        <is>
          <t>PICO</t>
        </is>
      </c>
      <c r="M9" s="59" t="inlineStr">
        <is>
          <t>REACT</t>
        </is>
      </c>
      <c r="N9" s="59" t="inlineStr">
        <is>
          <t>Plan Pico</t>
        </is>
      </c>
      <c r="O9" s="59" t="inlineStr">
        <is>
          <t>Real Pico</t>
        </is>
      </c>
      <c r="P9" s="59" t="inlineStr">
        <is>
          <t>Plan - Real</t>
        </is>
      </c>
      <c r="Q9" s="64" t="n"/>
      <c r="R9" s="15" t="inlineStr">
        <is>
          <t>Plan</t>
        </is>
      </c>
      <c r="S9" s="59" t="inlineStr">
        <is>
          <t>Real</t>
        </is>
      </c>
      <c r="T9" s="59" t="inlineStr">
        <is>
          <t>Plan - Real</t>
        </is>
      </c>
      <c r="U9" s="59" t="inlineStr">
        <is>
          <t>Plan Pico</t>
        </is>
      </c>
      <c r="V9" s="59" t="inlineStr">
        <is>
          <t>Real Pico</t>
        </is>
      </c>
      <c r="W9" s="59" t="inlineStr">
        <is>
          <t>Plan - Real</t>
        </is>
      </c>
      <c r="X9" s="59" t="inlineStr">
        <is>
          <t>Plan</t>
        </is>
      </c>
      <c r="Y9" s="59" t="inlineStr">
        <is>
          <t>Real</t>
        </is>
      </c>
      <c r="Z9" s="28" t="inlineStr">
        <is>
          <t>Plan   - Real</t>
        </is>
      </c>
      <c r="AA9" s="59" t="inlineStr">
        <is>
          <t>FP</t>
        </is>
      </c>
      <c r="AB9" s="64" t="n"/>
    </row>
    <row r="10">
      <c r="B10" s="29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6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3">
      <c r="B11" s="44" t="n">
        <v>31</v>
      </c>
      <c r="C11" s="44" t="n">
        <v>699</v>
      </c>
      <c r="D11" s="44" t="n">
        <v>65</v>
      </c>
      <c r="E11" s="44" t="n">
        <v>6</v>
      </c>
      <c r="F11" s="46">
        <f>C11+D11+E11</f>
        <v/>
      </c>
      <c r="G11" s="47">
        <f>(C12+D12+E12)+((S11/24)*7.5)</f>
        <v/>
      </c>
      <c r="H11" s="45">
        <f>G11+((K11/12)*2.5)</f>
        <v/>
      </c>
      <c r="I11" s="45" t="n">
        <v>986</v>
      </c>
      <c r="J11" s="48">
        <f>C11-C12</f>
        <v/>
      </c>
      <c r="K11" s="48">
        <f>D11-D12</f>
        <v/>
      </c>
      <c r="L11" s="48">
        <f>E11-E12</f>
        <v/>
      </c>
      <c r="M11" s="48">
        <f>I11-I12</f>
        <v/>
      </c>
      <c r="N11" s="49">
        <f>N12</f>
        <v/>
      </c>
      <c r="O11" s="50">
        <f>L11</f>
        <v/>
      </c>
      <c r="P11" s="49">
        <f>N11-O11</f>
        <v/>
      </c>
      <c r="Q11" s="49">
        <f>H11-G11</f>
        <v/>
      </c>
      <c r="R11" s="54">
        <f>R12</f>
        <v/>
      </c>
      <c r="S11" s="48">
        <f>J11+K11+L11</f>
        <v/>
      </c>
      <c r="T11" s="45">
        <f>R11-S11</f>
        <v/>
      </c>
      <c r="U11" s="45">
        <f>U12+N11</f>
        <v/>
      </c>
      <c r="V11" s="45">
        <f>V12+O11</f>
        <v/>
      </c>
      <c r="W11" s="45">
        <f>U11-V11</f>
        <v/>
      </c>
      <c r="X11" s="45">
        <f>X12+R11</f>
        <v/>
      </c>
      <c r="Y11" s="45">
        <f>Y12+S11</f>
        <v/>
      </c>
      <c r="Z11" s="45">
        <f>X11-Y11</f>
        <v/>
      </c>
      <c r="AA11" s="51">
        <f>COS(ATAN(M11/S11))</f>
        <v/>
      </c>
      <c r="AB11" s="52" t="n"/>
    </row>
    <row r="12" ht="18" customHeight="1" s="53">
      <c r="B12" s="44" t="n">
        <v>30</v>
      </c>
      <c r="C12" s="49" t="n">
        <v>56</v>
      </c>
      <c r="D12" s="49" t="n">
        <v>86</v>
      </c>
      <c r="E12" s="49" t="n">
        <v>9</v>
      </c>
      <c r="F12" s="46">
        <f>C12+D12+E12</f>
        <v/>
      </c>
      <c r="G12" s="47">
        <f>(C13+D13+E13)+((S12/24)*7.5)</f>
        <v/>
      </c>
      <c r="H12" s="45">
        <f>G12+((K12/12)*2.5)</f>
        <v/>
      </c>
      <c r="I12" s="45" t="n">
        <v>985</v>
      </c>
      <c r="J12" s="48">
        <f>C12-C13</f>
        <v/>
      </c>
      <c r="K12" s="48">
        <f>D12-D13</f>
        <v/>
      </c>
      <c r="L12" s="48">
        <f>E12-E13</f>
        <v/>
      </c>
      <c r="M12" s="48">
        <f>I12-I13</f>
        <v/>
      </c>
      <c r="N12" s="49">
        <f>N13</f>
        <v/>
      </c>
      <c r="O12" s="50">
        <f>L12</f>
        <v/>
      </c>
      <c r="P12" s="49">
        <f>N12-O12</f>
        <v/>
      </c>
      <c r="Q12" s="49">
        <f>H12-G12</f>
        <v/>
      </c>
      <c r="R12" s="54">
        <f>R13</f>
        <v/>
      </c>
      <c r="S12" s="48">
        <f>J12+K12+L12</f>
        <v/>
      </c>
      <c r="T12" s="45">
        <f>R12-S12</f>
        <v/>
      </c>
      <c r="U12" s="45">
        <f>U13+N12</f>
        <v/>
      </c>
      <c r="V12" s="45">
        <f>V13+O12</f>
        <v/>
      </c>
      <c r="W12" s="45">
        <f>U12-V12</f>
        <v/>
      </c>
      <c r="X12" s="45">
        <f>X13+R12</f>
        <v/>
      </c>
      <c r="Y12" s="45">
        <f>Y13+S12</f>
        <v/>
      </c>
      <c r="Z12" s="45">
        <f>X12-Y12</f>
        <v/>
      </c>
      <c r="AA12" s="51">
        <f>COS(ATAN(M12/S12))</f>
        <v/>
      </c>
      <c r="AB12" s="52" t="n"/>
    </row>
    <row r="13" ht="18" customHeight="1" s="53">
      <c r="B13" s="44" t="n">
        <v>29</v>
      </c>
      <c r="C13" s="49" t="n">
        <v>6</v>
      </c>
      <c r="D13" s="49" t="n">
        <v>5</v>
      </c>
      <c r="E13" s="49" t="n">
        <v>5</v>
      </c>
      <c r="F13" s="46">
        <f>C13+D13+E13</f>
        <v/>
      </c>
      <c r="G13" s="47">
        <f>(C14+D14+E14)+((S13/24)*7.5)</f>
        <v/>
      </c>
      <c r="H13" s="45">
        <f>G13+((K13/12)*2.5)</f>
        <v/>
      </c>
      <c r="I13" s="45" t="n">
        <v>66</v>
      </c>
      <c r="J13" s="48">
        <f>C13-C14</f>
        <v/>
      </c>
      <c r="K13" s="48">
        <f>D13-D14</f>
        <v/>
      </c>
      <c r="L13" s="48">
        <f>E13-E14</f>
        <v/>
      </c>
      <c r="M13" s="48">
        <f>I13-I14</f>
        <v/>
      </c>
      <c r="N13" s="49">
        <f>N14</f>
        <v/>
      </c>
      <c r="O13" s="50">
        <f>L13</f>
        <v/>
      </c>
      <c r="P13" s="49">
        <f>N13-O13</f>
        <v/>
      </c>
      <c r="Q13" s="49">
        <f>H13-G13</f>
        <v/>
      </c>
      <c r="R13" s="54">
        <f>R14</f>
        <v/>
      </c>
      <c r="S13" s="48">
        <f>J13+K13+L13</f>
        <v/>
      </c>
      <c r="T13" s="45">
        <f>R13-S13</f>
        <v/>
      </c>
      <c r="U13" s="45">
        <f>U14+N13</f>
        <v/>
      </c>
      <c r="V13" s="45">
        <f>V14+O13</f>
        <v/>
      </c>
      <c r="W13" s="45">
        <f>U13-V13</f>
        <v/>
      </c>
      <c r="X13" s="45">
        <f>X14+R13</f>
        <v/>
      </c>
      <c r="Y13" s="45">
        <f>Y14+S13</f>
        <v/>
      </c>
      <c r="Z13" s="45">
        <f>X13-Y13</f>
        <v/>
      </c>
      <c r="AA13" s="51">
        <f>COS(ATAN(M13/S13))</f>
        <v/>
      </c>
      <c r="AB13" s="52" t="n"/>
    </row>
    <row r="14" ht="18" customHeight="1" s="53">
      <c r="B14" s="44" t="n">
        <v>28</v>
      </c>
      <c r="C14" s="49" t="n">
        <v>5</v>
      </c>
      <c r="D14" s="49" t="n">
        <v>56</v>
      </c>
      <c r="E14" s="49" t="n">
        <v>6</v>
      </c>
      <c r="F14" s="46">
        <f>C14+D14+E14</f>
        <v/>
      </c>
      <c r="G14" s="47">
        <f>(C15+D15+E15)+((S14/24)*7.5)</f>
        <v/>
      </c>
      <c r="H14" s="45">
        <f>G14+((K14/12)*2.5)</f>
        <v/>
      </c>
      <c r="I14" s="45" t="n">
        <v>6</v>
      </c>
      <c r="J14" s="45">
        <f>C14-C15</f>
        <v/>
      </c>
      <c r="K14" s="48">
        <f>D14-D15</f>
        <v/>
      </c>
      <c r="L14" s="48">
        <f>E14-E15</f>
        <v/>
      </c>
      <c r="M14" s="48">
        <f>I14-I15</f>
        <v/>
      </c>
      <c r="N14" s="49">
        <f>N15</f>
        <v/>
      </c>
      <c r="O14" s="50">
        <f>L14</f>
        <v/>
      </c>
      <c r="P14" s="49">
        <f>N14-O14</f>
        <v/>
      </c>
      <c r="Q14" s="49">
        <f>H14-G14</f>
        <v/>
      </c>
      <c r="R14" s="54">
        <f>R15</f>
        <v/>
      </c>
      <c r="S14" s="48">
        <f>J14+K14+L14</f>
        <v/>
      </c>
      <c r="T14" s="45">
        <f>R14-S14</f>
        <v/>
      </c>
      <c r="U14" s="45">
        <f>U15+N14</f>
        <v/>
      </c>
      <c r="V14" s="45">
        <f>V15+O14</f>
        <v/>
      </c>
      <c r="W14" s="45">
        <f>U14-V14</f>
        <v/>
      </c>
      <c r="X14" s="45">
        <f>X15+R14</f>
        <v/>
      </c>
      <c r="Y14" s="45">
        <f>Y15+S14</f>
        <v/>
      </c>
      <c r="Z14" s="45">
        <f>X14-Y14</f>
        <v/>
      </c>
      <c r="AA14" s="51">
        <f>COS(ATAN(M14/S14))</f>
        <v/>
      </c>
      <c r="AB14" s="52" t="n"/>
    </row>
    <row r="15" ht="18" customHeight="1" s="53">
      <c r="B15" s="44" t="n">
        <v>27</v>
      </c>
      <c r="C15" s="49" t="n">
        <v>69</v>
      </c>
      <c r="D15" s="49" t="n">
        <v>5</v>
      </c>
      <c r="E15" s="49" t="n">
        <v>56</v>
      </c>
      <c r="F15" s="46">
        <f>C15+D15+E15</f>
        <v/>
      </c>
      <c r="G15" s="47">
        <f>(C16+D16+E16)+((S15/24)*7.5)</f>
        <v/>
      </c>
      <c r="H15" s="45">
        <f>G15+((K15/12)*2.5)</f>
        <v/>
      </c>
      <c r="I15" s="45" t="n">
        <v>6</v>
      </c>
      <c r="J15" s="48">
        <f>C15-C16</f>
        <v/>
      </c>
      <c r="K15" s="48">
        <f>D15-D16</f>
        <v/>
      </c>
      <c r="L15" s="48">
        <f>E15-E16</f>
        <v/>
      </c>
      <c r="M15" s="48">
        <f>I15-I16</f>
        <v/>
      </c>
      <c r="N15" s="49">
        <f>N16</f>
        <v/>
      </c>
      <c r="O15" s="50">
        <f>L15</f>
        <v/>
      </c>
      <c r="P15" s="49">
        <f>N15-O15</f>
        <v/>
      </c>
      <c r="Q15" s="49">
        <f>H15-G15</f>
        <v/>
      </c>
      <c r="R15" s="54">
        <f>R16</f>
        <v/>
      </c>
      <c r="S15" s="48">
        <f>J15+K15+L15</f>
        <v/>
      </c>
      <c r="T15" s="45">
        <f>R15-S15</f>
        <v/>
      </c>
      <c r="U15" s="45">
        <f>U16+N15</f>
        <v/>
      </c>
      <c r="V15" s="45">
        <f>V16+O15</f>
        <v/>
      </c>
      <c r="W15" s="45">
        <f>U15-V15</f>
        <v/>
      </c>
      <c r="X15" s="45">
        <f>X16+R15</f>
        <v/>
      </c>
      <c r="Y15" s="45">
        <f>Y16+S15</f>
        <v/>
      </c>
      <c r="Z15" s="45">
        <f>X15-Y15</f>
        <v/>
      </c>
      <c r="AA15" s="51">
        <f>COS(ATAN(M15/S15))</f>
        <v/>
      </c>
      <c r="AB15" s="52" t="n"/>
    </row>
    <row r="16" ht="18" customHeight="1" s="53">
      <c r="B16" s="44" t="n">
        <v>26</v>
      </c>
      <c r="C16" s="49" t="n">
        <v>9</v>
      </c>
      <c r="D16" s="49" t="n">
        <v>9</v>
      </c>
      <c r="E16" s="49" t="n">
        <v>9</v>
      </c>
      <c r="F16" s="46">
        <f>C16+D16+E16</f>
        <v/>
      </c>
      <c r="G16" s="47">
        <f>(C17+D17+E17)+((S16/24)*7.5)</f>
        <v/>
      </c>
      <c r="H16" s="45">
        <f>G16+((K16/12)*2.5)</f>
        <v/>
      </c>
      <c r="I16" s="45" t="n">
        <v>98</v>
      </c>
      <c r="J16" s="48">
        <f>C16-C17</f>
        <v/>
      </c>
      <c r="K16" s="48">
        <f>D16-D17</f>
        <v/>
      </c>
      <c r="L16" s="48">
        <f>E16-E17</f>
        <v/>
      </c>
      <c r="M16" s="48">
        <f>I16-I17</f>
        <v/>
      </c>
      <c r="N16" s="49">
        <f>N17</f>
        <v/>
      </c>
      <c r="O16" s="50">
        <f>L16</f>
        <v/>
      </c>
      <c r="P16" s="49">
        <f>N16-O16</f>
        <v/>
      </c>
      <c r="Q16" s="49">
        <f>H16-G16</f>
        <v/>
      </c>
      <c r="R16" s="54">
        <f>R17</f>
        <v/>
      </c>
      <c r="S16" s="48">
        <f>J16+K16+L16</f>
        <v/>
      </c>
      <c r="T16" s="45">
        <f>R16-S16</f>
        <v/>
      </c>
      <c r="U16" s="45">
        <f>U17+N16</f>
        <v/>
      </c>
      <c r="V16" s="45">
        <f>V17+O16</f>
        <v/>
      </c>
      <c r="W16" s="45">
        <f>U16-V16</f>
        <v/>
      </c>
      <c r="X16" s="45">
        <f>X17+R16</f>
        <v/>
      </c>
      <c r="Y16" s="45">
        <f>Y17+S16</f>
        <v/>
      </c>
      <c r="Z16" s="45">
        <f>X16-Y16</f>
        <v/>
      </c>
      <c r="AA16" s="51">
        <f>COS(ATAN(M16/S16))</f>
        <v/>
      </c>
      <c r="AB16" s="52" t="n"/>
    </row>
    <row r="17" ht="18" customHeight="1" s="53">
      <c r="B17" s="44" t="n">
        <v>25</v>
      </c>
      <c r="C17" s="49" t="n">
        <v>99</v>
      </c>
      <c r="D17" s="49" t="n">
        <v>99</v>
      </c>
      <c r="E17" s="49" t="n">
        <v>6</v>
      </c>
      <c r="F17" s="46">
        <f>C17+D17+E17</f>
        <v/>
      </c>
      <c r="G17" s="47">
        <f>(C18+D18+E18)+((S17/24)*7.5)</f>
        <v/>
      </c>
      <c r="H17" s="45">
        <f>G17+((K17/12)*2.5)</f>
        <v/>
      </c>
      <c r="I17" s="45" t="n">
        <v>99</v>
      </c>
      <c r="J17" s="48">
        <f>C17-C18</f>
        <v/>
      </c>
      <c r="K17" s="48">
        <f>D17-D18</f>
        <v/>
      </c>
      <c r="L17" s="48">
        <f>E17-E18</f>
        <v/>
      </c>
      <c r="M17" s="48">
        <f>I17-I18</f>
        <v/>
      </c>
      <c r="N17" s="49">
        <f>N18</f>
        <v/>
      </c>
      <c r="O17" s="50">
        <f>L17</f>
        <v/>
      </c>
      <c r="P17" s="49">
        <f>N17-O17</f>
        <v/>
      </c>
      <c r="Q17" s="49">
        <f>H17-G17</f>
        <v/>
      </c>
      <c r="R17" s="54">
        <f>R18</f>
        <v/>
      </c>
      <c r="S17" s="48">
        <f>J17+K17+L17</f>
        <v/>
      </c>
      <c r="T17" s="45">
        <f>R17-S17</f>
        <v/>
      </c>
      <c r="U17" s="45">
        <f>U18+N17</f>
        <v/>
      </c>
      <c r="V17" s="45">
        <f>V18+O17</f>
        <v/>
      </c>
      <c r="W17" s="45">
        <f>U17-V17</f>
        <v/>
      </c>
      <c r="X17" s="45">
        <f>X18+R17</f>
        <v/>
      </c>
      <c r="Y17" s="45">
        <f>Y18+S17</f>
        <v/>
      </c>
      <c r="Z17" s="45">
        <f>X17-Y17</f>
        <v/>
      </c>
      <c r="AA17" s="51">
        <f>COS(ATAN(M17/S17))</f>
        <v/>
      </c>
      <c r="AB17" s="52" t="n"/>
    </row>
    <row r="18" ht="18" customHeight="1" s="53">
      <c r="B18" s="44" t="n">
        <v>24</v>
      </c>
      <c r="C18" s="49" t="n">
        <v>959</v>
      </c>
      <c r="D18" s="49" t="n">
        <v>5</v>
      </c>
      <c r="E18" s="49" t="n">
        <v>95</v>
      </c>
      <c r="F18" s="46">
        <f>C18+D18+E18</f>
        <v/>
      </c>
      <c r="G18" s="47">
        <f>(C19+D19+E19)+((S18/24)*7.5)</f>
        <v/>
      </c>
      <c r="H18" s="45">
        <f>G18+((K18/12)*2.5)</f>
        <v/>
      </c>
      <c r="I18" s="45" t="n">
        <v>9</v>
      </c>
      <c r="J18" s="48">
        <f>C18-C19</f>
        <v/>
      </c>
      <c r="K18" s="48">
        <f>D18-D19</f>
        <v/>
      </c>
      <c r="L18" s="48">
        <f>E18-E19</f>
        <v/>
      </c>
      <c r="M18" s="48">
        <f>I18-I19</f>
        <v/>
      </c>
      <c r="N18" s="49">
        <f>N19</f>
        <v/>
      </c>
      <c r="O18" s="50">
        <f>L18</f>
        <v/>
      </c>
      <c r="P18" s="49">
        <f>N18-O18</f>
        <v/>
      </c>
      <c r="Q18" s="49">
        <f>H18-G18</f>
        <v/>
      </c>
      <c r="R18" s="54">
        <f>R19</f>
        <v/>
      </c>
      <c r="S18" s="48">
        <f>J18+K18+L18</f>
        <v/>
      </c>
      <c r="T18" s="45">
        <f>R18-S18</f>
        <v/>
      </c>
      <c r="U18" s="45">
        <f>U19+N18</f>
        <v/>
      </c>
      <c r="V18" s="45">
        <f>V19+O18</f>
        <v/>
      </c>
      <c r="W18" s="45">
        <f>U18-V18</f>
        <v/>
      </c>
      <c r="X18" s="45">
        <f>X19+R18</f>
        <v/>
      </c>
      <c r="Y18" s="45">
        <f>Y19+S18</f>
        <v/>
      </c>
      <c r="Z18" s="45">
        <f>X18-Y18</f>
        <v/>
      </c>
      <c r="AA18" s="51">
        <f>COS(ATAN(M18/S18))</f>
        <v/>
      </c>
      <c r="AB18" s="52" t="n"/>
    </row>
    <row r="19" ht="18" customHeight="1" s="53">
      <c r="B19" s="44" t="n">
        <v>23</v>
      </c>
      <c r="C19" s="49" t="n">
        <v>6989</v>
      </c>
      <c r="D19" s="49" t="n">
        <v>45</v>
      </c>
      <c r="E19" s="49" t="n">
        <v>998</v>
      </c>
      <c r="F19" s="46">
        <f>C19+D19+E19</f>
        <v/>
      </c>
      <c r="G19" s="47">
        <f>(C20+D20+E20)+((S19/24)*7.5)</f>
        <v/>
      </c>
      <c r="H19" s="45">
        <f>G19+((K19/12)*2.5)</f>
        <v/>
      </c>
      <c r="I19" s="45" t="n">
        <v>55</v>
      </c>
      <c r="J19" s="48">
        <f>C19-C20</f>
        <v/>
      </c>
      <c r="K19" s="48">
        <f>D19-D20</f>
        <v/>
      </c>
      <c r="L19" s="48">
        <f>E19-E20</f>
        <v/>
      </c>
      <c r="M19" s="48">
        <f>I19-I20</f>
        <v/>
      </c>
      <c r="N19" s="49">
        <f>N20</f>
        <v/>
      </c>
      <c r="O19" s="44">
        <f>L19</f>
        <v/>
      </c>
      <c r="P19" s="49">
        <f>N19-O19</f>
        <v/>
      </c>
      <c r="Q19" s="49">
        <f>H19-G19</f>
        <v/>
      </c>
      <c r="R19" s="54">
        <f>R20</f>
        <v/>
      </c>
      <c r="S19" s="48">
        <f>J19+K19+L19</f>
        <v/>
      </c>
      <c r="T19" s="45">
        <f>R19-S19</f>
        <v/>
      </c>
      <c r="U19" s="45">
        <f>U20+N19</f>
        <v/>
      </c>
      <c r="V19" s="45">
        <f>V20+O19</f>
        <v/>
      </c>
      <c r="W19" s="45">
        <f>U19-V19</f>
        <v/>
      </c>
      <c r="X19" s="45">
        <f>X20+R19</f>
        <v/>
      </c>
      <c r="Y19" s="45">
        <f>Y20+S19</f>
        <v/>
      </c>
      <c r="Z19" s="45">
        <f>X19-Y19</f>
        <v/>
      </c>
      <c r="AA19" s="51">
        <f>COS(ATAN(M19/S19))</f>
        <v/>
      </c>
      <c r="AB19" s="1" t="n"/>
    </row>
    <row r="20" ht="18" customHeight="1" s="53">
      <c r="B20" s="44" t="n">
        <v>22</v>
      </c>
      <c r="C20" s="49" t="n">
        <v>969</v>
      </c>
      <c r="D20" s="49" t="n">
        <v>6</v>
      </c>
      <c r="E20" s="49" t="n">
        <v>9896</v>
      </c>
      <c r="F20" s="46">
        <f>C20+D20+E20</f>
        <v/>
      </c>
      <c r="G20" s="47">
        <f>(C21+D21+E21)+((S20/24)*7.5)</f>
        <v/>
      </c>
      <c r="H20" s="45">
        <f>G20+((K20/12)*2.5)</f>
        <v/>
      </c>
      <c r="I20" s="45" t="n">
        <v>8</v>
      </c>
      <c r="J20" s="48">
        <f>C20-C21</f>
        <v/>
      </c>
      <c r="K20" s="48">
        <f>D20-D21</f>
        <v/>
      </c>
      <c r="L20" s="48">
        <f>E20-E21</f>
        <v/>
      </c>
      <c r="M20" s="48">
        <f>I20-I21</f>
        <v/>
      </c>
      <c r="N20" s="49">
        <f>N21</f>
        <v/>
      </c>
      <c r="O20" s="44">
        <f>L20</f>
        <v/>
      </c>
      <c r="P20" s="49">
        <f>N20-O20</f>
        <v/>
      </c>
      <c r="Q20" s="49">
        <f>H20-G20</f>
        <v/>
      </c>
      <c r="R20" s="54">
        <f>R21</f>
        <v/>
      </c>
      <c r="S20" s="48">
        <f>J20+K20+L20</f>
        <v/>
      </c>
      <c r="T20" s="45">
        <f>R20-S20</f>
        <v/>
      </c>
      <c r="U20" s="45">
        <f>U21+N20</f>
        <v/>
      </c>
      <c r="V20" s="45">
        <f>V21+O20</f>
        <v/>
      </c>
      <c r="W20" s="45">
        <f>U20-V20</f>
        <v/>
      </c>
      <c r="X20" s="45">
        <f>X21+R20</f>
        <v/>
      </c>
      <c r="Y20" s="45">
        <f>Y21+S20</f>
        <v/>
      </c>
      <c r="Z20" s="45">
        <f>X20-Y20</f>
        <v/>
      </c>
      <c r="AA20" s="51">
        <f>COS(ATAN(M20/S20))</f>
        <v/>
      </c>
      <c r="AB20" s="1" t="n"/>
    </row>
    <row r="21" ht="18" customHeight="1" s="53">
      <c r="B21" s="44" t="n">
        <v>21</v>
      </c>
      <c r="C21" s="49" t="n">
        <v>69</v>
      </c>
      <c r="D21" s="49" t="n">
        <v>698</v>
      </c>
      <c r="E21" s="49" t="n">
        <v>569</v>
      </c>
      <c r="F21" s="46">
        <f>C21+D21+E21</f>
        <v/>
      </c>
      <c r="G21" s="47">
        <f>(C22+D22+E22)+((S21/24)*7.5)</f>
        <v/>
      </c>
      <c r="H21" s="45">
        <f>G21+((K21/12)*2.5)</f>
        <v/>
      </c>
      <c r="I21" s="45" t="n">
        <v>6</v>
      </c>
      <c r="J21" s="48">
        <f>C21-C22</f>
        <v/>
      </c>
      <c r="K21" s="48">
        <f>D21-D22</f>
        <v/>
      </c>
      <c r="L21" s="48">
        <f>E21-E22</f>
        <v/>
      </c>
      <c r="M21" s="48">
        <f>I21-I22</f>
        <v/>
      </c>
      <c r="N21" s="49">
        <f>N22</f>
        <v/>
      </c>
      <c r="O21" s="44">
        <f>L21</f>
        <v/>
      </c>
      <c r="P21" s="49">
        <f>N21-O21</f>
        <v/>
      </c>
      <c r="Q21" s="49">
        <f>H21-G21</f>
        <v/>
      </c>
      <c r="R21" s="54">
        <f>R22</f>
        <v/>
      </c>
      <c r="S21" s="48">
        <f>J21+K21+L21</f>
        <v/>
      </c>
      <c r="T21" s="45">
        <f>R21-S21</f>
        <v/>
      </c>
      <c r="U21" s="45">
        <f>U22+N21</f>
        <v/>
      </c>
      <c r="V21" s="45">
        <f>V22+O21</f>
        <v/>
      </c>
      <c r="W21" s="45">
        <f>U21-V21</f>
        <v/>
      </c>
      <c r="X21" s="45">
        <f>X22+R21</f>
        <v/>
      </c>
      <c r="Y21" s="45">
        <f>Y22+S21</f>
        <v/>
      </c>
      <c r="Z21" s="45">
        <f>X21-Y21</f>
        <v/>
      </c>
      <c r="AA21" s="51">
        <f>COS(ATAN(M21/S21))</f>
        <v/>
      </c>
      <c r="AB21" s="1" t="n"/>
    </row>
    <row r="22" ht="18" customHeight="1" s="53">
      <c r="B22" s="44" t="n">
        <v>20</v>
      </c>
      <c r="C22" s="49" t="n">
        <v>95</v>
      </c>
      <c r="D22" s="49" t="n">
        <v>5956</v>
      </c>
      <c r="E22" s="49" t="n">
        <v>9569</v>
      </c>
      <c r="F22" s="8">
        <f>C22+D22+E22</f>
        <v/>
      </c>
      <c r="G22" s="47">
        <f>(C23+D23+E23)+((S22/24)*7.5)</f>
        <v/>
      </c>
      <c r="H22" s="45">
        <f>G22+((K22/12)*2.5)</f>
        <v/>
      </c>
      <c r="I22" s="45" t="n">
        <v>5695</v>
      </c>
      <c r="J22" s="48">
        <f>C22-C23</f>
        <v/>
      </c>
      <c r="K22" s="48">
        <f>D22-D23</f>
        <v/>
      </c>
      <c r="L22" s="48">
        <f>E22-E23</f>
        <v/>
      </c>
      <c r="M22" s="48">
        <f>I22-I23</f>
        <v/>
      </c>
      <c r="N22" s="49">
        <f>N23</f>
        <v/>
      </c>
      <c r="O22" s="44">
        <f>L22</f>
        <v/>
      </c>
      <c r="P22" s="49">
        <f>N22-O22</f>
        <v/>
      </c>
      <c r="Q22" s="49">
        <f>H22-G22</f>
        <v/>
      </c>
      <c r="R22" s="54">
        <f>R23</f>
        <v/>
      </c>
      <c r="S22" s="48">
        <f>J22+K22+L22</f>
        <v/>
      </c>
      <c r="T22" s="45">
        <f>R22-S22</f>
        <v/>
      </c>
      <c r="U22" s="45">
        <f>U23+N22</f>
        <v/>
      </c>
      <c r="V22" s="45">
        <f>V23+O22</f>
        <v/>
      </c>
      <c r="W22" s="45">
        <f>U22-V22</f>
        <v/>
      </c>
      <c r="X22" s="45">
        <f>X23+R22</f>
        <v/>
      </c>
      <c r="Y22" s="45">
        <f>Y23+S22</f>
        <v/>
      </c>
      <c r="Z22" s="45">
        <f>X22-Y22</f>
        <v/>
      </c>
      <c r="AA22" s="51">
        <f>COS(ATAN(M22/S22))</f>
        <v/>
      </c>
      <c r="AB22" s="1" t="n"/>
    </row>
    <row r="23" ht="18" customHeight="1" s="53">
      <c r="B23" s="44" t="n">
        <v>19</v>
      </c>
      <c r="C23" s="49" t="n">
        <v>1</v>
      </c>
      <c r="D23" s="49" t="n">
        <v>9</v>
      </c>
      <c r="E23" s="49" t="n">
        <v>895</v>
      </c>
      <c r="F23" s="46">
        <f>C23+D23+E23</f>
        <v/>
      </c>
      <c r="G23" s="47">
        <f>(C24+D24+E24)+((S23/24)*7.5)</f>
        <v/>
      </c>
      <c r="H23" s="45">
        <f>G23+((K23/12)*2.5)</f>
        <v/>
      </c>
      <c r="I23" s="45" t="n">
        <v>5956</v>
      </c>
      <c r="J23" s="48">
        <f>C23-C24</f>
        <v/>
      </c>
      <c r="K23" s="48">
        <f>D23-D24</f>
        <v/>
      </c>
      <c r="L23" s="48">
        <f>E23-E24</f>
        <v/>
      </c>
      <c r="M23" s="48">
        <f>I23-I24</f>
        <v/>
      </c>
      <c r="N23" s="49">
        <f>N24</f>
        <v/>
      </c>
      <c r="O23" s="44">
        <f>L23</f>
        <v/>
      </c>
      <c r="P23" s="49">
        <f>N23-O23</f>
        <v/>
      </c>
      <c r="Q23" s="49">
        <f>H23-G23</f>
        <v/>
      </c>
      <c r="R23" s="54">
        <f>R24</f>
        <v/>
      </c>
      <c r="S23" s="48">
        <f>J23+K23+L23</f>
        <v/>
      </c>
      <c r="T23" s="45">
        <f>R23-S23</f>
        <v/>
      </c>
      <c r="U23" s="45">
        <f>U24+N23</f>
        <v/>
      </c>
      <c r="V23" s="45">
        <f>V24+O23</f>
        <v/>
      </c>
      <c r="W23" s="45">
        <f>U23-V23</f>
        <v/>
      </c>
      <c r="X23" s="45">
        <f>X24+R23</f>
        <v/>
      </c>
      <c r="Y23" s="45">
        <f>Y24+S23</f>
        <v/>
      </c>
      <c r="Z23" s="45">
        <f>X23-Y23</f>
        <v/>
      </c>
      <c r="AA23" s="51">
        <f>COS(ATAN(M23/S23))</f>
        <v/>
      </c>
      <c r="AB23" s="1" t="n"/>
    </row>
    <row r="24" ht="18" customHeight="1" s="53">
      <c r="B24" s="44" t="n">
        <v>18</v>
      </c>
      <c r="C24" s="49" t="n">
        <v>64</v>
      </c>
      <c r="D24" s="49" t="n">
        <v>64</v>
      </c>
      <c r="E24" s="49" t="n">
        <v>46</v>
      </c>
      <c r="F24" s="46">
        <f>C24+D24+E24</f>
        <v/>
      </c>
      <c r="G24" s="47">
        <f>(C25+D25+E25)+((S24/24)*7.5)</f>
        <v/>
      </c>
      <c r="H24" s="45">
        <f>G24+((K24/12)*2.5)</f>
        <v/>
      </c>
      <c r="I24" s="45" t="n">
        <v>64</v>
      </c>
      <c r="J24" s="48">
        <f>C24-C25</f>
        <v/>
      </c>
      <c r="K24" s="48">
        <f>D24-D25</f>
        <v/>
      </c>
      <c r="L24" s="48">
        <f>E24-E25</f>
        <v/>
      </c>
      <c r="M24" s="48">
        <f>I24-I25</f>
        <v/>
      </c>
      <c r="N24" s="49">
        <f>N25</f>
        <v/>
      </c>
      <c r="O24" s="44">
        <f>L24</f>
        <v/>
      </c>
      <c r="P24" s="49">
        <f>N24-O24</f>
        <v/>
      </c>
      <c r="Q24" s="49">
        <f>H24-G24</f>
        <v/>
      </c>
      <c r="R24" s="54">
        <f>R25</f>
        <v/>
      </c>
      <c r="S24" s="48">
        <f>J24+K24+L24</f>
        <v/>
      </c>
      <c r="T24" s="45">
        <f>R24-S24</f>
        <v/>
      </c>
      <c r="U24" s="45">
        <f>U25+N24</f>
        <v/>
      </c>
      <c r="V24" s="45">
        <f>V25+O24</f>
        <v/>
      </c>
      <c r="W24" s="45">
        <f>U24-V24</f>
        <v/>
      </c>
      <c r="X24" s="45">
        <f>X25+R24</f>
        <v/>
      </c>
      <c r="Y24" s="45">
        <f>Y25+S24</f>
        <v/>
      </c>
      <c r="Z24" s="45">
        <f>X24-Y24</f>
        <v/>
      </c>
      <c r="AA24" s="51">
        <f>COS(ATAN(M24/S24))</f>
        <v/>
      </c>
      <c r="AB24" s="1" t="n"/>
    </row>
    <row r="25" ht="18" customHeight="1" s="53">
      <c r="B25" s="44" t="n">
        <v>17</v>
      </c>
      <c r="C25" s="49" t="n">
        <v>5</v>
      </c>
      <c r="D25" s="49" t="n">
        <v>25</v>
      </c>
      <c r="E25" s="49" t="n">
        <v>22</v>
      </c>
      <c r="F25" s="46">
        <f>C25+D25+E25</f>
        <v/>
      </c>
      <c r="G25" s="47">
        <f>(C26+D26+E26)+((S25/24)*7.5)</f>
        <v/>
      </c>
      <c r="H25" s="45">
        <f>G25+((K25/12)*2.5)</f>
        <v/>
      </c>
      <c r="I25" s="45" t="n">
        <v>98</v>
      </c>
      <c r="J25" s="48">
        <f>C25-C26</f>
        <v/>
      </c>
      <c r="K25" s="48">
        <f>D25-D26</f>
        <v/>
      </c>
      <c r="L25" s="48">
        <f>E25-E26</f>
        <v/>
      </c>
      <c r="M25" s="45">
        <f>I25-I26</f>
        <v/>
      </c>
      <c r="N25" s="49">
        <f>N26</f>
        <v/>
      </c>
      <c r="O25" s="44">
        <f>L25</f>
        <v/>
      </c>
      <c r="P25" s="49">
        <f>N25-O25</f>
        <v/>
      </c>
      <c r="Q25" s="49">
        <f>H25-G25</f>
        <v/>
      </c>
      <c r="R25" s="54">
        <f>R26</f>
        <v/>
      </c>
      <c r="S25" s="48">
        <f>J25+K25+L25</f>
        <v/>
      </c>
      <c r="T25" s="45">
        <f>R25-S25</f>
        <v/>
      </c>
      <c r="U25" s="45">
        <f>U26+N25</f>
        <v/>
      </c>
      <c r="V25" s="48">
        <f>V26+O25</f>
        <v/>
      </c>
      <c r="W25" s="45">
        <f>U25-V25</f>
        <v/>
      </c>
      <c r="X25" s="45">
        <f>X26+R25</f>
        <v/>
      </c>
      <c r="Y25" s="45">
        <f>Y26+S25</f>
        <v/>
      </c>
      <c r="Z25" s="45">
        <f>X25-Y25</f>
        <v/>
      </c>
      <c r="AA25" s="51">
        <f>COS(ATAN(M25/S25))</f>
        <v/>
      </c>
      <c r="AB25" s="1" t="n"/>
    </row>
    <row r="26" ht="18" customHeight="1" s="53">
      <c r="B26" s="44" t="n">
        <v>16</v>
      </c>
      <c r="C26" s="49" t="n">
        <v>54</v>
      </c>
      <c r="D26" s="49" t="n">
        <v>5</v>
      </c>
      <c r="E26" s="49" t="n">
        <v>5</v>
      </c>
      <c r="F26" s="46">
        <f>C26+D26+E26</f>
        <v/>
      </c>
      <c r="G26" s="47">
        <f>(C27+D27+E27)+((S26/24)*7.5)</f>
        <v/>
      </c>
      <c r="H26" s="45">
        <f>G26+((K26/12)*2.5)</f>
        <v/>
      </c>
      <c r="I26" s="45" t="n">
        <v>5</v>
      </c>
      <c r="J26" s="48">
        <f>C26-C27</f>
        <v/>
      </c>
      <c r="K26" s="48">
        <f>D26-D27</f>
        <v/>
      </c>
      <c r="L26" s="48">
        <f>E26-E27</f>
        <v/>
      </c>
      <c r="M26" s="45">
        <f>I26-I27</f>
        <v/>
      </c>
      <c r="N26" s="49">
        <f>N27</f>
        <v/>
      </c>
      <c r="O26" s="44">
        <f>L26</f>
        <v/>
      </c>
      <c r="P26" s="49">
        <f>N26-O26</f>
        <v/>
      </c>
      <c r="Q26" s="49">
        <f>H26-G26</f>
        <v/>
      </c>
      <c r="R26" s="54">
        <f>R27</f>
        <v/>
      </c>
      <c r="S26" s="48">
        <f>J26+K26+L26</f>
        <v/>
      </c>
      <c r="T26" s="45">
        <f>R26-S26</f>
        <v/>
      </c>
      <c r="U26" s="45">
        <f>U27+N26</f>
        <v/>
      </c>
      <c r="V26" s="48">
        <f>V27+O26</f>
        <v/>
      </c>
      <c r="W26" s="45">
        <f>U26-V26</f>
        <v/>
      </c>
      <c r="X26" s="45">
        <f>X27+R26</f>
        <v/>
      </c>
      <c r="Y26" s="45">
        <f>Y27+S26</f>
        <v/>
      </c>
      <c r="Z26" s="45">
        <f>X26-Y26</f>
        <v/>
      </c>
      <c r="AA26" s="51">
        <f>COS(ATAN(M26/S26))</f>
        <v/>
      </c>
      <c r="AB26" s="1" t="n"/>
    </row>
    <row r="27" ht="18" customHeight="1" s="53">
      <c r="B27" s="44" t="n">
        <v>15</v>
      </c>
      <c r="C27" s="49" t="n">
        <v>54</v>
      </c>
      <c r="D27" s="49" t="n">
        <v>5</v>
      </c>
      <c r="E27" s="49" t="n">
        <v>54</v>
      </c>
      <c r="F27" s="46">
        <f>C27+D27+E27</f>
        <v/>
      </c>
      <c r="G27" s="47">
        <f>(C28+D28+E28)+((S27/24)*7.5)</f>
        <v/>
      </c>
      <c r="H27" s="45">
        <f>G27+((K27/12)*2.5)</f>
        <v/>
      </c>
      <c r="I27" s="45" t="n">
        <v>5</v>
      </c>
      <c r="J27" s="48">
        <f>C27-C28</f>
        <v/>
      </c>
      <c r="K27" s="48">
        <f>D27-D28</f>
        <v/>
      </c>
      <c r="L27" s="48">
        <f>E27-E28</f>
        <v/>
      </c>
      <c r="M27" s="45">
        <f>I27-I28</f>
        <v/>
      </c>
      <c r="N27" s="49">
        <f>N28</f>
        <v/>
      </c>
      <c r="O27" s="44">
        <f>L27</f>
        <v/>
      </c>
      <c r="P27" s="49">
        <f>N27-O27</f>
        <v/>
      </c>
      <c r="Q27" s="49">
        <f>H27-G27</f>
        <v/>
      </c>
      <c r="R27" s="54">
        <f>R28</f>
        <v/>
      </c>
      <c r="S27" s="48">
        <f>J27+K27+L27</f>
        <v/>
      </c>
      <c r="T27" s="45">
        <f>R27-S27</f>
        <v/>
      </c>
      <c r="U27" s="45">
        <f>U28+N27</f>
        <v/>
      </c>
      <c r="V27" s="48">
        <f>V28+O27</f>
        <v/>
      </c>
      <c r="W27" s="45">
        <f>U27-V27</f>
        <v/>
      </c>
      <c r="X27" s="45">
        <f>X28+R27</f>
        <v/>
      </c>
      <c r="Y27" s="45">
        <f>Y28+S27</f>
        <v/>
      </c>
      <c r="Z27" s="45">
        <f>X27-Y27</f>
        <v/>
      </c>
      <c r="AA27" s="51">
        <f>COS(ATAN(M27/S27))</f>
        <v/>
      </c>
      <c r="AB27" s="1" t="n"/>
    </row>
    <row r="28" ht="18" customHeight="1" s="53">
      <c r="B28" s="44" t="n">
        <v>14</v>
      </c>
      <c r="C28" s="49" t="n">
        <v>5215</v>
      </c>
      <c r="D28" s="49" t="n">
        <v>125</v>
      </c>
      <c r="E28" s="49" t="n">
        <v>2552</v>
      </c>
      <c r="F28" s="46">
        <f>C28+D28+E28</f>
        <v/>
      </c>
      <c r="G28" s="47">
        <f>(C29+D29+E29)+((S28/24)*7.5)</f>
        <v/>
      </c>
      <c r="H28" s="45">
        <f>G28+((K28/12)*2.5)</f>
        <v/>
      </c>
      <c r="I28" s="45" t="n">
        <v>5</v>
      </c>
      <c r="J28" s="48">
        <f>C28-C29</f>
        <v/>
      </c>
      <c r="K28" s="48">
        <f>D28-D29</f>
        <v/>
      </c>
      <c r="L28" s="48">
        <f>E28-E29</f>
        <v/>
      </c>
      <c r="M28" s="45">
        <f>I28-I29</f>
        <v/>
      </c>
      <c r="N28" s="49">
        <f>N29</f>
        <v/>
      </c>
      <c r="O28" s="44">
        <f>L28</f>
        <v/>
      </c>
      <c r="P28" s="49">
        <f>N28-O28</f>
        <v/>
      </c>
      <c r="Q28" s="49">
        <f>H28-G28</f>
        <v/>
      </c>
      <c r="R28" s="54">
        <f>R29</f>
        <v/>
      </c>
      <c r="S28" s="48">
        <f>J28+K28+L28</f>
        <v/>
      </c>
      <c r="T28" s="45">
        <f>R28-S28</f>
        <v/>
      </c>
      <c r="U28" s="45">
        <f>U29+N28</f>
        <v/>
      </c>
      <c r="V28" s="48">
        <f>V29+O28</f>
        <v/>
      </c>
      <c r="W28" s="45">
        <f>U28-V28</f>
        <v/>
      </c>
      <c r="X28" s="45">
        <f>X29+R28</f>
        <v/>
      </c>
      <c r="Y28" s="45">
        <f>Y29+S28</f>
        <v/>
      </c>
      <c r="Z28" s="45">
        <f>X28-Y28</f>
        <v/>
      </c>
      <c r="AA28" s="51">
        <f>COS(ATAN(M28/S28))</f>
        <v/>
      </c>
      <c r="AB28" s="1" t="n"/>
    </row>
    <row r="29" ht="18" customHeight="1" s="53">
      <c r="B29" s="44" t="n">
        <v>13</v>
      </c>
      <c r="C29" s="49" t="n">
        <v>51</v>
      </c>
      <c r="D29" s="49" t="n">
        <v>12512</v>
      </c>
      <c r="E29" s="49" t="n">
        <v>51512</v>
      </c>
      <c r="F29" s="46">
        <f>C29+D29+E29</f>
        <v/>
      </c>
      <c r="G29" s="47">
        <f>(C30+D30+E30)+((S29/24)*7.5)</f>
        <v/>
      </c>
      <c r="H29" s="45">
        <f>G29+((K29/12)*2.5)</f>
        <v/>
      </c>
      <c r="I29" s="45" t="n">
        <v>5125412</v>
      </c>
      <c r="J29" s="48">
        <f>C29-C30</f>
        <v/>
      </c>
      <c r="K29" s="48">
        <f>D29-D30</f>
        <v/>
      </c>
      <c r="L29" s="48">
        <f>E29-E30</f>
        <v/>
      </c>
      <c r="M29" s="48">
        <f>I29-I30</f>
        <v/>
      </c>
      <c r="N29" s="49">
        <f>N30</f>
        <v/>
      </c>
      <c r="O29" s="44">
        <f>L29</f>
        <v/>
      </c>
      <c r="P29" s="49">
        <f>N29-O29</f>
        <v/>
      </c>
      <c r="Q29" s="49">
        <f>H29-G29</f>
        <v/>
      </c>
      <c r="R29" s="54">
        <f>R30</f>
        <v/>
      </c>
      <c r="S29" s="48">
        <f>J29+K29+L29</f>
        <v/>
      </c>
      <c r="T29" s="45">
        <f>R29-S29</f>
        <v/>
      </c>
      <c r="U29" s="45">
        <f>U30+N29</f>
        <v/>
      </c>
      <c r="V29" s="48">
        <f>V30+O29</f>
        <v/>
      </c>
      <c r="W29" s="45">
        <f>U29-V29</f>
        <v/>
      </c>
      <c r="X29" s="45">
        <f>X30+R29</f>
        <v/>
      </c>
      <c r="Y29" s="45">
        <f>Y30+S29</f>
        <v/>
      </c>
      <c r="Z29" s="45">
        <f>X29-Y29</f>
        <v/>
      </c>
      <c r="AA29" s="51">
        <f>COS(ATAN(M29/S29))</f>
        <v/>
      </c>
      <c r="AB29" s="1" t="n"/>
    </row>
    <row r="30" ht="18" customHeight="1" s="53">
      <c r="B30" s="44" t="n">
        <v>12</v>
      </c>
      <c r="C30" s="49" t="n">
        <v>45645</v>
      </c>
      <c r="D30" s="49" t="n">
        <v>1541</v>
      </c>
      <c r="E30" s="49" t="n">
        <v>64164</v>
      </c>
      <c r="F30" s="46">
        <f>C30+D30+E30</f>
        <v/>
      </c>
      <c r="G30" s="47">
        <f>(C31+D31+E31)+((S30/24)*7.5)</f>
        <v/>
      </c>
      <c r="H30" s="45">
        <f>G30+((K30/12)*2.5)</f>
        <v/>
      </c>
      <c r="I30" s="45" t="n">
        <v>51</v>
      </c>
      <c r="J30" s="48">
        <f>C30-C31</f>
        <v/>
      </c>
      <c r="K30" s="48">
        <f>D30-D31</f>
        <v/>
      </c>
      <c r="L30" s="48">
        <f>E30-E31</f>
        <v/>
      </c>
      <c r="M30" s="48">
        <f>I30-I31</f>
        <v/>
      </c>
      <c r="N30" s="49">
        <f>N31</f>
        <v/>
      </c>
      <c r="O30" s="44">
        <f>L30</f>
        <v/>
      </c>
      <c r="P30" s="49">
        <f>N30-O30</f>
        <v/>
      </c>
      <c r="Q30" s="49">
        <f>H30-G30</f>
        <v/>
      </c>
      <c r="R30" s="54">
        <f>R31</f>
        <v/>
      </c>
      <c r="S30" s="48">
        <f>J30+K30+L30</f>
        <v/>
      </c>
      <c r="T30" s="45">
        <f>R30-S30</f>
        <v/>
      </c>
      <c r="U30" s="45">
        <f>U31+N30</f>
        <v/>
      </c>
      <c r="V30" s="48">
        <f>V31+O30</f>
        <v/>
      </c>
      <c r="W30" s="45">
        <f>U30-V30</f>
        <v/>
      </c>
      <c r="X30" s="45">
        <f>X31+R30</f>
        <v/>
      </c>
      <c r="Y30" s="45">
        <f>Y31+S30</f>
        <v/>
      </c>
      <c r="Z30" s="45">
        <f>X30-Y30</f>
        <v/>
      </c>
      <c r="AA30" s="51">
        <f>COS(ATAN(M30/S30))</f>
        <v/>
      </c>
      <c r="AB30" s="1" t="n"/>
    </row>
    <row r="31" ht="18" customHeight="1" s="53">
      <c r="B31" s="44" t="n">
        <v>11</v>
      </c>
      <c r="C31" s="49" t="n">
        <v>2362</v>
      </c>
      <c r="D31" s="49" t="n">
        <v>3623</v>
      </c>
      <c r="E31" s="49" t="n">
        <v>48</v>
      </c>
      <c r="F31" s="46">
        <f>C31+D31+E31</f>
        <v/>
      </c>
      <c r="G31" s="47">
        <f>(C32+D32+E32)+((S31/24)*7.5)</f>
        <v/>
      </c>
      <c r="H31" s="45">
        <f>G31+((K31/12)*2.5)</f>
        <v/>
      </c>
      <c r="I31" s="45" t="n">
        <v>48546</v>
      </c>
      <c r="J31" s="48">
        <f>C31-C32</f>
        <v/>
      </c>
      <c r="K31" s="48">
        <f>D31-D32</f>
        <v/>
      </c>
      <c r="L31" s="48">
        <f>E31-E32</f>
        <v/>
      </c>
      <c r="M31" s="48">
        <f>I31-I32</f>
        <v/>
      </c>
      <c r="N31" s="49">
        <f>N32</f>
        <v/>
      </c>
      <c r="O31" s="44">
        <f>L31</f>
        <v/>
      </c>
      <c r="P31" s="49">
        <f>N31-O31</f>
        <v/>
      </c>
      <c r="Q31" s="49">
        <f>H31-G31</f>
        <v/>
      </c>
      <c r="R31" s="54">
        <f>R32</f>
        <v/>
      </c>
      <c r="S31" s="48">
        <f>J31+K31+L31</f>
        <v/>
      </c>
      <c r="T31" s="45">
        <f>R31-S31</f>
        <v/>
      </c>
      <c r="U31" s="45">
        <f>U32+N31</f>
        <v/>
      </c>
      <c r="V31" s="48">
        <f>V32+O31</f>
        <v/>
      </c>
      <c r="W31" s="45">
        <f>U31-V31</f>
        <v/>
      </c>
      <c r="X31" s="45">
        <f>X32+R31</f>
        <v/>
      </c>
      <c r="Y31" s="45">
        <f>Y32+S31</f>
        <v/>
      </c>
      <c r="Z31" s="45">
        <f>X31-Y31</f>
        <v/>
      </c>
      <c r="AA31" s="51">
        <f>COS(ATAN(M31/S31))</f>
        <v/>
      </c>
      <c r="AB31" s="1" t="n"/>
    </row>
    <row r="32" ht="18" customHeight="1" s="53">
      <c r="B32" s="44" t="n">
        <v>10</v>
      </c>
      <c r="C32" s="49" t="n">
        <v>23</v>
      </c>
      <c r="D32" s="49" t="n">
        <v>662</v>
      </c>
      <c r="E32" s="49" t="n">
        <v>632</v>
      </c>
      <c r="F32" s="46">
        <f>C32+D32+E32</f>
        <v/>
      </c>
      <c r="G32" s="47">
        <f>(C33+D33+E33)+((S32/24)*7.5)</f>
        <v/>
      </c>
      <c r="H32" s="45">
        <f>G32+((K32/12)*2.5)</f>
        <v/>
      </c>
      <c r="I32" s="45" t="n">
        <v>66</v>
      </c>
      <c r="J32" s="48">
        <f>C32-C33</f>
        <v/>
      </c>
      <c r="K32" s="48">
        <f>D32-D33</f>
        <v/>
      </c>
      <c r="L32" s="48">
        <f>E32-E33</f>
        <v/>
      </c>
      <c r="M32" s="48">
        <f>I32-I33</f>
        <v/>
      </c>
      <c r="N32" s="49">
        <f>N33</f>
        <v/>
      </c>
      <c r="O32" s="44">
        <f>L32</f>
        <v/>
      </c>
      <c r="P32" s="49">
        <f>N32-O32</f>
        <v/>
      </c>
      <c r="Q32" s="49">
        <f>H32-G32</f>
        <v/>
      </c>
      <c r="R32" s="54">
        <f>R33</f>
        <v/>
      </c>
      <c r="S32" s="48">
        <f>J32+K32+L32</f>
        <v/>
      </c>
      <c r="T32" s="45">
        <f>R32-S32</f>
        <v/>
      </c>
      <c r="U32" s="45">
        <f>U33+N32</f>
        <v/>
      </c>
      <c r="V32" s="48">
        <f>V33+O32</f>
        <v/>
      </c>
      <c r="W32" s="45">
        <f>U32-V32</f>
        <v/>
      </c>
      <c r="X32" s="45">
        <f>X33+R32</f>
        <v/>
      </c>
      <c r="Y32" s="45">
        <f>Y33+S32</f>
        <v/>
      </c>
      <c r="Z32" s="45">
        <f>X32-Y32</f>
        <v/>
      </c>
      <c r="AA32" s="51">
        <f>COS(ATAN(M32/S32))</f>
        <v/>
      </c>
      <c r="AB32" s="1" t="n"/>
    </row>
    <row r="33" ht="18" customHeight="1" s="53">
      <c r="B33" s="44" t="n">
        <v>9</v>
      </c>
      <c r="C33" s="49" t="n">
        <v>32</v>
      </c>
      <c r="D33" s="49" t="n">
        <v>3623</v>
      </c>
      <c r="E33" s="49" t="n">
        <v>2</v>
      </c>
      <c r="F33" s="46">
        <f>C33+D33+E33</f>
        <v/>
      </c>
      <c r="G33" s="47">
        <f>(C34+D34+E34)+((S33/24)*7.5)</f>
        <v/>
      </c>
      <c r="H33" s="45">
        <f>G33+((K33/12)*2.5)</f>
        <v/>
      </c>
      <c r="I33" s="45" t="n">
        <v>366236</v>
      </c>
      <c r="J33" s="48">
        <f>C33-C34</f>
        <v/>
      </c>
      <c r="K33" s="48">
        <f>D33-D34</f>
        <v/>
      </c>
      <c r="L33" s="48">
        <f>E33-E34</f>
        <v/>
      </c>
      <c r="M33" s="48">
        <f>I33-I34</f>
        <v/>
      </c>
      <c r="N33" s="49">
        <f>N34</f>
        <v/>
      </c>
      <c r="O33" s="44">
        <f>L33</f>
        <v/>
      </c>
      <c r="P33" s="49">
        <f>N33-O33</f>
        <v/>
      </c>
      <c r="Q33" s="49">
        <f>H33-G33</f>
        <v/>
      </c>
      <c r="R33" s="54">
        <f>R34</f>
        <v/>
      </c>
      <c r="S33" s="48">
        <f>J33+K33+L33</f>
        <v/>
      </c>
      <c r="T33" s="45">
        <f>R33-S33</f>
        <v/>
      </c>
      <c r="U33" s="45">
        <f>U34+N33</f>
        <v/>
      </c>
      <c r="V33" s="48">
        <f>V34+O33</f>
        <v/>
      </c>
      <c r="W33" s="45">
        <f>U33-V33</f>
        <v/>
      </c>
      <c r="X33" s="45">
        <f>X34+R33</f>
        <v/>
      </c>
      <c r="Y33" s="45">
        <f>Y34+S33</f>
        <v/>
      </c>
      <c r="Z33" s="45">
        <f>X33-Y33</f>
        <v/>
      </c>
      <c r="AA33" s="51">
        <f>COS(ATAN(M33/S33))</f>
        <v/>
      </c>
      <c r="AB33" s="1" t="n"/>
    </row>
    <row r="34" ht="18" customHeight="1" s="53">
      <c r="B34" s="44" t="n">
        <v>8</v>
      </c>
      <c r="C34" s="49" t="n">
        <v>23</v>
      </c>
      <c r="D34" s="49" t="n">
        <v>2</v>
      </c>
      <c r="E34" s="49" t="n">
        <v>33</v>
      </c>
      <c r="F34" s="46">
        <f>C34+D34+E34</f>
        <v/>
      </c>
      <c r="G34" s="47">
        <f>(C35+D35+E35)+((S34/24)*7.5)</f>
        <v/>
      </c>
      <c r="H34" s="45">
        <f>G34+((K34/12)*2.5)</f>
        <v/>
      </c>
      <c r="I34" s="45" t="n">
        <v>2</v>
      </c>
      <c r="J34" s="48">
        <f>C34-C35</f>
        <v/>
      </c>
      <c r="K34" s="48">
        <f>D34-D35</f>
        <v/>
      </c>
      <c r="L34" s="48">
        <f>E34-E35</f>
        <v/>
      </c>
      <c r="M34" s="48">
        <f>I34-I35</f>
        <v/>
      </c>
      <c r="N34" s="49">
        <f>N35</f>
        <v/>
      </c>
      <c r="O34" s="44">
        <f>L34</f>
        <v/>
      </c>
      <c r="P34" s="49">
        <f>N34-O34</f>
        <v/>
      </c>
      <c r="Q34" s="49">
        <f>H34-G34</f>
        <v/>
      </c>
      <c r="R34" s="54">
        <f>R35</f>
        <v/>
      </c>
      <c r="S34" s="48">
        <f>J34+K34+L34</f>
        <v/>
      </c>
      <c r="T34" s="45">
        <f>R34-S34</f>
        <v/>
      </c>
      <c r="U34" s="45">
        <f>U35+N34</f>
        <v/>
      </c>
      <c r="V34" s="48">
        <f>V35+O34</f>
        <v/>
      </c>
      <c r="W34" s="45">
        <f>U34-V34</f>
        <v/>
      </c>
      <c r="X34" s="45">
        <f>X35+R34</f>
        <v/>
      </c>
      <c r="Y34" s="45">
        <f>Y35+S34</f>
        <v/>
      </c>
      <c r="Z34" s="45">
        <f>X34-Y34</f>
        <v/>
      </c>
      <c r="AA34" s="51">
        <f>COS(ATAN(M34/S34))</f>
        <v/>
      </c>
      <c r="AB34" s="1" t="n"/>
    </row>
    <row r="35" ht="18" customHeight="1" s="53">
      <c r="B35" s="44" t="n">
        <v>7</v>
      </c>
      <c r="C35" s="49" t="n">
        <v>2</v>
      </c>
      <c r="D35" s="49" t="n">
        <v>2</v>
      </c>
      <c r="E35" s="49" t="n">
        <v>32</v>
      </c>
      <c r="F35" s="46">
        <f>C35+D35+E35</f>
        <v/>
      </c>
      <c r="G35" s="47">
        <f>(C36+D36+E36)+((S35/24)*7.5)</f>
        <v/>
      </c>
      <c r="H35" s="45">
        <f>G35+((K35/12)*2.5)</f>
        <v/>
      </c>
      <c r="I35" s="45" t="n">
        <v>323</v>
      </c>
      <c r="J35" s="48">
        <f>C35-C36</f>
        <v/>
      </c>
      <c r="K35" s="48">
        <f>D35-D36</f>
        <v/>
      </c>
      <c r="L35" s="48">
        <f>E35-E36</f>
        <v/>
      </c>
      <c r="M35" s="48">
        <f>I35-I36</f>
        <v/>
      </c>
      <c r="N35" s="49">
        <f>N36</f>
        <v/>
      </c>
      <c r="O35" s="44">
        <f>L35</f>
        <v/>
      </c>
      <c r="P35" s="49">
        <f>N35-O35</f>
        <v/>
      </c>
      <c r="Q35" s="49">
        <f>H35-G35</f>
        <v/>
      </c>
      <c r="R35" s="54">
        <f>R36</f>
        <v/>
      </c>
      <c r="S35" s="48">
        <f>J35+K35+L35</f>
        <v/>
      </c>
      <c r="T35" s="45">
        <f>R35-S35</f>
        <v/>
      </c>
      <c r="U35" s="45">
        <f>U36+N35</f>
        <v/>
      </c>
      <c r="V35" s="48">
        <f>V36+O35</f>
        <v/>
      </c>
      <c r="W35" s="45">
        <f>U35-V35</f>
        <v/>
      </c>
      <c r="X35" s="45">
        <f>X36+R35</f>
        <v/>
      </c>
      <c r="Y35" s="45">
        <f>Y36+S35</f>
        <v/>
      </c>
      <c r="Z35" s="45">
        <f>X35-Y35</f>
        <v/>
      </c>
      <c r="AA35" s="51">
        <f>COS(ATAN(M35/S35))</f>
        <v/>
      </c>
      <c r="AB35" s="1" t="n"/>
    </row>
    <row r="36" ht="18" customHeight="1" s="53">
      <c r="B36" s="44" t="n">
        <v>6</v>
      </c>
      <c r="C36" s="45" t="n">
        <v>63</v>
      </c>
      <c r="D36" s="45" t="n">
        <v>56</v>
      </c>
      <c r="E36" s="47" t="n">
        <v>3</v>
      </c>
      <c r="F36" s="46">
        <f>C36+D36+E36</f>
        <v/>
      </c>
      <c r="G36" s="47">
        <f>(C37+D37+E37)+((S36/24)*7.5)</f>
        <v/>
      </c>
      <c r="H36" s="45">
        <f>G36+((K36/12)*2.5)</f>
        <v/>
      </c>
      <c r="I36" s="45" t="n">
        <v>53</v>
      </c>
      <c r="J36" s="48">
        <f>C36-C37</f>
        <v/>
      </c>
      <c r="K36" s="48">
        <f>D36-D37</f>
        <v/>
      </c>
      <c r="L36" s="48">
        <f>E36-E37</f>
        <v/>
      </c>
      <c r="M36" s="48">
        <f>I36-I37</f>
        <v/>
      </c>
      <c r="N36" s="49">
        <f>N37</f>
        <v/>
      </c>
      <c r="O36" s="44">
        <f>L36</f>
        <v/>
      </c>
      <c r="P36" s="49">
        <f>N36-O36</f>
        <v/>
      </c>
      <c r="Q36" s="49">
        <f>H36-G36</f>
        <v/>
      </c>
      <c r="R36" s="54">
        <f>R37</f>
        <v/>
      </c>
      <c r="S36" s="48">
        <f>J36+K36+L36</f>
        <v/>
      </c>
      <c r="T36" s="45">
        <f>R36-S36</f>
        <v/>
      </c>
      <c r="U36" s="45">
        <f>U37+N36</f>
        <v/>
      </c>
      <c r="V36" s="48">
        <f>V37+O36</f>
        <v/>
      </c>
      <c r="W36" s="45">
        <f>U36-V36</f>
        <v/>
      </c>
      <c r="X36" s="45">
        <f>X37+R36</f>
        <v/>
      </c>
      <c r="Y36" s="45">
        <f>Y37+S36</f>
        <v/>
      </c>
      <c r="Z36" s="45">
        <f>X36-Y36</f>
        <v/>
      </c>
      <c r="AA36" s="51">
        <f>COS(ATAN(M36/S36))</f>
        <v/>
      </c>
      <c r="AB36" s="1" t="n"/>
    </row>
    <row r="37" ht="18" customHeight="1" s="53">
      <c r="B37" s="44" t="n">
        <v>5</v>
      </c>
      <c r="C37" s="45" t="n">
        <v>563</v>
      </c>
      <c r="D37" s="45" t="n">
        <v>263</v>
      </c>
      <c r="E37" s="47" t="n">
        <v>63</v>
      </c>
      <c r="F37" s="46">
        <f>C37+D37+E37</f>
        <v/>
      </c>
      <c r="G37" s="47">
        <f>(C38+D38+E38)+((S37/24)*7.5)</f>
        <v/>
      </c>
      <c r="H37" s="45">
        <f>G37+((K37/12)*2.5)</f>
        <v/>
      </c>
      <c r="I37" s="45" t="n">
        <v>54.01</v>
      </c>
      <c r="J37" s="48">
        <f>C37-C38</f>
        <v/>
      </c>
      <c r="K37" s="48">
        <f>D37-D38</f>
        <v/>
      </c>
      <c r="L37" s="48">
        <f>E37-E38</f>
        <v/>
      </c>
      <c r="M37" s="48">
        <f>I37-I38</f>
        <v/>
      </c>
      <c r="N37" s="49">
        <f>N38</f>
        <v/>
      </c>
      <c r="O37" s="44">
        <f>L37</f>
        <v/>
      </c>
      <c r="P37" s="49">
        <f>N37-O37</f>
        <v/>
      </c>
      <c r="Q37" s="49">
        <f>H37-G37</f>
        <v/>
      </c>
      <c r="R37" s="54">
        <f>R38</f>
        <v/>
      </c>
      <c r="S37" s="48">
        <f>J37+K37+L37</f>
        <v/>
      </c>
      <c r="T37" s="45">
        <f>R37-S37</f>
        <v/>
      </c>
      <c r="U37" s="45">
        <f>U38+N37</f>
        <v/>
      </c>
      <c r="V37" s="48">
        <f>V38+O37</f>
        <v/>
      </c>
      <c r="W37" s="45">
        <f>U37-V37</f>
        <v/>
      </c>
      <c r="X37" s="45">
        <f>X38+R37</f>
        <v/>
      </c>
      <c r="Y37" s="45">
        <f>Y38+S37</f>
        <v/>
      </c>
      <c r="Z37" s="45">
        <f>X37-Y37</f>
        <v/>
      </c>
      <c r="AA37" s="51">
        <f>COS(ATAN(M37/S37))</f>
        <v/>
      </c>
      <c r="AB37" s="1" t="n"/>
    </row>
    <row r="38" ht="18" customHeight="1" s="53">
      <c r="B38" s="44" t="n">
        <v>4</v>
      </c>
      <c r="C38" s="45" t="n">
        <v>52</v>
      </c>
      <c r="D38" s="45" t="n">
        <v>54</v>
      </c>
      <c r="E38" s="47" t="n">
        <v>3</v>
      </c>
      <c r="F38" s="8">
        <f>C38+D38+E38</f>
        <v/>
      </c>
      <c r="G38" s="47">
        <f>(C39+D39+E39)+((S38/24)*7.5)</f>
        <v/>
      </c>
      <c r="H38" s="45">
        <f>G38+((K38/12)*2.5)</f>
        <v/>
      </c>
      <c r="I38" s="45" t="n">
        <v>3</v>
      </c>
      <c r="J38" s="48">
        <f>C38-C39</f>
        <v/>
      </c>
      <c r="K38" s="48">
        <f>D38-D39</f>
        <v/>
      </c>
      <c r="L38" s="48">
        <f>E38-E39</f>
        <v/>
      </c>
      <c r="M38" s="48">
        <f>I38-I39</f>
        <v/>
      </c>
      <c r="N38" s="49">
        <f>N39</f>
        <v/>
      </c>
      <c r="O38" s="44">
        <f>L38</f>
        <v/>
      </c>
      <c r="P38" s="49">
        <f>N38-O38</f>
        <v/>
      </c>
      <c r="Q38" s="49">
        <f>H38-G38</f>
        <v/>
      </c>
      <c r="R38" s="54">
        <f>R39</f>
        <v/>
      </c>
      <c r="S38" s="48">
        <f>J38+K38+L38</f>
        <v/>
      </c>
      <c r="T38" s="45">
        <f>R38-S38</f>
        <v/>
      </c>
      <c r="U38" s="45">
        <f>U39+N38</f>
        <v/>
      </c>
      <c r="V38" s="48">
        <f>V39+O38</f>
        <v/>
      </c>
      <c r="W38" s="45">
        <f>U38-V38</f>
        <v/>
      </c>
      <c r="X38" s="45">
        <f>X39+R38</f>
        <v/>
      </c>
      <c r="Y38" s="45">
        <f>Y39+S38</f>
        <v/>
      </c>
      <c r="Z38" s="45">
        <f>X38-Y38</f>
        <v/>
      </c>
      <c r="AA38" s="51">
        <f>COS(ATAN(M38/S38))</f>
        <v/>
      </c>
      <c r="AB38" s="1" t="n"/>
    </row>
    <row r="39" ht="18" customHeight="1" s="53">
      <c r="B39" s="44" t="n">
        <v>3</v>
      </c>
      <c r="C39" s="45" t="n">
        <v>635</v>
      </c>
      <c r="D39" s="45" t="n">
        <v>6</v>
      </c>
      <c r="E39" s="47" t="n">
        <v>536</v>
      </c>
      <c r="F39" s="46">
        <f>C39+D39+E39</f>
        <v/>
      </c>
      <c r="G39" s="47">
        <f>(C40+D40+E40)+((S39/24)*7.5)</f>
        <v/>
      </c>
      <c r="H39" s="45">
        <f>G39+((K39/12)*2.5)</f>
        <v/>
      </c>
      <c r="I39" s="45" t="n">
        <v>562</v>
      </c>
      <c r="J39" s="48">
        <f>C39-C40</f>
        <v/>
      </c>
      <c r="K39" s="48">
        <f>D39-D40</f>
        <v/>
      </c>
      <c r="L39" s="48">
        <f>E39-E40</f>
        <v/>
      </c>
      <c r="M39" s="48">
        <f>I39-I40</f>
        <v/>
      </c>
      <c r="N39" s="49">
        <f>N40</f>
        <v/>
      </c>
      <c r="O39" s="44">
        <f>L39</f>
        <v/>
      </c>
      <c r="P39" s="49">
        <f>N39-O39</f>
        <v/>
      </c>
      <c r="Q39" s="49">
        <f>H39-G39</f>
        <v/>
      </c>
      <c r="R39" s="54">
        <f>R40</f>
        <v/>
      </c>
      <c r="S39" s="48">
        <f>J39+K39+L39</f>
        <v/>
      </c>
      <c r="T39" s="45">
        <f>R39-S39</f>
        <v/>
      </c>
      <c r="U39" s="45">
        <f>U40+N39</f>
        <v/>
      </c>
      <c r="V39" s="48">
        <f>V40+O39</f>
        <v/>
      </c>
      <c r="W39" s="45">
        <f>U39-V39</f>
        <v/>
      </c>
      <c r="X39" s="45">
        <f>X40+R39</f>
        <v/>
      </c>
      <c r="Y39" s="45">
        <f>Y40+S39</f>
        <v/>
      </c>
      <c r="Z39" s="45">
        <f>X39-Y39</f>
        <v/>
      </c>
      <c r="AA39" s="51">
        <f>COS(ATAN(M39/S39))</f>
        <v/>
      </c>
      <c r="AB39" s="1" t="n"/>
    </row>
    <row r="40" ht="18" customHeight="1" s="53">
      <c r="B40" s="44" t="n">
        <v>2</v>
      </c>
      <c r="C40" s="45" t="n">
        <v>563</v>
      </c>
      <c r="D40" s="45" t="n">
        <v>63</v>
      </c>
      <c r="E40" s="47" t="n">
        <v>5</v>
      </c>
      <c r="F40" s="46">
        <f>C40+D40+E40</f>
        <v/>
      </c>
      <c r="G40" s="47">
        <f>(C41+D41+E41)+((S40/24)*7.5)</f>
        <v/>
      </c>
      <c r="H40" s="45">
        <f>G40+((K40/12)*2.5)</f>
        <v/>
      </c>
      <c r="I40" s="45" t="n">
        <v>632</v>
      </c>
      <c r="J40" s="48">
        <f>C40-C41</f>
        <v/>
      </c>
      <c r="K40" s="48">
        <f>D40-D41</f>
        <v/>
      </c>
      <c r="L40" s="48">
        <f>E40-E41</f>
        <v/>
      </c>
      <c r="M40" s="48">
        <f>I40-I41</f>
        <v/>
      </c>
      <c r="N40" s="49">
        <f>N41</f>
        <v/>
      </c>
      <c r="O40" s="44">
        <f>L40</f>
        <v/>
      </c>
      <c r="P40" s="49">
        <f>N40-O40</f>
        <v/>
      </c>
      <c r="Q40" s="49">
        <f>H40-G40</f>
        <v/>
      </c>
      <c r="R40" s="54">
        <f>R41</f>
        <v/>
      </c>
      <c r="S40" s="48">
        <f>J40+K40+L40</f>
        <v/>
      </c>
      <c r="T40" s="45">
        <f>R40-S40</f>
        <v/>
      </c>
      <c r="U40" s="45">
        <f>U41+N40</f>
        <v/>
      </c>
      <c r="V40" s="48">
        <f>V41+O40</f>
        <v/>
      </c>
      <c r="W40" s="45">
        <f>U40-V40</f>
        <v/>
      </c>
      <c r="X40" s="45">
        <f>X41+R40</f>
        <v/>
      </c>
      <c r="Y40" s="45">
        <f>Y41+S40</f>
        <v/>
      </c>
      <c r="Z40" s="45">
        <f>X40-Y40</f>
        <v/>
      </c>
      <c r="AA40" s="51">
        <f>COS(ATAN(M40/S40))</f>
        <v/>
      </c>
      <c r="AB40" s="1" t="n"/>
    </row>
    <row r="41" ht="18.75" customHeight="1" s="53" thickBot="1">
      <c r="B41" s="44" t="n">
        <v>1</v>
      </c>
      <c r="C41" s="45" t="n">
        <v>5</v>
      </c>
      <c r="D41" s="45" t="n">
        <v>6</v>
      </c>
      <c r="E41" s="47" t="n">
        <v>5</v>
      </c>
      <c r="F41" s="46">
        <f>C41+D41+E41</f>
        <v/>
      </c>
      <c r="G41" s="47">
        <f>(C42+D42+E42)+((S41/24)*7.5)</f>
        <v/>
      </c>
      <c r="H41" s="45">
        <f>G41+((K41/12)*2.5)</f>
        <v/>
      </c>
      <c r="I41" s="45" t="n">
        <v>6</v>
      </c>
      <c r="J41" s="48">
        <f>C41-C42</f>
        <v/>
      </c>
      <c r="K41" s="48">
        <f>D41-D42</f>
        <v/>
      </c>
      <c r="L41" s="48">
        <f>E41-E42</f>
        <v/>
      </c>
      <c r="M41" s="48">
        <f>I41-I42</f>
        <v/>
      </c>
      <c r="N41" s="36">
        <f>O6/30</f>
        <v/>
      </c>
      <c r="O41" s="44">
        <f>L41</f>
        <v/>
      </c>
      <c r="P41" s="49">
        <f>N41-O41</f>
        <v/>
      </c>
      <c r="Q41" s="49">
        <f>H41-G41</f>
        <v/>
      </c>
      <c r="R41" s="38">
        <f>S6/30</f>
        <v/>
      </c>
      <c r="S41" s="48">
        <f>J41+K41+L41+V6</f>
        <v/>
      </c>
      <c r="T41" s="45">
        <f>R41-S41</f>
        <v/>
      </c>
      <c r="U41" s="45">
        <f>N41</f>
        <v/>
      </c>
      <c r="V41" s="48">
        <f>O41</f>
        <v/>
      </c>
      <c r="W41" s="45">
        <f>U41-V41</f>
        <v/>
      </c>
      <c r="X41" s="45">
        <f>R41</f>
        <v/>
      </c>
      <c r="Y41" s="45">
        <f>S41</f>
        <v/>
      </c>
      <c r="Z41" s="45">
        <f>X41-Y41</f>
        <v/>
      </c>
      <c r="AA41" s="51">
        <f>COS(ATAN(M41/S41))</f>
        <v/>
      </c>
      <c r="AB41" s="1" t="n"/>
    </row>
    <row r="42" ht="54.75" customHeight="1" s="53" thickBot="1">
      <c r="B42" s="30" t="inlineStr">
        <is>
          <t>cierre mes anterior</t>
        </is>
      </c>
      <c r="C42" s="45" t="n">
        <v>54</v>
      </c>
      <c r="D42" s="45" t="n">
        <v>524</v>
      </c>
      <c r="E42" s="45" t="n">
        <v>545</v>
      </c>
      <c r="F42" s="41" t="n">
        <v>4554</v>
      </c>
      <c r="G42" s="42" t="n">
        <v>55</v>
      </c>
      <c r="H42" s="54" t="n">
        <v>45</v>
      </c>
      <c r="I42" s="45" t="n">
        <v>545</v>
      </c>
      <c r="J42" s="9" t="n"/>
      <c r="K42" s="9" t="n"/>
      <c r="L42" s="9" t="n"/>
      <c r="M42" s="37">
        <f>SUM(M12:M41)</f>
        <v/>
      </c>
      <c r="N42" s="9" t="n"/>
      <c r="O42" s="9" t="n"/>
      <c r="P42" s="9" t="n"/>
      <c r="Q42" s="9" t="n"/>
      <c r="R42" s="18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3">
        <f>AVERAGE(AA12:AA41)</f>
        <v/>
      </c>
    </row>
    <row r="43" ht="18" customHeight="1" s="53">
      <c r="B43" s="31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8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3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8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3">
      <c r="B45" s="9" t="n"/>
      <c r="C45" s="9" t="n"/>
      <c r="D45" s="34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8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2" t="n"/>
    </row>
    <row r="52" ht="18" customHeight="1" s="53">
      <c r="Z52" s="9" t="inlineStr">
        <is>
          <t>Aprobado:</t>
        </is>
      </c>
    </row>
    <row r="53" ht="18" customHeight="1" s="53">
      <c r="Z53" s="9" t="inlineStr">
        <is>
          <t>Ms.C. Jorge Luis García Santana</t>
        </is>
      </c>
      <c r="AA53" s="9" t="n"/>
    </row>
    <row r="54" ht="18" customHeight="1" s="53">
      <c r="Z54" s="9" t="inlineStr">
        <is>
          <t>Director General</t>
        </is>
      </c>
      <c r="AA54" s="9" t="n"/>
    </row>
    <row r="55" ht="18" customHeight="1" s="53">
      <c r="Z55" s="9" t="inlineStr">
        <is>
          <t>Universidad Camaguey</t>
        </is>
      </c>
      <c r="AA55" s="9" t="n"/>
    </row>
    <row r="4111">
      <c r="N4111" s="65" t="n"/>
      <c r="R4111" s="65" t="n"/>
    </row>
    <row r="4112">
      <c r="N4112" s="65" t="n"/>
      <c r="R4112" s="65" t="n"/>
    </row>
    <row r="4113">
      <c r="N4113" s="65" t="n"/>
      <c r="R4113" s="65" t="n"/>
    </row>
    <row r="4114">
      <c r="N4114" s="65" t="n"/>
      <c r="R4114" s="65" t="n"/>
    </row>
    <row r="4115">
      <c r="N4115" s="65" t="n"/>
      <c r="R4115" s="65" t="n"/>
    </row>
    <row r="4116">
      <c r="N4116" s="65" t="n"/>
      <c r="R4116" s="65" t="n"/>
    </row>
    <row r="4117">
      <c r="N4117" s="65" t="n"/>
      <c r="R4117" s="65" t="n"/>
    </row>
    <row r="4118">
      <c r="N4118" s="65" t="n"/>
      <c r="R4118" s="65" t="n"/>
    </row>
    <row r="4119">
      <c r="N4119" s="65" t="n"/>
      <c r="R4119" s="65" t="n"/>
    </row>
    <row r="4120">
      <c r="N4120" s="65" t="n"/>
      <c r="R4120" s="65" t="n"/>
    </row>
    <row r="4121">
      <c r="N4121" s="65" t="n"/>
      <c r="R4121" s="65" t="n"/>
    </row>
    <row r="4122">
      <c r="N4122" s="65" t="n"/>
      <c r="R4122" s="65" t="n"/>
    </row>
    <row r="4123">
      <c r="N4123" s="65" t="n"/>
      <c r="R4123" s="65" t="n"/>
    </row>
    <row r="4124">
      <c r="N4124" s="65" t="n"/>
      <c r="R4124" s="65" t="n"/>
    </row>
    <row r="4125">
      <c r="N4125" s="65" t="n"/>
      <c r="R4125" s="65" t="n"/>
    </row>
    <row r="4126">
      <c r="N4126" s="65" t="n"/>
      <c r="R4126" s="65" t="n"/>
    </row>
    <row r="4127">
      <c r="N4127" s="65" t="n"/>
      <c r="R4127" s="65" t="n"/>
    </row>
    <row r="4128">
      <c r="N4128" s="65" t="n"/>
      <c r="R4128" s="65" t="n"/>
    </row>
    <row r="4129">
      <c r="N4129" s="65" t="n"/>
      <c r="R4129" s="65" t="n"/>
    </row>
    <row r="4130">
      <c r="N4130" s="65" t="n"/>
      <c r="R4130" s="65" t="n"/>
    </row>
    <row r="4131">
      <c r="N4131" s="65" t="n"/>
      <c r="R4131" s="65" t="n"/>
    </row>
    <row r="4132">
      <c r="N4132" s="65" t="n"/>
      <c r="R4132" s="65" t="n"/>
    </row>
    <row r="4133">
      <c r="N4133" s="65" t="n"/>
      <c r="R4133" s="65" t="n"/>
    </row>
    <row r="4134">
      <c r="N4134" s="65" t="n"/>
      <c r="R4134" s="65" t="n"/>
    </row>
    <row r="4135">
      <c r="N4135" s="65" t="n"/>
      <c r="R4135" s="65" t="n"/>
    </row>
    <row r="4136">
      <c r="N4136" s="65" t="n"/>
      <c r="R4136" s="65" t="n"/>
    </row>
    <row r="4137">
      <c r="N4137" s="65" t="n"/>
      <c r="R4137" s="65" t="n"/>
    </row>
    <row r="4138">
      <c r="N4138" s="65" t="n"/>
      <c r="R4138" s="65" t="n"/>
    </row>
    <row r="4139">
      <c r="N4139" s="65" t="n"/>
      <c r="R4139" s="65" t="n"/>
    </row>
    <row r="4140">
      <c r="N4140" s="65" t="n"/>
      <c r="R4140" s="65" t="n"/>
    </row>
    <row r="4141">
      <c r="N4141" s="65" t="n"/>
      <c r="R4141" s="65" t="n"/>
    </row>
  </sheetData>
  <mergeCells count="10">
    <mergeCell ref="X8:AA8"/>
    <mergeCell ref="C5:E5"/>
    <mergeCell ref="C8:I8"/>
    <mergeCell ref="J8:M8"/>
    <mergeCell ref="Q8:Q9"/>
    <mergeCell ref="B8:B9"/>
    <mergeCell ref="AB8:A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AB55"/>
  <sheetViews>
    <sheetView zoomScale="60" zoomScaleNormal="60" zoomScaleSheetLayoutView="95" workbookViewId="0">
      <pane ySplit="1" topLeftCell="A2" activePane="bottomLeft" state="frozen"/>
      <selection pane="bottomLeft" activeCell="A7" sqref="A7:XFD7"/>
    </sheetView>
  </sheetViews>
  <sheetFormatPr baseColWidth="10" defaultColWidth="11.42578125" defaultRowHeight="15"/>
  <cols>
    <col width="11.42578125" customWidth="1" style="53" min="1" max="2"/>
    <col width="12.28515625" bestFit="1" customWidth="1" style="53" min="3" max="3"/>
    <col width="12.140625" customWidth="1" style="53" min="4" max="4"/>
    <col width="16.28515625" customWidth="1" style="53" min="5" max="5"/>
    <col width="13" customWidth="1" style="53" min="6" max="7"/>
    <col width="12" customWidth="1" style="53" min="8" max="8"/>
    <col width="12.28515625" bestFit="1" customWidth="1" style="53" min="9" max="9"/>
    <col width="14" customWidth="1" style="53" min="11" max="11"/>
    <col width="13.42578125" bestFit="1" customWidth="1" style="53" min="16" max="16"/>
    <col width="13.140625" customWidth="1" style="53" min="17" max="17"/>
    <col width="11.42578125" customWidth="1" style="13" min="18" max="18"/>
    <col width="13.28515625" customWidth="1" style="53" min="19" max="19"/>
    <col width="14.7109375" bestFit="1" customWidth="1" style="53" min="20" max="20"/>
    <col width="11.7109375" bestFit="1" customWidth="1" style="53" min="21" max="21"/>
    <col width="13.28515625" bestFit="1" customWidth="1" style="53" min="22" max="22"/>
    <col width="12.5703125" bestFit="1" customWidth="1" style="53" min="23" max="23"/>
    <col width="11.5703125" bestFit="1" customWidth="1" style="53" min="24" max="24"/>
    <col width="14" bestFit="1" customWidth="1" style="53" min="25" max="25"/>
    <col width="13.42578125" bestFit="1" customWidth="1" style="53" min="26" max="26"/>
    <col width="15.140625" customWidth="1" style="53" min="27" max="27"/>
    <col width="16.140625" customWidth="1" style="53" min="28" max="28"/>
  </cols>
  <sheetData>
    <row r="2" ht="15.75" customHeight="1" s="53">
      <c r="G2" s="23" t="inlineStr">
        <is>
          <t xml:space="preserve">                                                                        ANEXO No. 1.</t>
        </is>
      </c>
    </row>
    <row r="3" ht="15.75" customHeight="1" s="53">
      <c r="G3" s="23" t="inlineStr">
        <is>
          <t xml:space="preserve">                                                                  TABLA 1A</t>
        </is>
      </c>
    </row>
    <row r="4" ht="15.75" customHeight="1" s="53">
      <c r="G4" s="24" t="inlineStr">
        <is>
          <t xml:space="preserve">Cumplimiento del plan de consumo de energía eléctrica total, mes: </t>
        </is>
      </c>
      <c r="N4" s="25" t="inlineStr">
        <is>
          <t>abril-2024</t>
        </is>
      </c>
    </row>
    <row r="5" ht="18.75" customHeight="1" s="53">
      <c r="C5" s="60" t="inlineStr">
        <is>
          <t>SERVICIO: CIENCIA ANIMAL</t>
        </is>
      </c>
      <c r="T5" s="40" t="n"/>
      <c r="U5" s="40" t="inlineStr">
        <is>
          <t>total</t>
        </is>
      </c>
      <c r="V5" s="40" t="inlineStr">
        <is>
          <t>diaria</t>
        </is>
      </c>
      <c r="W5" s="35" t="n"/>
    </row>
    <row r="6" ht="15.75" customHeight="1" s="53">
      <c r="C6" t="inlineStr">
        <is>
          <t>SERVICIO: CIENCIA ANIMAL</t>
        </is>
      </c>
      <c r="N6" s="11" t="inlineStr">
        <is>
          <t>Plan Pico N</t>
        </is>
      </c>
      <c r="O6" s="26">
        <f>S6*16.5%</f>
        <v/>
      </c>
      <c r="P6" s="27" t="inlineStr">
        <is>
          <t>Plan Pico D</t>
        </is>
      </c>
      <c r="Q6" s="10">
        <f>(S6*8)/100</f>
        <v/>
      </c>
      <c r="R6" s="14" t="inlineStr">
        <is>
          <t>PLAN MES</t>
        </is>
      </c>
      <c r="S6" s="10" t="n">
        <v>21000</v>
      </c>
      <c r="T6" s="40" t="inlineStr">
        <is>
          <t>Perdidas:</t>
        </is>
      </c>
      <c r="U6" s="40" t="n">
        <v>4811</v>
      </c>
      <c r="V6" s="39">
        <f>U6/30</f>
        <v/>
      </c>
    </row>
    <row r="7" ht="15.75" customHeight="1" s="53">
      <c r="N7" s="11" t="n"/>
      <c r="O7" s="26" t="n"/>
      <c r="P7" s="27" t="n"/>
      <c r="Q7" s="10" t="n"/>
      <c r="R7" s="14" t="n"/>
      <c r="S7" s="10" t="n"/>
      <c r="T7" s="40" t="n"/>
      <c r="U7" s="40" t="n"/>
      <c r="V7" s="39" t="n"/>
    </row>
    <row r="8" ht="46.5" customHeight="1" s="53">
      <c r="B8" s="59" t="inlineStr">
        <is>
          <t>Día</t>
        </is>
      </c>
      <c r="C8" s="56" t="inlineStr">
        <is>
          <t>Lectura del contador</t>
        </is>
      </c>
      <c r="D8" s="62" t="n"/>
      <c r="E8" s="62" t="n"/>
      <c r="F8" s="62" t="n"/>
      <c r="G8" s="62" t="n"/>
      <c r="H8" s="62" t="n"/>
      <c r="I8" s="63" t="n"/>
      <c r="J8" s="56" t="inlineStr">
        <is>
          <t>Consumo diario kWh y kvarh</t>
        </is>
      </c>
      <c r="K8" s="62" t="n"/>
      <c r="L8" s="62" t="n"/>
      <c r="M8" s="63" t="n"/>
      <c r="N8" s="56" t="inlineStr">
        <is>
          <t>Consumo diario Pico nocturno kWh</t>
        </is>
      </c>
      <c r="O8" s="62" t="n"/>
      <c r="P8" s="63" t="n"/>
      <c r="Q8" s="57" t="inlineStr">
        <is>
          <t>Consumo diario pico Diurno kWh</t>
        </is>
      </c>
      <c r="R8" s="56" t="inlineStr">
        <is>
          <t>Consumo diario total kWh</t>
        </is>
      </c>
      <c r="S8" s="62" t="n"/>
      <c r="T8" s="63" t="n"/>
      <c r="U8" s="56" t="inlineStr">
        <is>
          <t>Consumo acumulado Pico kWh</t>
        </is>
      </c>
      <c r="V8" s="62" t="n"/>
      <c r="W8" s="63" t="n"/>
      <c r="X8" s="56" t="inlineStr">
        <is>
          <t>Consumo acumulado Total kWh</t>
        </is>
      </c>
      <c r="Y8" s="62" t="n"/>
      <c r="Z8" s="62" t="n"/>
      <c r="AA8" s="63" t="n"/>
      <c r="AB8" s="57" t="inlineStr">
        <is>
          <t>Firma Responsable</t>
        </is>
      </c>
    </row>
    <row r="9" ht="30" customHeight="1" s="53">
      <c r="B9" s="64" t="n"/>
      <c r="C9" s="59" t="inlineStr">
        <is>
          <t>MAD</t>
        </is>
      </c>
      <c r="D9" s="59" t="inlineStr">
        <is>
          <t>DIA</t>
        </is>
      </c>
      <c r="E9" s="59" t="inlineStr">
        <is>
          <t>PICO</t>
        </is>
      </c>
      <c r="F9" s="59" t="inlineStr">
        <is>
          <t>TOTAL</t>
        </is>
      </c>
      <c r="G9" s="59" t="inlineStr">
        <is>
          <t>Pico Diurno 11 am</t>
        </is>
      </c>
      <c r="H9" s="59" t="inlineStr">
        <is>
          <t>Pico Diurno 1 pm</t>
        </is>
      </c>
      <c r="I9" s="59" t="inlineStr">
        <is>
          <t>REACT</t>
        </is>
      </c>
      <c r="J9" s="59" t="inlineStr">
        <is>
          <t>MAD</t>
        </is>
      </c>
      <c r="K9" s="59" t="inlineStr">
        <is>
          <t>DIA</t>
        </is>
      </c>
      <c r="L9" s="59" t="inlineStr">
        <is>
          <t>PICO</t>
        </is>
      </c>
      <c r="M9" s="59" t="inlineStr">
        <is>
          <t>REACT</t>
        </is>
      </c>
      <c r="N9" s="59" t="inlineStr">
        <is>
          <t>Plan Pico</t>
        </is>
      </c>
      <c r="O9" s="59" t="inlineStr">
        <is>
          <t>Real Pico</t>
        </is>
      </c>
      <c r="P9" s="59" t="inlineStr">
        <is>
          <t>Plan - Real</t>
        </is>
      </c>
      <c r="Q9" s="64" t="n"/>
      <c r="R9" s="15" t="inlineStr">
        <is>
          <t>Plan</t>
        </is>
      </c>
      <c r="S9" s="59" t="inlineStr">
        <is>
          <t>Real</t>
        </is>
      </c>
      <c r="T9" s="59" t="inlineStr">
        <is>
          <t>Plan - Real</t>
        </is>
      </c>
      <c r="U9" s="59" t="inlineStr">
        <is>
          <t>Plan Pico</t>
        </is>
      </c>
      <c r="V9" s="59" t="inlineStr">
        <is>
          <t>Real Pico</t>
        </is>
      </c>
      <c r="W9" s="59" t="inlineStr">
        <is>
          <t>Plan - Real</t>
        </is>
      </c>
      <c r="X9" s="59" t="inlineStr">
        <is>
          <t>Plan</t>
        </is>
      </c>
      <c r="Y9" s="59" t="inlineStr">
        <is>
          <t>Real</t>
        </is>
      </c>
      <c r="Z9" s="28" t="inlineStr">
        <is>
          <t>Plan   - Real</t>
        </is>
      </c>
      <c r="AA9" s="59" t="inlineStr">
        <is>
          <t>FP</t>
        </is>
      </c>
      <c r="AB9" s="64" t="n"/>
    </row>
    <row r="10">
      <c r="B10" s="29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6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3">
      <c r="B11" s="44" t="n"/>
      <c r="C11" s="44" t="n"/>
      <c r="D11" s="44" t="n"/>
      <c r="E11" s="44" t="n"/>
      <c r="F11" s="46" t="n"/>
      <c r="G11" s="47" t="n"/>
      <c r="H11" s="45" t="n"/>
      <c r="I11" s="45" t="n"/>
      <c r="J11" s="48" t="n"/>
      <c r="K11" s="48" t="n"/>
      <c r="L11" s="48" t="n"/>
      <c r="M11" s="48" t="n"/>
      <c r="N11" s="49" t="n"/>
      <c r="O11" s="50" t="n"/>
      <c r="P11" s="49" t="n"/>
      <c r="Q11" s="49" t="n"/>
      <c r="R11" s="54" t="n"/>
      <c r="S11" s="48" t="n"/>
      <c r="T11" s="45" t="n"/>
      <c r="U11" s="45" t="n"/>
      <c r="V11" s="45" t="n"/>
      <c r="W11" s="45" t="n"/>
      <c r="X11" s="45" t="n"/>
      <c r="Y11" s="45" t="n"/>
      <c r="Z11" s="45" t="n"/>
      <c r="AA11" s="51" t="n"/>
      <c r="AB11" s="52" t="n"/>
    </row>
    <row r="12" ht="18" customHeight="1" s="53">
      <c r="B12" s="44" t="n"/>
      <c r="C12" s="49" t="n"/>
      <c r="D12" s="49" t="n"/>
      <c r="E12" s="49" t="n"/>
      <c r="F12" s="46" t="n"/>
      <c r="G12" s="47" t="n"/>
      <c r="H12" s="45" t="n"/>
      <c r="I12" s="45" t="n"/>
      <c r="J12" s="48" t="n"/>
      <c r="K12" s="48" t="n"/>
      <c r="L12" s="48" t="n"/>
      <c r="M12" s="48" t="n"/>
      <c r="N12" s="49" t="n"/>
      <c r="O12" s="50" t="n"/>
      <c r="P12" s="49" t="n"/>
      <c r="Q12" s="49" t="n"/>
      <c r="R12" s="54" t="n"/>
      <c r="S12" s="48" t="n"/>
      <c r="T12" s="45" t="n"/>
      <c r="U12" s="45" t="n"/>
      <c r="V12" s="45" t="n"/>
      <c r="W12" s="45" t="n"/>
      <c r="X12" s="45" t="n"/>
      <c r="Y12" s="45" t="n"/>
      <c r="Z12" s="45" t="n"/>
      <c r="AA12" s="51" t="n"/>
      <c r="AB12" s="52" t="n"/>
    </row>
    <row r="13" ht="18" customHeight="1" s="53">
      <c r="B13" s="44" t="n"/>
      <c r="C13" s="49" t="n"/>
      <c r="D13" s="49" t="n"/>
      <c r="E13" s="49" t="n"/>
      <c r="F13" s="46" t="n"/>
      <c r="G13" s="47" t="n"/>
      <c r="H13" s="45" t="n"/>
      <c r="I13" s="45" t="n"/>
      <c r="J13" s="48" t="n"/>
      <c r="K13" s="48" t="n"/>
      <c r="L13" s="48" t="n"/>
      <c r="M13" s="48" t="n"/>
      <c r="N13" s="49" t="n"/>
      <c r="O13" s="50" t="n"/>
      <c r="P13" s="49" t="n"/>
      <c r="Q13" s="49" t="n"/>
      <c r="R13" s="54" t="n"/>
      <c r="S13" s="48" t="n"/>
      <c r="T13" s="45" t="n"/>
      <c r="U13" s="45" t="n"/>
      <c r="V13" s="45" t="n"/>
      <c r="W13" s="45" t="n"/>
      <c r="X13" s="45" t="n"/>
      <c r="Y13" s="45" t="n"/>
      <c r="Z13" s="45" t="n"/>
      <c r="AA13" s="51" t="n"/>
      <c r="AB13" s="52" t="n"/>
    </row>
    <row r="14" ht="18" customHeight="1" s="53">
      <c r="B14" s="44" t="n"/>
      <c r="C14" s="49" t="n"/>
      <c r="D14" s="49" t="n"/>
      <c r="E14" s="49" t="n"/>
      <c r="F14" s="46" t="n"/>
      <c r="G14" s="47" t="n"/>
      <c r="H14" s="45" t="n"/>
      <c r="I14" s="45" t="n"/>
      <c r="J14" s="45" t="n"/>
      <c r="K14" s="48" t="n"/>
      <c r="L14" s="48" t="n"/>
      <c r="M14" s="48" t="n"/>
      <c r="N14" s="49" t="n"/>
      <c r="O14" s="50" t="n"/>
      <c r="P14" s="49" t="n"/>
      <c r="Q14" s="49" t="n"/>
      <c r="R14" s="54" t="n"/>
      <c r="S14" s="48" t="n"/>
      <c r="T14" s="45" t="n"/>
      <c r="U14" s="45" t="n"/>
      <c r="V14" s="45" t="n"/>
      <c r="W14" s="45" t="n"/>
      <c r="X14" s="45" t="n"/>
      <c r="Y14" s="45" t="n"/>
      <c r="Z14" s="45" t="n"/>
      <c r="AA14" s="51" t="n"/>
      <c r="AB14" s="52" t="n"/>
    </row>
    <row r="15" ht="18" customHeight="1" s="53">
      <c r="B15" s="44" t="n"/>
      <c r="C15" s="49" t="n"/>
      <c r="D15" s="49" t="n"/>
      <c r="E15" s="49" t="n"/>
      <c r="F15" s="46" t="n"/>
      <c r="G15" s="47" t="n"/>
      <c r="H15" s="45" t="n"/>
      <c r="I15" s="45" t="n"/>
      <c r="J15" s="48" t="n"/>
      <c r="K15" s="48" t="n"/>
      <c r="L15" s="48" t="n"/>
      <c r="M15" s="48" t="n"/>
      <c r="N15" s="49" t="n"/>
      <c r="O15" s="50" t="n"/>
      <c r="P15" s="49" t="n"/>
      <c r="Q15" s="49" t="n"/>
      <c r="R15" s="54" t="n"/>
      <c r="S15" s="48" t="n"/>
      <c r="T15" s="45" t="n"/>
      <c r="U15" s="45" t="n"/>
      <c r="V15" s="45" t="n"/>
      <c r="W15" s="45" t="n"/>
      <c r="X15" s="45" t="n"/>
      <c r="Y15" s="45" t="n"/>
      <c r="Z15" s="45" t="n"/>
      <c r="AA15" s="51" t="n"/>
      <c r="AB15" s="52" t="n"/>
    </row>
    <row r="16" ht="18" customHeight="1" s="53">
      <c r="B16" s="44" t="n"/>
      <c r="C16" s="49" t="n"/>
      <c r="D16" s="49" t="n"/>
      <c r="E16" s="49" t="n"/>
      <c r="F16" s="46" t="n"/>
      <c r="G16" s="47" t="n"/>
      <c r="H16" s="45" t="n"/>
      <c r="I16" s="45" t="n"/>
      <c r="J16" s="48" t="n"/>
      <c r="K16" s="48" t="n"/>
      <c r="L16" s="48" t="n"/>
      <c r="M16" s="48" t="n"/>
      <c r="N16" s="49" t="n"/>
      <c r="O16" s="50" t="n"/>
      <c r="P16" s="49" t="n"/>
      <c r="Q16" s="49" t="n"/>
      <c r="R16" s="54" t="n"/>
      <c r="S16" s="48" t="n"/>
      <c r="T16" s="45" t="n"/>
      <c r="U16" s="45" t="n"/>
      <c r="V16" s="45" t="n"/>
      <c r="W16" s="45" t="n"/>
      <c r="X16" s="45" t="n"/>
      <c r="Y16" s="45" t="n"/>
      <c r="Z16" s="45" t="n"/>
      <c r="AA16" s="51" t="n"/>
      <c r="AB16" s="52" t="n"/>
    </row>
    <row r="17" ht="18" customHeight="1" s="53">
      <c r="B17" s="44" t="n"/>
      <c r="C17" s="49" t="n"/>
      <c r="D17" s="49" t="n"/>
      <c r="E17" s="49" t="n"/>
      <c r="F17" s="46" t="n"/>
      <c r="G17" s="47" t="n"/>
      <c r="H17" s="45" t="n"/>
      <c r="I17" s="45" t="n"/>
      <c r="J17" s="48" t="n"/>
      <c r="K17" s="48" t="n"/>
      <c r="L17" s="48" t="n"/>
      <c r="M17" s="48" t="n"/>
      <c r="N17" s="49" t="n"/>
      <c r="O17" s="50" t="n"/>
      <c r="P17" s="49" t="n"/>
      <c r="Q17" s="49" t="n"/>
      <c r="R17" s="54" t="n"/>
      <c r="S17" s="48" t="n"/>
      <c r="T17" s="45" t="n"/>
      <c r="U17" s="45" t="n"/>
      <c r="V17" s="45" t="n"/>
      <c r="W17" s="45" t="n"/>
      <c r="X17" s="45" t="n"/>
      <c r="Y17" s="45" t="n"/>
      <c r="Z17" s="45" t="n"/>
      <c r="AA17" s="51" t="n"/>
      <c r="AB17" s="52" t="n"/>
    </row>
    <row r="18" ht="18" customHeight="1" s="53">
      <c r="B18" s="44" t="n"/>
      <c r="C18" s="49" t="n"/>
      <c r="D18" s="49" t="n"/>
      <c r="E18" s="49" t="n"/>
      <c r="F18" s="46" t="n"/>
      <c r="G18" s="47" t="n"/>
      <c r="H18" s="45" t="n"/>
      <c r="I18" s="45" t="n"/>
      <c r="J18" s="48" t="n"/>
      <c r="K18" s="48" t="n"/>
      <c r="L18" s="48" t="n"/>
      <c r="M18" s="48" t="n"/>
      <c r="N18" s="49" t="n"/>
      <c r="O18" s="50" t="n"/>
      <c r="P18" s="49" t="n"/>
      <c r="Q18" s="49" t="n"/>
      <c r="R18" s="54" t="n"/>
      <c r="S18" s="48" t="n"/>
      <c r="T18" s="45" t="n"/>
      <c r="U18" s="45" t="n"/>
      <c r="V18" s="45" t="n"/>
      <c r="W18" s="45" t="n"/>
      <c r="X18" s="45" t="n"/>
      <c r="Y18" s="45" t="n"/>
      <c r="Z18" s="45" t="n"/>
      <c r="AA18" s="51" t="n"/>
      <c r="AB18" s="52" t="n"/>
    </row>
    <row r="19" ht="18" customHeight="1" s="53">
      <c r="B19" s="44" t="n"/>
      <c r="C19" s="49" t="n"/>
      <c r="D19" s="49" t="n"/>
      <c r="E19" s="49" t="n"/>
      <c r="F19" s="46" t="n"/>
      <c r="G19" s="47" t="n"/>
      <c r="H19" s="45" t="n"/>
      <c r="I19" s="45" t="n"/>
      <c r="J19" s="48" t="n"/>
      <c r="K19" s="48" t="n"/>
      <c r="L19" s="48" t="n"/>
      <c r="M19" s="48" t="n"/>
      <c r="N19" s="49" t="n"/>
      <c r="O19" s="44" t="n"/>
      <c r="P19" s="49" t="n"/>
      <c r="Q19" s="49" t="n"/>
      <c r="R19" s="54" t="n"/>
      <c r="S19" s="48" t="n"/>
      <c r="T19" s="45" t="n"/>
      <c r="U19" s="45" t="n"/>
      <c r="V19" s="45" t="n"/>
      <c r="W19" s="45" t="n"/>
      <c r="X19" s="45" t="n"/>
      <c r="Y19" s="45" t="n"/>
      <c r="Z19" s="45" t="n"/>
      <c r="AA19" s="51" t="n"/>
      <c r="AB19" s="1" t="n"/>
    </row>
    <row r="20" ht="18" customHeight="1" s="53">
      <c r="B20" s="44" t="n"/>
      <c r="C20" s="49" t="n"/>
      <c r="D20" s="49" t="n"/>
      <c r="E20" s="49" t="n"/>
      <c r="F20" s="46" t="n"/>
      <c r="G20" s="47" t="n"/>
      <c r="H20" s="45" t="n"/>
      <c r="I20" s="45" t="n"/>
      <c r="J20" s="48" t="n"/>
      <c r="K20" s="48" t="n"/>
      <c r="L20" s="48" t="n"/>
      <c r="M20" s="48" t="n"/>
      <c r="N20" s="49" t="n"/>
      <c r="O20" s="44" t="n"/>
      <c r="P20" s="49" t="n"/>
      <c r="Q20" s="49" t="n"/>
      <c r="R20" s="54" t="n"/>
      <c r="S20" s="48" t="n"/>
      <c r="T20" s="45" t="n"/>
      <c r="U20" s="45" t="n"/>
      <c r="V20" s="45" t="n"/>
      <c r="W20" s="45" t="n"/>
      <c r="X20" s="45" t="n"/>
      <c r="Y20" s="45" t="n"/>
      <c r="Z20" s="45" t="n"/>
      <c r="AA20" s="51" t="n"/>
      <c r="AB20" s="1" t="n"/>
    </row>
    <row r="21" ht="18" customHeight="1" s="53">
      <c r="B21" s="44" t="n"/>
      <c r="C21" s="49" t="n"/>
      <c r="D21" s="49" t="n"/>
      <c r="E21" s="49" t="n"/>
      <c r="F21" s="46" t="n"/>
      <c r="G21" s="47" t="n"/>
      <c r="H21" s="45" t="n"/>
      <c r="I21" s="45" t="n"/>
      <c r="J21" s="48" t="n"/>
      <c r="K21" s="48" t="n"/>
      <c r="L21" s="48" t="n"/>
      <c r="M21" s="48" t="n"/>
      <c r="N21" s="49" t="n"/>
      <c r="O21" s="44" t="n"/>
      <c r="P21" s="49" t="n"/>
      <c r="Q21" s="49" t="n"/>
      <c r="R21" s="54" t="n"/>
      <c r="S21" s="48" t="n"/>
      <c r="T21" s="45" t="n"/>
      <c r="U21" s="45" t="n"/>
      <c r="V21" s="45" t="n"/>
      <c r="W21" s="45" t="n"/>
      <c r="X21" s="45" t="n"/>
      <c r="Y21" s="45" t="n"/>
      <c r="Z21" s="45" t="n"/>
      <c r="AA21" s="51" t="n"/>
      <c r="AB21" s="1" t="n"/>
    </row>
    <row r="22" ht="18" customHeight="1" s="53">
      <c r="B22" s="44" t="n"/>
      <c r="C22" s="49" t="n"/>
      <c r="D22" s="49" t="n"/>
      <c r="E22" s="49" t="n"/>
      <c r="F22" s="8" t="n"/>
      <c r="G22" s="47" t="n"/>
      <c r="H22" s="45" t="n"/>
      <c r="I22" s="45" t="n"/>
      <c r="J22" s="48" t="n"/>
      <c r="K22" s="48" t="n"/>
      <c r="L22" s="48" t="n"/>
      <c r="M22" s="48" t="n"/>
      <c r="N22" s="49" t="n"/>
      <c r="O22" s="44" t="n"/>
      <c r="P22" s="49" t="n"/>
      <c r="Q22" s="49" t="n"/>
      <c r="R22" s="54" t="n"/>
      <c r="S22" s="48" t="n"/>
      <c r="T22" s="45" t="n"/>
      <c r="U22" s="45" t="n"/>
      <c r="V22" s="45" t="n"/>
      <c r="W22" s="45" t="n"/>
      <c r="X22" s="45" t="n"/>
      <c r="Y22" s="45" t="n"/>
      <c r="Z22" s="45" t="n"/>
      <c r="AA22" s="51" t="n"/>
      <c r="AB22" s="1" t="n"/>
    </row>
    <row r="23" ht="18" customHeight="1" s="53">
      <c r="B23" s="44" t="n"/>
      <c r="C23" s="49" t="n"/>
      <c r="D23" s="49" t="n"/>
      <c r="E23" s="49" t="n"/>
      <c r="F23" s="46" t="n"/>
      <c r="G23" s="47" t="n"/>
      <c r="H23" s="45" t="n"/>
      <c r="I23" s="45" t="n"/>
      <c r="J23" s="48" t="n"/>
      <c r="K23" s="48" t="n"/>
      <c r="L23" s="48" t="n"/>
      <c r="M23" s="48" t="n"/>
      <c r="N23" s="49" t="n"/>
      <c r="O23" s="44" t="n"/>
      <c r="P23" s="49" t="n"/>
      <c r="Q23" s="49" t="n"/>
      <c r="R23" s="54" t="n"/>
      <c r="S23" s="48" t="n"/>
      <c r="T23" s="45" t="n"/>
      <c r="U23" s="45" t="n"/>
      <c r="V23" s="45" t="n"/>
      <c r="W23" s="45" t="n"/>
      <c r="X23" s="45" t="n"/>
      <c r="Y23" s="45" t="n"/>
      <c r="Z23" s="45" t="n"/>
      <c r="AA23" s="51" t="n"/>
      <c r="AB23" s="1" t="n"/>
    </row>
    <row r="24" ht="18" customHeight="1" s="53">
      <c r="B24" s="44" t="n"/>
      <c r="C24" s="49" t="n"/>
      <c r="D24" s="49" t="n"/>
      <c r="E24" s="49" t="n"/>
      <c r="F24" s="46" t="n"/>
      <c r="G24" s="47" t="n"/>
      <c r="H24" s="45" t="n"/>
      <c r="I24" s="45" t="n"/>
      <c r="J24" s="48" t="n"/>
      <c r="K24" s="48" t="n"/>
      <c r="L24" s="48" t="n"/>
      <c r="M24" s="48" t="n"/>
      <c r="N24" s="49" t="n"/>
      <c r="O24" s="44" t="n"/>
      <c r="P24" s="49" t="n"/>
      <c r="Q24" s="49" t="n"/>
      <c r="R24" s="54" t="n"/>
      <c r="S24" s="48" t="n"/>
      <c r="T24" s="45" t="n"/>
      <c r="U24" s="45" t="n"/>
      <c r="V24" s="45" t="n"/>
      <c r="W24" s="45" t="n"/>
      <c r="X24" s="45" t="n"/>
      <c r="Y24" s="45" t="n"/>
      <c r="Z24" s="45" t="n"/>
      <c r="AA24" s="51" t="n"/>
      <c r="AB24" s="1" t="n"/>
    </row>
    <row r="25" ht="18" customHeight="1" s="53">
      <c r="B25" s="44" t="n"/>
      <c r="C25" s="49" t="n"/>
      <c r="D25" s="49" t="n"/>
      <c r="E25" s="49" t="n"/>
      <c r="F25" s="46" t="n"/>
      <c r="G25" s="47" t="n"/>
      <c r="H25" s="45" t="n"/>
      <c r="I25" s="45" t="n"/>
      <c r="J25" s="48" t="n"/>
      <c r="K25" s="48" t="n"/>
      <c r="L25" s="48" t="n"/>
      <c r="M25" s="45" t="n"/>
      <c r="N25" s="49" t="n"/>
      <c r="O25" s="44" t="n"/>
      <c r="P25" s="49" t="n"/>
      <c r="Q25" s="49" t="n"/>
      <c r="R25" s="54" t="n"/>
      <c r="S25" s="48" t="n"/>
      <c r="T25" s="45" t="n"/>
      <c r="U25" s="45" t="n"/>
      <c r="V25" s="48" t="n"/>
      <c r="W25" s="45" t="n"/>
      <c r="X25" s="45" t="n"/>
      <c r="Y25" s="45" t="n"/>
      <c r="Z25" s="45" t="n"/>
      <c r="AA25" s="51" t="n"/>
      <c r="AB25" s="1" t="n"/>
    </row>
    <row r="26" ht="18" customHeight="1" s="53">
      <c r="B26" s="44" t="n"/>
      <c r="C26" s="49" t="n"/>
      <c r="D26" s="49" t="n"/>
      <c r="E26" s="49" t="n"/>
      <c r="F26" s="46" t="n"/>
      <c r="G26" s="47" t="n"/>
      <c r="H26" s="45" t="n"/>
      <c r="I26" s="45" t="n"/>
      <c r="J26" s="48" t="n"/>
      <c r="K26" s="48" t="n"/>
      <c r="L26" s="48" t="n"/>
      <c r="M26" s="45" t="n"/>
      <c r="N26" s="49" t="n"/>
      <c r="O26" s="44" t="n"/>
      <c r="P26" s="49" t="n"/>
      <c r="Q26" s="49" t="n"/>
      <c r="R26" s="54" t="n"/>
      <c r="S26" s="48" t="n"/>
      <c r="T26" s="45" t="n"/>
      <c r="U26" s="45" t="n"/>
      <c r="V26" s="48" t="n"/>
      <c r="W26" s="45" t="n"/>
      <c r="X26" s="45" t="n"/>
      <c r="Y26" s="45" t="n"/>
      <c r="Z26" s="45" t="n"/>
      <c r="AA26" s="51" t="n"/>
      <c r="AB26" s="1" t="n"/>
    </row>
    <row r="27" ht="18" customHeight="1" s="53">
      <c r="B27" s="44" t="n"/>
      <c r="C27" s="49" t="n"/>
      <c r="D27" s="49" t="n"/>
      <c r="E27" s="49" t="n"/>
      <c r="F27" s="46" t="n"/>
      <c r="G27" s="47" t="n"/>
      <c r="H27" s="45" t="n"/>
      <c r="I27" s="45" t="n"/>
      <c r="J27" s="48" t="n"/>
      <c r="K27" s="48" t="n"/>
      <c r="L27" s="48" t="n"/>
      <c r="M27" s="45" t="n"/>
      <c r="N27" s="49" t="n"/>
      <c r="O27" s="44" t="n"/>
      <c r="P27" s="49" t="n"/>
      <c r="Q27" s="49" t="n"/>
      <c r="R27" s="54" t="n"/>
      <c r="S27" s="48" t="n"/>
      <c r="T27" s="45" t="n"/>
      <c r="U27" s="45" t="n"/>
      <c r="V27" s="48" t="n"/>
      <c r="W27" s="45" t="n"/>
      <c r="X27" s="45" t="n"/>
      <c r="Y27" s="45" t="n"/>
      <c r="Z27" s="45" t="n"/>
      <c r="AA27" s="51" t="n"/>
      <c r="AB27" s="1" t="n"/>
    </row>
    <row r="28" ht="18" customHeight="1" s="53">
      <c r="B28" s="44" t="n"/>
      <c r="C28" s="49" t="n"/>
      <c r="D28" s="49" t="n"/>
      <c r="E28" s="49" t="n"/>
      <c r="F28" s="46" t="n"/>
      <c r="G28" s="47" t="n"/>
      <c r="H28" s="45" t="n"/>
      <c r="I28" s="45" t="n"/>
      <c r="J28" s="48" t="n"/>
      <c r="K28" s="48" t="n"/>
      <c r="L28" s="48" t="n"/>
      <c r="M28" s="45" t="n"/>
      <c r="N28" s="49" t="n"/>
      <c r="O28" s="44" t="n"/>
      <c r="P28" s="49" t="n"/>
      <c r="Q28" s="49" t="n"/>
      <c r="R28" s="54" t="n"/>
      <c r="S28" s="48" t="n"/>
      <c r="T28" s="45" t="n"/>
      <c r="U28" s="45" t="n"/>
      <c r="V28" s="48" t="n"/>
      <c r="W28" s="45" t="n"/>
      <c r="X28" s="45" t="n"/>
      <c r="Y28" s="45" t="n"/>
      <c r="Z28" s="45" t="n"/>
      <c r="AA28" s="51" t="n"/>
      <c r="AB28" s="1" t="n"/>
    </row>
    <row r="29" ht="18" customHeight="1" s="53">
      <c r="B29" s="44" t="n"/>
      <c r="C29" s="49" t="n"/>
      <c r="D29" s="49" t="n"/>
      <c r="E29" s="49" t="n"/>
      <c r="F29" s="46" t="n"/>
      <c r="G29" s="47" t="n"/>
      <c r="H29" s="45" t="n"/>
      <c r="I29" s="45" t="n"/>
      <c r="J29" s="48" t="n"/>
      <c r="K29" s="48" t="n"/>
      <c r="L29" s="48" t="n"/>
      <c r="M29" s="48" t="n"/>
      <c r="N29" s="49" t="n"/>
      <c r="O29" s="44" t="n"/>
      <c r="P29" s="49" t="n"/>
      <c r="Q29" s="49" t="n"/>
      <c r="R29" s="54" t="n"/>
      <c r="S29" s="48" t="n"/>
      <c r="T29" s="45" t="n"/>
      <c r="U29" s="45" t="n"/>
      <c r="V29" s="48" t="n"/>
      <c r="W29" s="45" t="n"/>
      <c r="X29" s="45" t="n"/>
      <c r="Y29" s="45" t="n"/>
      <c r="Z29" s="45" t="n"/>
      <c r="AA29" s="51" t="n"/>
      <c r="AB29" s="1" t="n"/>
    </row>
    <row r="30" ht="18" customHeight="1" s="53">
      <c r="B30" s="44" t="n"/>
      <c r="C30" s="49" t="n"/>
      <c r="D30" s="49" t="n"/>
      <c r="E30" s="49" t="n"/>
      <c r="F30" s="46" t="n"/>
      <c r="G30" s="47" t="n"/>
      <c r="H30" s="45" t="n"/>
      <c r="I30" s="45" t="n"/>
      <c r="J30" s="48" t="n"/>
      <c r="K30" s="48" t="n"/>
      <c r="L30" s="48" t="n"/>
      <c r="M30" s="48" t="n"/>
      <c r="N30" s="49" t="n"/>
      <c r="O30" s="44" t="n"/>
      <c r="P30" s="49" t="n"/>
      <c r="Q30" s="49" t="n"/>
      <c r="R30" s="54" t="n"/>
      <c r="S30" s="48" t="n"/>
      <c r="T30" s="45" t="n"/>
      <c r="U30" s="45" t="n"/>
      <c r="V30" s="48" t="n"/>
      <c r="W30" s="45" t="n"/>
      <c r="X30" s="45" t="n"/>
      <c r="Y30" s="45" t="n"/>
      <c r="Z30" s="45" t="n"/>
      <c r="AA30" s="51" t="n"/>
      <c r="AB30" s="1" t="n"/>
    </row>
    <row r="31" ht="18" customHeight="1" s="53">
      <c r="B31" s="44" t="n"/>
      <c r="C31" s="49" t="n"/>
      <c r="D31" s="49" t="n"/>
      <c r="E31" s="49" t="n"/>
      <c r="F31" s="46" t="n"/>
      <c r="G31" s="47" t="n"/>
      <c r="H31" s="45" t="n"/>
      <c r="I31" s="45" t="n"/>
      <c r="J31" s="48" t="n"/>
      <c r="K31" s="48" t="n"/>
      <c r="L31" s="48" t="n"/>
      <c r="M31" s="48" t="n"/>
      <c r="N31" s="49" t="n"/>
      <c r="O31" s="44" t="n"/>
      <c r="P31" s="49" t="n"/>
      <c r="Q31" s="49" t="n"/>
      <c r="R31" s="54" t="n"/>
      <c r="S31" s="48" t="n"/>
      <c r="T31" s="45" t="n"/>
      <c r="U31" s="45" t="n"/>
      <c r="V31" s="48" t="n"/>
      <c r="W31" s="45" t="n"/>
      <c r="X31" s="45" t="n"/>
      <c r="Y31" s="45" t="n"/>
      <c r="Z31" s="45" t="n"/>
      <c r="AA31" s="51" t="n"/>
      <c r="AB31" s="1" t="n"/>
    </row>
    <row r="32" ht="18" customHeight="1" s="53">
      <c r="B32" s="44" t="n"/>
      <c r="C32" s="49" t="n"/>
      <c r="D32" s="49" t="n"/>
      <c r="E32" s="49" t="n"/>
      <c r="F32" s="46" t="n"/>
      <c r="G32" s="47" t="n"/>
      <c r="H32" s="45" t="n"/>
      <c r="I32" s="45" t="n"/>
      <c r="J32" s="48" t="n"/>
      <c r="K32" s="48" t="n"/>
      <c r="L32" s="48" t="n"/>
      <c r="M32" s="48" t="n"/>
      <c r="N32" s="49" t="n"/>
      <c r="O32" s="44" t="n"/>
      <c r="P32" s="49" t="n"/>
      <c r="Q32" s="49" t="n"/>
      <c r="R32" s="54" t="n"/>
      <c r="S32" s="48" t="n"/>
      <c r="T32" s="45" t="n"/>
      <c r="U32" s="45" t="n"/>
      <c r="V32" s="48" t="n"/>
      <c r="W32" s="45" t="n"/>
      <c r="X32" s="45" t="n"/>
      <c r="Y32" s="45" t="n"/>
      <c r="Z32" s="45" t="n"/>
      <c r="AA32" s="51" t="n"/>
      <c r="AB32" s="1" t="n"/>
    </row>
    <row r="33" ht="18" customHeight="1" s="53">
      <c r="B33" s="44" t="n"/>
      <c r="C33" s="49" t="n"/>
      <c r="D33" s="49" t="n"/>
      <c r="E33" s="49" t="n"/>
      <c r="F33" s="46" t="n"/>
      <c r="G33" s="47" t="n"/>
      <c r="H33" s="45" t="n"/>
      <c r="I33" s="45" t="n"/>
      <c r="J33" s="48" t="n"/>
      <c r="K33" s="48" t="n"/>
      <c r="L33" s="48" t="n"/>
      <c r="M33" s="48" t="n"/>
      <c r="N33" s="49" t="n"/>
      <c r="O33" s="44" t="n"/>
      <c r="P33" s="49" t="n"/>
      <c r="Q33" s="49" t="n"/>
      <c r="R33" s="54" t="n"/>
      <c r="S33" s="48" t="n"/>
      <c r="T33" s="45" t="n"/>
      <c r="U33" s="45" t="n"/>
      <c r="V33" s="48" t="n"/>
      <c r="W33" s="45" t="n"/>
      <c r="X33" s="45" t="n"/>
      <c r="Y33" s="45" t="n"/>
      <c r="Z33" s="45" t="n"/>
      <c r="AA33" s="51" t="n"/>
      <c r="AB33" s="1" t="n"/>
    </row>
    <row r="34" ht="18" customHeight="1" s="53">
      <c r="B34" s="44" t="n"/>
      <c r="C34" s="49" t="n"/>
      <c r="D34" s="49" t="n"/>
      <c r="E34" s="49" t="n"/>
      <c r="F34" s="46" t="n"/>
      <c r="G34" s="47" t="n"/>
      <c r="H34" s="45" t="n"/>
      <c r="I34" s="45" t="n"/>
      <c r="J34" s="48" t="n"/>
      <c r="K34" s="48" t="n"/>
      <c r="L34" s="48" t="n"/>
      <c r="M34" s="48" t="n"/>
      <c r="N34" s="49" t="n"/>
      <c r="O34" s="44" t="n"/>
      <c r="P34" s="49" t="n"/>
      <c r="Q34" s="49" t="n"/>
      <c r="R34" s="54" t="n"/>
      <c r="S34" s="48" t="n"/>
      <c r="T34" s="45" t="n"/>
      <c r="U34" s="45" t="n"/>
      <c r="V34" s="48" t="n"/>
      <c r="W34" s="45" t="n"/>
      <c r="X34" s="45" t="n"/>
      <c r="Y34" s="45" t="n"/>
      <c r="Z34" s="45" t="n"/>
      <c r="AA34" s="51" t="n"/>
      <c r="AB34" s="1" t="n"/>
    </row>
    <row r="35" ht="18" customHeight="1" s="53">
      <c r="B35" s="44" t="n"/>
      <c r="C35" s="49" t="n"/>
      <c r="D35" s="49" t="n"/>
      <c r="E35" s="49" t="n"/>
      <c r="F35" s="46" t="n"/>
      <c r="G35" s="47" t="n"/>
      <c r="H35" s="45" t="n"/>
      <c r="I35" s="45" t="n"/>
      <c r="J35" s="48" t="n"/>
      <c r="K35" s="48" t="n"/>
      <c r="L35" s="48" t="n"/>
      <c r="M35" s="48" t="n"/>
      <c r="N35" s="49" t="n"/>
      <c r="O35" s="44" t="n"/>
      <c r="P35" s="49" t="n"/>
      <c r="Q35" s="49" t="n"/>
      <c r="R35" s="54" t="n"/>
      <c r="S35" s="48" t="n"/>
      <c r="T35" s="45" t="n"/>
      <c r="U35" s="45" t="n"/>
      <c r="V35" s="48" t="n"/>
      <c r="W35" s="45" t="n"/>
      <c r="X35" s="45" t="n"/>
      <c r="Y35" s="45" t="n"/>
      <c r="Z35" s="45" t="n"/>
      <c r="AA35" s="51" t="n"/>
      <c r="AB35" s="1" t="n"/>
    </row>
    <row r="36" ht="18" customHeight="1" s="53">
      <c r="B36" s="44" t="n"/>
      <c r="C36" s="45" t="n"/>
      <c r="D36" s="45" t="n"/>
      <c r="E36" s="47" t="n"/>
      <c r="F36" s="46" t="n"/>
      <c r="G36" s="47" t="n"/>
      <c r="H36" s="45" t="n"/>
      <c r="I36" s="45" t="n"/>
      <c r="J36" s="48" t="n"/>
      <c r="K36" s="48" t="n"/>
      <c r="L36" s="48" t="n"/>
      <c r="M36" s="48" t="n"/>
      <c r="N36" s="49" t="n"/>
      <c r="O36" s="44" t="n"/>
      <c r="P36" s="49" t="n"/>
      <c r="Q36" s="49" t="n"/>
      <c r="R36" s="54" t="n"/>
      <c r="S36" s="48" t="n"/>
      <c r="T36" s="45" t="n"/>
      <c r="U36" s="45" t="n"/>
      <c r="V36" s="48" t="n"/>
      <c r="W36" s="45" t="n"/>
      <c r="X36" s="45" t="n"/>
      <c r="Y36" s="45" t="n"/>
      <c r="Z36" s="45" t="n"/>
      <c r="AA36" s="51" t="n"/>
      <c r="AB36" s="1" t="n"/>
    </row>
    <row r="37" ht="18" customHeight="1" s="53">
      <c r="B37" s="44" t="n"/>
      <c r="C37" s="45" t="n"/>
      <c r="D37" s="45" t="n"/>
      <c r="E37" s="47" t="n"/>
      <c r="F37" s="46" t="n"/>
      <c r="G37" s="47" t="n"/>
      <c r="H37" s="45" t="n"/>
      <c r="I37" s="45" t="n"/>
      <c r="J37" s="48" t="n"/>
      <c r="K37" s="48" t="n"/>
      <c r="L37" s="48" t="n"/>
      <c r="M37" s="48" t="n"/>
      <c r="N37" s="49" t="n"/>
      <c r="O37" s="44" t="n"/>
      <c r="P37" s="49" t="n"/>
      <c r="Q37" s="49" t="n"/>
      <c r="R37" s="54" t="n"/>
      <c r="S37" s="48" t="n"/>
      <c r="T37" s="45" t="n"/>
      <c r="U37" s="45" t="n"/>
      <c r="V37" s="48" t="n"/>
      <c r="W37" s="45" t="n"/>
      <c r="X37" s="45" t="n"/>
      <c r="Y37" s="45" t="n"/>
      <c r="Z37" s="45" t="n"/>
      <c r="AA37" s="51" t="n"/>
      <c r="AB37" s="1" t="n"/>
    </row>
    <row r="38" ht="18" customHeight="1" s="53">
      <c r="B38" s="44" t="n"/>
      <c r="C38" s="45" t="n"/>
      <c r="D38" s="45" t="n"/>
      <c r="E38" s="47" t="n"/>
      <c r="F38" s="8" t="n"/>
      <c r="G38" s="47" t="n"/>
      <c r="H38" s="45" t="n"/>
      <c r="I38" s="45" t="n"/>
      <c r="J38" s="48" t="n"/>
      <c r="K38" s="48" t="n"/>
      <c r="L38" s="48" t="n"/>
      <c r="M38" s="48" t="n"/>
      <c r="N38" s="49" t="n"/>
      <c r="O38" s="44" t="n"/>
      <c r="P38" s="49" t="n"/>
      <c r="Q38" s="49" t="n"/>
      <c r="R38" s="54" t="n"/>
      <c r="S38" s="48" t="n"/>
      <c r="T38" s="45" t="n"/>
      <c r="U38" s="45" t="n"/>
      <c r="V38" s="48" t="n"/>
      <c r="W38" s="45" t="n"/>
      <c r="X38" s="45" t="n"/>
      <c r="Y38" s="45" t="n"/>
      <c r="Z38" s="45" t="n"/>
      <c r="AA38" s="51" t="n"/>
      <c r="AB38" s="1" t="n"/>
    </row>
    <row r="39" ht="18" customHeight="1" s="53">
      <c r="B39" s="44" t="n"/>
      <c r="C39" s="45" t="n"/>
      <c r="D39" s="45" t="n"/>
      <c r="E39" s="47" t="n"/>
      <c r="F39" s="46" t="n"/>
      <c r="G39" s="47" t="n"/>
      <c r="H39" s="45" t="n"/>
      <c r="I39" s="45" t="n"/>
      <c r="J39" s="48" t="n"/>
      <c r="K39" s="48" t="n"/>
      <c r="L39" s="48" t="n"/>
      <c r="M39" s="48" t="n"/>
      <c r="N39" s="49" t="n"/>
      <c r="O39" s="44" t="n"/>
      <c r="P39" s="49" t="n"/>
      <c r="Q39" s="49" t="n"/>
      <c r="R39" s="54" t="n"/>
      <c r="S39" s="48" t="n"/>
      <c r="T39" s="45" t="n"/>
      <c r="U39" s="45" t="n"/>
      <c r="V39" s="48" t="n"/>
      <c r="W39" s="45" t="n"/>
      <c r="X39" s="45" t="n"/>
      <c r="Y39" s="45" t="n"/>
      <c r="Z39" s="45" t="n"/>
      <c r="AA39" s="51" t="n"/>
      <c r="AB39" s="1" t="n"/>
    </row>
    <row r="40" ht="18" customHeight="1" s="53">
      <c r="B40" s="44" t="n"/>
      <c r="C40" s="45" t="n"/>
      <c r="D40" s="45" t="n"/>
      <c r="E40" s="47" t="n"/>
      <c r="F40" s="46" t="n"/>
      <c r="G40" s="47" t="n"/>
      <c r="H40" s="45" t="n"/>
      <c r="I40" s="45" t="n"/>
      <c r="J40" s="48" t="n"/>
      <c r="K40" s="48" t="n"/>
      <c r="L40" s="48" t="n"/>
      <c r="M40" s="48" t="n"/>
      <c r="N40" s="49" t="n"/>
      <c r="O40" s="44" t="n"/>
      <c r="P40" s="49" t="n"/>
      <c r="Q40" s="49" t="n"/>
      <c r="R40" s="54" t="n"/>
      <c r="S40" s="48" t="n"/>
      <c r="T40" s="45" t="n"/>
      <c r="U40" s="45" t="n"/>
      <c r="V40" s="48" t="n"/>
      <c r="W40" s="45" t="n"/>
      <c r="X40" s="45" t="n"/>
      <c r="Y40" s="45" t="n"/>
      <c r="Z40" s="45" t="n"/>
      <c r="AA40" s="51" t="n"/>
      <c r="AB40" s="1" t="n"/>
    </row>
    <row r="41" ht="18.75" customHeight="1" s="53" thickBot="1">
      <c r="B41" s="44" t="n"/>
      <c r="C41" s="45" t="n"/>
      <c r="D41" s="45" t="n"/>
      <c r="E41" s="47" t="n"/>
      <c r="F41" s="46" t="n"/>
      <c r="G41" s="47" t="n"/>
      <c r="H41" s="45" t="n"/>
      <c r="I41" s="45" t="n"/>
      <c r="J41" s="48" t="n"/>
      <c r="K41" s="48" t="n"/>
      <c r="L41" s="48" t="n"/>
      <c r="M41" s="48" t="n"/>
      <c r="N41" s="36" t="n"/>
      <c r="O41" s="44" t="n"/>
      <c r="P41" s="49" t="n"/>
      <c r="Q41" s="49" t="n"/>
      <c r="R41" s="38" t="n"/>
      <c r="S41" s="48" t="n"/>
      <c r="T41" s="45" t="n"/>
      <c r="U41" s="45" t="n"/>
      <c r="V41" s="48" t="n"/>
      <c r="W41" s="45" t="n"/>
      <c r="X41" s="45" t="n"/>
      <c r="Y41" s="45" t="n"/>
      <c r="Z41" s="45" t="n"/>
      <c r="AA41" s="51" t="n"/>
      <c r="AB41" s="1" t="n"/>
    </row>
    <row r="42" ht="54.75" customHeight="1" s="53" thickBot="1">
      <c r="B42" s="30" t="inlineStr">
        <is>
          <t>cierre mes anterior</t>
        </is>
      </c>
      <c r="C42" s="45" t="inlineStr"/>
      <c r="D42" s="45" t="inlineStr"/>
      <c r="E42" s="45" t="inlineStr"/>
      <c r="F42" s="41" t="inlineStr"/>
      <c r="G42" s="42" t="inlineStr"/>
      <c r="H42" s="54" t="inlineStr"/>
      <c r="I42" s="45" t="inlineStr"/>
      <c r="J42" s="9" t="n"/>
      <c r="K42" s="9" t="n"/>
      <c r="L42" s="9" t="n"/>
      <c r="M42" s="37">
        <f>SUM(M12:M41)</f>
        <v/>
      </c>
      <c r="N42" s="9" t="n"/>
      <c r="O42" s="9" t="n"/>
      <c r="P42" s="9" t="n"/>
      <c r="Q42" s="9" t="n"/>
      <c r="R42" s="18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3">
        <f>AVERAGE(AA12:AA41)</f>
        <v/>
      </c>
    </row>
    <row r="43" ht="18" customHeight="1" s="53">
      <c r="B43" s="31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8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3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8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3">
      <c r="B45" s="9" t="n"/>
      <c r="C45" s="9" t="n"/>
      <c r="D45" s="34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8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2" t="n"/>
    </row>
    <row r="52" ht="18" customHeight="1" s="53">
      <c r="Z52" s="9" t="inlineStr">
        <is>
          <t>Aprobado:</t>
        </is>
      </c>
    </row>
    <row r="53" ht="18" customHeight="1" s="53">
      <c r="Z53" s="9" t="inlineStr">
        <is>
          <t>Ms.C. Jorge Luis García Santana</t>
        </is>
      </c>
      <c r="AA53" s="9" t="n"/>
    </row>
    <row r="54" ht="18" customHeight="1" s="53">
      <c r="Z54" s="9" t="inlineStr">
        <is>
          <t>Director General</t>
        </is>
      </c>
      <c r="AA54" s="9" t="n"/>
    </row>
    <row r="55" ht="18" customHeight="1" s="53">
      <c r="Z55" s="9" t="inlineStr">
        <is>
          <t>Universidad Camaguey</t>
        </is>
      </c>
      <c r="AA55" s="9" t="n"/>
    </row>
  </sheetData>
  <mergeCells count="10">
    <mergeCell ref="X8:AA8"/>
    <mergeCell ref="C5:E5"/>
    <mergeCell ref="C8:I8"/>
    <mergeCell ref="J8:M8"/>
    <mergeCell ref="Q8:Q9"/>
    <mergeCell ref="B8:B9"/>
    <mergeCell ref="AB8:A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3.xml><?xml version="1.0" encoding="utf-8"?>
<worksheet xmlns="http://schemas.openxmlformats.org/spreadsheetml/2006/main">
  <sheetPr codeName="Hoja3">
    <outlinePr summaryBelow="1" summaryRight="1"/>
    <pageSetUpPr fitToPage="1"/>
  </sheetPr>
  <dimension ref="B2:AB61"/>
  <sheetViews>
    <sheetView zoomScale="66" zoomScaleNormal="66" zoomScaleSheetLayoutView="70" workbookViewId="0">
      <selection activeCell="A7" sqref="A7:XFD7"/>
    </sheetView>
  </sheetViews>
  <sheetFormatPr baseColWidth="10" defaultColWidth="11.42578125" defaultRowHeight="15"/>
  <cols>
    <col width="11.42578125" customWidth="1" style="53" min="1" max="2"/>
    <col width="12.28515625" bestFit="1" customWidth="1" style="53" min="3" max="3"/>
    <col width="10.5703125" customWidth="1" style="53" min="4" max="4"/>
    <col width="11.42578125" customWidth="1" style="53" min="5" max="5"/>
    <col width="12.28515625" customWidth="1" style="53" min="6" max="6"/>
    <col width="11.42578125" customWidth="1" style="53" min="7" max="7"/>
    <col width="12.28515625" bestFit="1" customWidth="1" style="53" min="8" max="9"/>
    <col width="18.28515625" customWidth="1" style="53" min="13" max="13"/>
    <col width="12.7109375" customWidth="1" style="53" min="14" max="14"/>
    <col width="13.42578125" bestFit="1" customWidth="1" style="53" min="16" max="16"/>
    <col width="13.140625" customWidth="1" style="53" min="17" max="17"/>
    <col width="14.7109375" bestFit="1" customWidth="1" style="53" min="20" max="20"/>
    <col width="11.7109375" bestFit="1" customWidth="1" style="53" min="21" max="21"/>
    <col width="13.28515625" bestFit="1" customWidth="1" style="53" min="22" max="22"/>
    <col width="12.5703125" bestFit="1" customWidth="1" style="53" min="23" max="23"/>
    <col width="11.5703125" bestFit="1" customWidth="1" style="53" min="24" max="24"/>
    <col width="14" bestFit="1" customWidth="1" style="53" min="25" max="25"/>
    <col width="13.42578125" bestFit="1" customWidth="1" style="53" min="26" max="26"/>
    <col width="15.140625" customWidth="1" style="53" min="27" max="27"/>
    <col width="16.140625" customWidth="1" style="53" min="28" max="28"/>
  </cols>
  <sheetData>
    <row r="2" ht="15.75" customHeight="1" s="53">
      <c r="G2" s="23" t="inlineStr">
        <is>
          <t xml:space="preserve">                                                                        ANEXO No. 1.</t>
        </is>
      </c>
    </row>
    <row r="3" ht="15.75" customHeight="1" s="53">
      <c r="G3" s="23" t="inlineStr">
        <is>
          <t xml:space="preserve">                                                                  TABLA 1A</t>
        </is>
      </c>
    </row>
    <row r="4" ht="15.75" customHeight="1" s="53">
      <c r="G4" s="24" t="inlineStr">
        <is>
          <t xml:space="preserve">Cumplimiento del plan de consumo de energía eléctrica total, mes: </t>
        </is>
      </c>
      <c r="N4" s="33" t="inlineStr">
        <is>
          <t>abril-2024</t>
        </is>
      </c>
    </row>
    <row r="5">
      <c r="C5" s="61" t="inlineStr">
        <is>
          <t>SERVICIO: PREPARATORIA</t>
        </is>
      </c>
      <c r="T5" s="40" t="n"/>
      <c r="U5" s="40" t="inlineStr">
        <is>
          <t>total</t>
        </is>
      </c>
      <c r="V5" s="40" t="inlineStr">
        <is>
          <t>diaria</t>
        </is>
      </c>
    </row>
    <row r="6" ht="15.75" customHeight="1" s="53">
      <c r="C6" t="inlineStr">
        <is>
          <t>SERVICIO: PREPARATORIA</t>
        </is>
      </c>
      <c r="N6" s="11" t="inlineStr">
        <is>
          <t>Plan Pico N</t>
        </is>
      </c>
      <c r="O6" s="26">
        <f>S6*16.5%</f>
        <v/>
      </c>
      <c r="P6" s="27" t="inlineStr">
        <is>
          <t>Plan Pico D</t>
        </is>
      </c>
      <c r="Q6" s="10">
        <f>(S6*8)/100</f>
        <v/>
      </c>
      <c r="R6" s="14" t="inlineStr">
        <is>
          <t>PLAN MES</t>
        </is>
      </c>
      <c r="S6" s="10" t="n">
        <v>21000</v>
      </c>
      <c r="T6" s="40" t="inlineStr">
        <is>
          <t>Perdidas:</t>
        </is>
      </c>
      <c r="U6" s="40" t="n">
        <v>4811</v>
      </c>
      <c r="V6" s="39">
        <f>U6/30</f>
        <v/>
      </c>
    </row>
    <row r="7" ht="15.75" customHeight="1" s="53">
      <c r="N7" s="11" t="n"/>
      <c r="O7" s="26" t="n"/>
      <c r="P7" s="27" t="n"/>
      <c r="Q7" s="10" t="n"/>
      <c r="R7" s="14" t="n"/>
      <c r="S7" s="10" t="n"/>
      <c r="T7" s="40" t="n"/>
      <c r="U7" s="40" t="n"/>
      <c r="V7" s="39" t="n"/>
    </row>
    <row r="8" ht="46.5" customHeight="1" s="53">
      <c r="B8" s="59" t="inlineStr">
        <is>
          <t>Día</t>
        </is>
      </c>
      <c r="C8" s="56" t="inlineStr">
        <is>
          <t>Lectura del contador</t>
        </is>
      </c>
      <c r="D8" s="62" t="n"/>
      <c r="E8" s="62" t="n"/>
      <c r="F8" s="62" t="n"/>
      <c r="G8" s="62" t="n"/>
      <c r="H8" s="62" t="n"/>
      <c r="I8" s="63" t="n"/>
      <c r="J8" s="56" t="inlineStr">
        <is>
          <t>Consumo diario kWh y kvarh</t>
        </is>
      </c>
      <c r="K8" s="62" t="n"/>
      <c r="L8" s="62" t="n"/>
      <c r="M8" s="63" t="n"/>
      <c r="N8" s="56" t="inlineStr">
        <is>
          <t>Consumo diario Pico nocturno kWh</t>
        </is>
      </c>
      <c r="O8" s="62" t="n"/>
      <c r="P8" s="63" t="n"/>
      <c r="Q8" s="57" t="inlineStr">
        <is>
          <t>Consumo diario pico Diurno kWh</t>
        </is>
      </c>
      <c r="R8" s="56" t="inlineStr">
        <is>
          <t>Consumo diario total kWh</t>
        </is>
      </c>
      <c r="S8" s="62" t="n"/>
      <c r="T8" s="63" t="n"/>
      <c r="U8" s="56" t="inlineStr">
        <is>
          <t>Consumo acumulado Pico kWh</t>
        </is>
      </c>
      <c r="V8" s="62" t="n"/>
      <c r="W8" s="63" t="n"/>
      <c r="X8" s="56" t="inlineStr">
        <is>
          <t>Consumo acumulado Total kWh</t>
        </is>
      </c>
      <c r="Y8" s="62" t="n"/>
      <c r="Z8" s="62" t="n"/>
      <c r="AA8" s="63" t="n"/>
      <c r="AB8" s="57" t="inlineStr">
        <is>
          <t>Firma Responsable</t>
        </is>
      </c>
    </row>
    <row r="9" ht="30" customHeight="1" s="53">
      <c r="B9" s="64" t="n"/>
      <c r="C9" s="59" t="inlineStr">
        <is>
          <t>MAD</t>
        </is>
      </c>
      <c r="D9" s="59" t="inlineStr">
        <is>
          <t>DIA</t>
        </is>
      </c>
      <c r="E9" s="59" t="inlineStr">
        <is>
          <t>PICO</t>
        </is>
      </c>
      <c r="F9" s="59" t="inlineStr">
        <is>
          <t>TOTAL</t>
        </is>
      </c>
      <c r="G9" s="59" t="inlineStr">
        <is>
          <t>Pico Diurno 11 am</t>
        </is>
      </c>
      <c r="H9" s="59" t="inlineStr">
        <is>
          <t>Pico Diurno 1 pm</t>
        </is>
      </c>
      <c r="I9" s="59" t="inlineStr">
        <is>
          <t>REACT</t>
        </is>
      </c>
      <c r="J9" s="59" t="inlineStr">
        <is>
          <t>MAD</t>
        </is>
      </c>
      <c r="K9" s="59" t="inlineStr">
        <is>
          <t>DIA</t>
        </is>
      </c>
      <c r="L9" s="59" t="inlineStr">
        <is>
          <t>PICO</t>
        </is>
      </c>
      <c r="M9" s="59" t="inlineStr">
        <is>
          <t>REACT</t>
        </is>
      </c>
      <c r="N9" s="59" t="inlineStr">
        <is>
          <t>Plan Pico</t>
        </is>
      </c>
      <c r="O9" s="59" t="inlineStr">
        <is>
          <t>Real Pico</t>
        </is>
      </c>
      <c r="P9" s="59" t="inlineStr">
        <is>
          <t>Plan - Real</t>
        </is>
      </c>
      <c r="Q9" s="64" t="n"/>
      <c r="R9" s="15" t="inlineStr">
        <is>
          <t>Plan</t>
        </is>
      </c>
      <c r="S9" s="59" t="inlineStr">
        <is>
          <t>Real</t>
        </is>
      </c>
      <c r="T9" s="59" t="inlineStr">
        <is>
          <t>Plan - Real</t>
        </is>
      </c>
      <c r="U9" s="59" t="inlineStr">
        <is>
          <t>Plan Pico</t>
        </is>
      </c>
      <c r="V9" s="59" t="inlineStr">
        <is>
          <t>Real Pico</t>
        </is>
      </c>
      <c r="W9" s="59" t="inlineStr">
        <is>
          <t>Plan - Real</t>
        </is>
      </c>
      <c r="X9" s="59" t="inlineStr">
        <is>
          <t>Plan</t>
        </is>
      </c>
      <c r="Y9" s="59" t="inlineStr">
        <is>
          <t>Real</t>
        </is>
      </c>
      <c r="Z9" s="28" t="inlineStr">
        <is>
          <t>Plan   - Real</t>
        </is>
      </c>
      <c r="AA9" s="59" t="inlineStr">
        <is>
          <t>FP</t>
        </is>
      </c>
      <c r="AB9" s="64" t="n"/>
    </row>
    <row r="10">
      <c r="B10" s="29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6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3">
      <c r="B11" s="44" t="n"/>
      <c r="C11" s="44" t="n"/>
      <c r="D11" s="44" t="n"/>
      <c r="E11" s="44" t="n"/>
      <c r="F11" s="46" t="n"/>
      <c r="G11" s="47" t="n"/>
      <c r="H11" s="45" t="n"/>
      <c r="I11" s="45" t="n"/>
      <c r="J11" s="48" t="n"/>
      <c r="K11" s="48" t="n"/>
      <c r="L11" s="48" t="n"/>
      <c r="M11" s="48" t="n"/>
      <c r="N11" s="49" t="n"/>
      <c r="O11" s="50" t="n"/>
      <c r="P11" s="49" t="n"/>
      <c r="Q11" s="49" t="n"/>
      <c r="R11" s="54" t="n"/>
      <c r="S11" s="48" t="n"/>
      <c r="T11" s="45" t="n"/>
      <c r="U11" s="45" t="n"/>
      <c r="V11" s="45" t="n"/>
      <c r="W11" s="45" t="n"/>
      <c r="X11" s="45" t="n"/>
      <c r="Y11" s="45" t="n"/>
      <c r="Z11" s="45" t="n"/>
      <c r="AA11" s="51" t="n"/>
      <c r="AB11" s="52" t="n"/>
    </row>
    <row r="12" ht="18" customHeight="1" s="53">
      <c r="B12" s="44" t="n"/>
      <c r="C12" s="49" t="n"/>
      <c r="D12" s="49" t="n"/>
      <c r="E12" s="49" t="n"/>
      <c r="F12" s="46" t="n"/>
      <c r="G12" s="47" t="n"/>
      <c r="H12" s="45" t="n"/>
      <c r="I12" s="45" t="n"/>
      <c r="J12" s="48" t="n"/>
      <c r="K12" s="48" t="n"/>
      <c r="L12" s="48" t="n"/>
      <c r="M12" s="48" t="n"/>
      <c r="N12" s="49" t="n"/>
      <c r="O12" s="50" t="n"/>
      <c r="P12" s="49" t="n"/>
      <c r="Q12" s="49" t="n"/>
      <c r="R12" s="54" t="n"/>
      <c r="S12" s="48" t="n"/>
      <c r="T12" s="45" t="n"/>
      <c r="U12" s="45" t="n"/>
      <c r="V12" s="45" t="n"/>
      <c r="W12" s="45" t="n"/>
      <c r="X12" s="45" t="n"/>
      <c r="Y12" s="45" t="n"/>
      <c r="Z12" s="45" t="n"/>
      <c r="AA12" s="51" t="n"/>
      <c r="AB12" s="52" t="n"/>
    </row>
    <row r="13" ht="18" customHeight="1" s="53">
      <c r="B13" s="44" t="n"/>
      <c r="C13" s="49" t="n"/>
      <c r="D13" s="49" t="n"/>
      <c r="E13" s="49" t="n"/>
      <c r="F13" s="46" t="n"/>
      <c r="G13" s="47" t="n"/>
      <c r="H13" s="45" t="n"/>
      <c r="I13" s="45" t="n"/>
      <c r="J13" s="48" t="n"/>
      <c r="K13" s="48" t="n"/>
      <c r="L13" s="48" t="n"/>
      <c r="M13" s="48" t="n"/>
      <c r="N13" s="49" t="n"/>
      <c r="O13" s="50" t="n"/>
      <c r="P13" s="49" t="n"/>
      <c r="Q13" s="49" t="n"/>
      <c r="R13" s="54" t="n"/>
      <c r="S13" s="48" t="n"/>
      <c r="T13" s="45" t="n"/>
      <c r="U13" s="45" t="n"/>
      <c r="V13" s="45" t="n"/>
      <c r="W13" s="45" t="n"/>
      <c r="X13" s="45" t="n"/>
      <c r="Y13" s="45" t="n"/>
      <c r="Z13" s="45" t="n"/>
      <c r="AA13" s="51" t="n"/>
      <c r="AB13" s="52" t="n"/>
    </row>
    <row r="14" ht="18" customHeight="1" s="53">
      <c r="B14" s="44" t="n"/>
      <c r="C14" s="49" t="n"/>
      <c r="D14" s="49" t="n"/>
      <c r="E14" s="49" t="n"/>
      <c r="F14" s="46" t="n"/>
      <c r="G14" s="47" t="n"/>
      <c r="H14" s="45" t="n"/>
      <c r="I14" s="45" t="n"/>
      <c r="J14" s="45" t="n"/>
      <c r="K14" s="48" t="n"/>
      <c r="L14" s="48" t="n"/>
      <c r="M14" s="48" t="n"/>
      <c r="N14" s="49" t="n"/>
      <c r="O14" s="50" t="n"/>
      <c r="P14" s="49" t="n"/>
      <c r="Q14" s="49" t="n"/>
      <c r="R14" s="54" t="n"/>
      <c r="S14" s="48" t="n"/>
      <c r="T14" s="45" t="n"/>
      <c r="U14" s="45" t="n"/>
      <c r="V14" s="45" t="n"/>
      <c r="W14" s="45" t="n"/>
      <c r="X14" s="45" t="n"/>
      <c r="Y14" s="45" t="n"/>
      <c r="Z14" s="45" t="n"/>
      <c r="AA14" s="51" t="n"/>
      <c r="AB14" s="52" t="n"/>
    </row>
    <row r="15" ht="18" customHeight="1" s="53">
      <c r="B15" s="44" t="n"/>
      <c r="C15" s="49" t="n"/>
      <c r="D15" s="49" t="n"/>
      <c r="E15" s="49" t="n"/>
      <c r="F15" s="46" t="n"/>
      <c r="G15" s="47" t="n"/>
      <c r="H15" s="45" t="n"/>
      <c r="I15" s="45" t="n"/>
      <c r="J15" s="48" t="n"/>
      <c r="K15" s="48" t="n"/>
      <c r="L15" s="48" t="n"/>
      <c r="M15" s="48" t="n"/>
      <c r="N15" s="49" t="n"/>
      <c r="O15" s="50" t="n"/>
      <c r="P15" s="49" t="n"/>
      <c r="Q15" s="49" t="n"/>
      <c r="R15" s="54" t="n"/>
      <c r="S15" s="48" t="n"/>
      <c r="T15" s="45" t="n"/>
      <c r="U15" s="45" t="n"/>
      <c r="V15" s="45" t="n"/>
      <c r="W15" s="45" t="n"/>
      <c r="X15" s="45" t="n"/>
      <c r="Y15" s="45" t="n"/>
      <c r="Z15" s="45" t="n"/>
      <c r="AA15" s="51" t="n"/>
      <c r="AB15" s="52" t="n"/>
    </row>
    <row r="16" ht="18" customHeight="1" s="53">
      <c r="B16" s="44" t="n"/>
      <c r="C16" s="49" t="n"/>
      <c r="D16" s="49" t="n"/>
      <c r="E16" s="49" t="n"/>
      <c r="F16" s="46" t="n"/>
      <c r="G16" s="47" t="n"/>
      <c r="H16" s="45" t="n"/>
      <c r="I16" s="45" t="n"/>
      <c r="J16" s="48" t="n"/>
      <c r="K16" s="48" t="n"/>
      <c r="L16" s="48" t="n"/>
      <c r="M16" s="48" t="n"/>
      <c r="N16" s="49" t="n"/>
      <c r="O16" s="50" t="n"/>
      <c r="P16" s="49" t="n"/>
      <c r="Q16" s="49" t="n"/>
      <c r="R16" s="54" t="n"/>
      <c r="S16" s="48" t="n"/>
      <c r="T16" s="45" t="n"/>
      <c r="U16" s="45" t="n"/>
      <c r="V16" s="45" t="n"/>
      <c r="W16" s="45" t="n"/>
      <c r="X16" s="45" t="n"/>
      <c r="Y16" s="45" t="n"/>
      <c r="Z16" s="45" t="n"/>
      <c r="AA16" s="51" t="n"/>
      <c r="AB16" s="52" t="n"/>
    </row>
    <row r="17" ht="18" customHeight="1" s="53">
      <c r="B17" s="44" t="n"/>
      <c r="C17" s="49" t="n"/>
      <c r="D17" s="49" t="n"/>
      <c r="E17" s="49" t="n"/>
      <c r="F17" s="46" t="n"/>
      <c r="G17" s="47" t="n"/>
      <c r="H17" s="45" t="n"/>
      <c r="I17" s="45" t="n"/>
      <c r="J17" s="48" t="n"/>
      <c r="K17" s="48" t="n"/>
      <c r="L17" s="48" t="n"/>
      <c r="M17" s="48" t="n"/>
      <c r="N17" s="49" t="n"/>
      <c r="O17" s="50" t="n"/>
      <c r="P17" s="49" t="n"/>
      <c r="Q17" s="49" t="n"/>
      <c r="R17" s="54" t="n"/>
      <c r="S17" s="48" t="n"/>
      <c r="T17" s="45" t="n"/>
      <c r="U17" s="45" t="n"/>
      <c r="V17" s="45" t="n"/>
      <c r="W17" s="45" t="n"/>
      <c r="X17" s="45" t="n"/>
      <c r="Y17" s="45" t="n"/>
      <c r="Z17" s="45" t="n"/>
      <c r="AA17" s="51" t="n"/>
      <c r="AB17" s="52" t="n"/>
    </row>
    <row r="18" ht="18" customHeight="1" s="53">
      <c r="B18" s="44" t="n"/>
      <c r="C18" s="49" t="n"/>
      <c r="D18" s="49" t="n"/>
      <c r="E18" s="49" t="n"/>
      <c r="F18" s="46" t="n"/>
      <c r="G18" s="47" t="n"/>
      <c r="H18" s="45" t="n"/>
      <c r="I18" s="45" t="n"/>
      <c r="J18" s="48" t="n"/>
      <c r="K18" s="48" t="n"/>
      <c r="L18" s="48" t="n"/>
      <c r="M18" s="48" t="n"/>
      <c r="N18" s="49" t="n"/>
      <c r="O18" s="50" t="n"/>
      <c r="P18" s="49" t="n"/>
      <c r="Q18" s="49" t="n"/>
      <c r="R18" s="54" t="n"/>
      <c r="S18" s="48" t="n"/>
      <c r="T18" s="45" t="n"/>
      <c r="U18" s="45" t="n"/>
      <c r="V18" s="45" t="n"/>
      <c r="W18" s="45" t="n"/>
      <c r="X18" s="45" t="n"/>
      <c r="Y18" s="45" t="n"/>
      <c r="Z18" s="45" t="n"/>
      <c r="AA18" s="51" t="n"/>
      <c r="AB18" s="52" t="n"/>
    </row>
    <row r="19" ht="18" customHeight="1" s="53">
      <c r="B19" s="44" t="n"/>
      <c r="C19" s="49" t="n"/>
      <c r="D19" s="49" t="n"/>
      <c r="E19" s="49" t="n"/>
      <c r="F19" s="46" t="n"/>
      <c r="G19" s="47" t="n"/>
      <c r="H19" s="45" t="n"/>
      <c r="I19" s="45" t="n"/>
      <c r="J19" s="48" t="n"/>
      <c r="K19" s="48" t="n"/>
      <c r="L19" s="48" t="n"/>
      <c r="M19" s="48" t="n"/>
      <c r="N19" s="49" t="n"/>
      <c r="O19" s="44" t="n"/>
      <c r="P19" s="49" t="n"/>
      <c r="Q19" s="49" t="n"/>
      <c r="R19" s="54" t="n"/>
      <c r="S19" s="48" t="n"/>
      <c r="T19" s="45" t="n"/>
      <c r="U19" s="45" t="n"/>
      <c r="V19" s="45" t="n"/>
      <c r="W19" s="45" t="n"/>
      <c r="X19" s="45" t="n"/>
      <c r="Y19" s="45" t="n"/>
      <c r="Z19" s="45" t="n"/>
      <c r="AA19" s="51" t="n"/>
      <c r="AB19" s="1" t="n"/>
    </row>
    <row r="20" ht="18" customHeight="1" s="53">
      <c r="B20" s="44" t="n"/>
      <c r="C20" s="49" t="n"/>
      <c r="D20" s="49" t="n"/>
      <c r="E20" s="49" t="n"/>
      <c r="F20" s="46" t="n"/>
      <c r="G20" s="47" t="n"/>
      <c r="H20" s="45" t="n"/>
      <c r="I20" s="45" t="n"/>
      <c r="J20" s="48" t="n"/>
      <c r="K20" s="48" t="n"/>
      <c r="L20" s="48" t="n"/>
      <c r="M20" s="48" t="n"/>
      <c r="N20" s="49" t="n"/>
      <c r="O20" s="44" t="n"/>
      <c r="P20" s="49" t="n"/>
      <c r="Q20" s="49" t="n"/>
      <c r="R20" s="54" t="n"/>
      <c r="S20" s="48" t="n"/>
      <c r="T20" s="45" t="n"/>
      <c r="U20" s="45" t="n"/>
      <c r="V20" s="45" t="n"/>
      <c r="W20" s="45" t="n"/>
      <c r="X20" s="45" t="n"/>
      <c r="Y20" s="45" t="n"/>
      <c r="Z20" s="45" t="n"/>
      <c r="AA20" s="51" t="n"/>
      <c r="AB20" s="1" t="n"/>
    </row>
    <row r="21" ht="18" customHeight="1" s="53">
      <c r="B21" s="44" t="n"/>
      <c r="C21" s="49" t="n"/>
      <c r="D21" s="49" t="n"/>
      <c r="E21" s="49" t="n"/>
      <c r="F21" s="46" t="n"/>
      <c r="G21" s="47" t="n"/>
      <c r="H21" s="45" t="n"/>
      <c r="I21" s="45" t="n"/>
      <c r="J21" s="48" t="n"/>
      <c r="K21" s="48" t="n"/>
      <c r="L21" s="48" t="n"/>
      <c r="M21" s="48" t="n"/>
      <c r="N21" s="49" t="n"/>
      <c r="O21" s="44" t="n"/>
      <c r="P21" s="49" t="n"/>
      <c r="Q21" s="49" t="n"/>
      <c r="R21" s="54" t="n"/>
      <c r="S21" s="48" t="n"/>
      <c r="T21" s="45" t="n"/>
      <c r="U21" s="45" t="n"/>
      <c r="V21" s="45" t="n"/>
      <c r="W21" s="45" t="n"/>
      <c r="X21" s="45" t="n"/>
      <c r="Y21" s="45" t="n"/>
      <c r="Z21" s="45" t="n"/>
      <c r="AA21" s="51" t="n"/>
      <c r="AB21" s="1" t="n"/>
    </row>
    <row r="22" ht="18" customHeight="1" s="53">
      <c r="B22" s="44" t="n"/>
      <c r="C22" s="49" t="n"/>
      <c r="D22" s="49" t="n"/>
      <c r="E22" s="49" t="n"/>
      <c r="F22" s="8" t="n"/>
      <c r="G22" s="47" t="n"/>
      <c r="H22" s="45" t="n"/>
      <c r="I22" s="45" t="n"/>
      <c r="J22" s="48" t="n"/>
      <c r="K22" s="48" t="n"/>
      <c r="L22" s="48" t="n"/>
      <c r="M22" s="48" t="n"/>
      <c r="N22" s="49" t="n"/>
      <c r="O22" s="44" t="n"/>
      <c r="P22" s="49" t="n"/>
      <c r="Q22" s="49" t="n"/>
      <c r="R22" s="54" t="n"/>
      <c r="S22" s="48" t="n"/>
      <c r="T22" s="45" t="n"/>
      <c r="U22" s="45" t="n"/>
      <c r="V22" s="45" t="n"/>
      <c r="W22" s="45" t="n"/>
      <c r="X22" s="45" t="n"/>
      <c r="Y22" s="45" t="n"/>
      <c r="Z22" s="45" t="n"/>
      <c r="AA22" s="51" t="n"/>
      <c r="AB22" s="1" t="n"/>
    </row>
    <row r="23" ht="18" customHeight="1" s="53">
      <c r="B23" s="44" t="n"/>
      <c r="C23" s="49" t="n"/>
      <c r="D23" s="49" t="n"/>
      <c r="E23" s="49" t="n"/>
      <c r="F23" s="46" t="n"/>
      <c r="G23" s="47" t="n"/>
      <c r="H23" s="45" t="n"/>
      <c r="I23" s="45" t="n"/>
      <c r="J23" s="48" t="n"/>
      <c r="K23" s="48" t="n"/>
      <c r="L23" s="48" t="n"/>
      <c r="M23" s="48" t="n"/>
      <c r="N23" s="49" t="n"/>
      <c r="O23" s="44" t="n"/>
      <c r="P23" s="49" t="n"/>
      <c r="Q23" s="49" t="n"/>
      <c r="R23" s="54" t="n"/>
      <c r="S23" s="48" t="n"/>
      <c r="T23" s="45" t="n"/>
      <c r="U23" s="45" t="n"/>
      <c r="V23" s="45" t="n"/>
      <c r="W23" s="45" t="n"/>
      <c r="X23" s="45" t="n"/>
      <c r="Y23" s="45" t="n"/>
      <c r="Z23" s="45" t="n"/>
      <c r="AA23" s="51" t="n"/>
      <c r="AB23" s="1" t="n"/>
    </row>
    <row r="24" ht="18" customHeight="1" s="53">
      <c r="B24" s="44" t="n"/>
      <c r="C24" s="49" t="n"/>
      <c r="D24" s="49" t="n"/>
      <c r="E24" s="49" t="n"/>
      <c r="F24" s="46" t="n"/>
      <c r="G24" s="47" t="n"/>
      <c r="H24" s="45" t="n"/>
      <c r="I24" s="45" t="n"/>
      <c r="J24" s="48" t="n"/>
      <c r="K24" s="48" t="n"/>
      <c r="L24" s="48" t="n"/>
      <c r="M24" s="48" t="n"/>
      <c r="N24" s="49" t="n"/>
      <c r="O24" s="44" t="n"/>
      <c r="P24" s="49" t="n"/>
      <c r="Q24" s="49" t="n"/>
      <c r="R24" s="54" t="n"/>
      <c r="S24" s="48" t="n"/>
      <c r="T24" s="45" t="n"/>
      <c r="U24" s="45" t="n"/>
      <c r="V24" s="45" t="n"/>
      <c r="W24" s="45" t="n"/>
      <c r="X24" s="45" t="n"/>
      <c r="Y24" s="45" t="n"/>
      <c r="Z24" s="45" t="n"/>
      <c r="AA24" s="51" t="n"/>
      <c r="AB24" s="1" t="n"/>
    </row>
    <row r="25" ht="18" customHeight="1" s="53">
      <c r="B25" s="44" t="n"/>
      <c r="C25" s="49" t="n"/>
      <c r="D25" s="49" t="n"/>
      <c r="E25" s="49" t="n"/>
      <c r="F25" s="46" t="n"/>
      <c r="G25" s="47" t="n"/>
      <c r="H25" s="45" t="n"/>
      <c r="I25" s="45" t="n"/>
      <c r="J25" s="48" t="n"/>
      <c r="K25" s="48" t="n"/>
      <c r="L25" s="48" t="n"/>
      <c r="M25" s="45" t="n"/>
      <c r="N25" s="49" t="n"/>
      <c r="O25" s="44" t="n"/>
      <c r="P25" s="49" t="n"/>
      <c r="Q25" s="49" t="n"/>
      <c r="R25" s="54" t="n"/>
      <c r="S25" s="48" t="n"/>
      <c r="T25" s="45" t="n"/>
      <c r="U25" s="45" t="n"/>
      <c r="V25" s="48" t="n"/>
      <c r="W25" s="45" t="n"/>
      <c r="X25" s="45" t="n"/>
      <c r="Y25" s="45" t="n"/>
      <c r="Z25" s="45" t="n"/>
      <c r="AA25" s="51" t="n"/>
      <c r="AB25" s="1" t="n"/>
    </row>
    <row r="26" ht="18" customHeight="1" s="53">
      <c r="B26" s="44" t="n"/>
      <c r="C26" s="49" t="n"/>
      <c r="D26" s="49" t="n"/>
      <c r="E26" s="49" t="n"/>
      <c r="F26" s="46" t="n"/>
      <c r="G26" s="47" t="n"/>
      <c r="H26" s="45" t="n"/>
      <c r="I26" s="45" t="n"/>
      <c r="J26" s="48" t="n"/>
      <c r="K26" s="48" t="n"/>
      <c r="L26" s="48" t="n"/>
      <c r="M26" s="45" t="n"/>
      <c r="N26" s="49" t="n"/>
      <c r="O26" s="44" t="n"/>
      <c r="P26" s="49" t="n"/>
      <c r="Q26" s="49" t="n"/>
      <c r="R26" s="54" t="n"/>
      <c r="S26" s="48" t="n"/>
      <c r="T26" s="45" t="n"/>
      <c r="U26" s="45" t="n"/>
      <c r="V26" s="48" t="n"/>
      <c r="W26" s="45" t="n"/>
      <c r="X26" s="45" t="n"/>
      <c r="Y26" s="45" t="n"/>
      <c r="Z26" s="45" t="n"/>
      <c r="AA26" s="51" t="n"/>
      <c r="AB26" s="1" t="n"/>
    </row>
    <row r="27" ht="18" customHeight="1" s="53">
      <c r="B27" s="44" t="n"/>
      <c r="C27" s="49" t="n"/>
      <c r="D27" s="49" t="n"/>
      <c r="E27" s="49" t="n"/>
      <c r="F27" s="46" t="n"/>
      <c r="G27" s="47" t="n"/>
      <c r="H27" s="45" t="n"/>
      <c r="I27" s="45" t="n"/>
      <c r="J27" s="48" t="n"/>
      <c r="K27" s="48" t="n"/>
      <c r="L27" s="48" t="n"/>
      <c r="M27" s="45" t="n"/>
      <c r="N27" s="49" t="n"/>
      <c r="O27" s="44" t="n"/>
      <c r="P27" s="49" t="n"/>
      <c r="Q27" s="49" t="n"/>
      <c r="R27" s="54" t="n"/>
      <c r="S27" s="48" t="n"/>
      <c r="T27" s="45" t="n"/>
      <c r="U27" s="45" t="n"/>
      <c r="V27" s="48" t="n"/>
      <c r="W27" s="45" t="n"/>
      <c r="X27" s="45" t="n"/>
      <c r="Y27" s="45" t="n"/>
      <c r="Z27" s="45" t="n"/>
      <c r="AA27" s="51" t="n"/>
      <c r="AB27" s="1" t="n"/>
    </row>
    <row r="28" ht="18" customHeight="1" s="53">
      <c r="B28" s="44" t="n"/>
      <c r="C28" s="49" t="n"/>
      <c r="D28" s="49" t="n"/>
      <c r="E28" s="49" t="n"/>
      <c r="F28" s="46" t="n"/>
      <c r="G28" s="47" t="n"/>
      <c r="H28" s="45" t="n"/>
      <c r="I28" s="45" t="n"/>
      <c r="J28" s="48" t="n"/>
      <c r="K28" s="48" t="n"/>
      <c r="L28" s="48" t="n"/>
      <c r="M28" s="45" t="n"/>
      <c r="N28" s="49" t="n"/>
      <c r="O28" s="44" t="n"/>
      <c r="P28" s="49" t="n"/>
      <c r="Q28" s="49" t="n"/>
      <c r="R28" s="54" t="n"/>
      <c r="S28" s="48" t="n"/>
      <c r="T28" s="45" t="n"/>
      <c r="U28" s="45" t="n"/>
      <c r="V28" s="48" t="n"/>
      <c r="W28" s="45" t="n"/>
      <c r="X28" s="45" t="n"/>
      <c r="Y28" s="45" t="n"/>
      <c r="Z28" s="45" t="n"/>
      <c r="AA28" s="51" t="n"/>
      <c r="AB28" s="1" t="n"/>
    </row>
    <row r="29" ht="18" customHeight="1" s="53">
      <c r="B29" s="44" t="n"/>
      <c r="C29" s="49" t="n"/>
      <c r="D29" s="49" t="n"/>
      <c r="E29" s="49" t="n"/>
      <c r="F29" s="46" t="n"/>
      <c r="G29" s="47" t="n"/>
      <c r="H29" s="45" t="n"/>
      <c r="I29" s="45" t="n"/>
      <c r="J29" s="48" t="n"/>
      <c r="K29" s="48" t="n"/>
      <c r="L29" s="48" t="n"/>
      <c r="M29" s="48" t="n"/>
      <c r="N29" s="49" t="n"/>
      <c r="O29" s="44" t="n"/>
      <c r="P29" s="49" t="n"/>
      <c r="Q29" s="49" t="n"/>
      <c r="R29" s="54" t="n"/>
      <c r="S29" s="48" t="n"/>
      <c r="T29" s="45" t="n"/>
      <c r="U29" s="45" t="n"/>
      <c r="V29" s="48" t="n"/>
      <c r="W29" s="45" t="n"/>
      <c r="X29" s="45" t="n"/>
      <c r="Y29" s="45" t="n"/>
      <c r="Z29" s="45" t="n"/>
      <c r="AA29" s="51" t="n"/>
      <c r="AB29" s="1" t="n"/>
    </row>
    <row r="30" ht="18" customHeight="1" s="53">
      <c r="B30" s="44" t="n"/>
      <c r="C30" s="49" t="n"/>
      <c r="D30" s="49" t="n"/>
      <c r="E30" s="49" t="n"/>
      <c r="F30" s="46" t="n"/>
      <c r="G30" s="47" t="n"/>
      <c r="H30" s="45" t="n"/>
      <c r="I30" s="45" t="n"/>
      <c r="J30" s="48" t="n"/>
      <c r="K30" s="48" t="n"/>
      <c r="L30" s="48" t="n"/>
      <c r="M30" s="48" t="n"/>
      <c r="N30" s="49" t="n"/>
      <c r="O30" s="44" t="n"/>
      <c r="P30" s="49" t="n"/>
      <c r="Q30" s="49" t="n"/>
      <c r="R30" s="54" t="n"/>
      <c r="S30" s="48" t="n"/>
      <c r="T30" s="45" t="n"/>
      <c r="U30" s="45" t="n"/>
      <c r="V30" s="48" t="n"/>
      <c r="W30" s="45" t="n"/>
      <c r="X30" s="45" t="n"/>
      <c r="Y30" s="45" t="n"/>
      <c r="Z30" s="45" t="n"/>
      <c r="AA30" s="51" t="n"/>
      <c r="AB30" s="1" t="n"/>
    </row>
    <row r="31" ht="18" customHeight="1" s="53">
      <c r="B31" s="44" t="n"/>
      <c r="C31" s="49" t="n"/>
      <c r="D31" s="49" t="n"/>
      <c r="E31" s="49" t="n"/>
      <c r="F31" s="46" t="n"/>
      <c r="G31" s="47" t="n"/>
      <c r="H31" s="45" t="n"/>
      <c r="I31" s="45" t="n"/>
      <c r="J31" s="48" t="n"/>
      <c r="K31" s="48" t="n"/>
      <c r="L31" s="48" t="n"/>
      <c r="M31" s="48" t="n"/>
      <c r="N31" s="49" t="n"/>
      <c r="O31" s="44" t="n"/>
      <c r="P31" s="49" t="n"/>
      <c r="Q31" s="49" t="n"/>
      <c r="R31" s="54" t="n"/>
      <c r="S31" s="48" t="n"/>
      <c r="T31" s="45" t="n"/>
      <c r="U31" s="45" t="n"/>
      <c r="V31" s="48" t="n"/>
      <c r="W31" s="45" t="n"/>
      <c r="X31" s="45" t="n"/>
      <c r="Y31" s="45" t="n"/>
      <c r="Z31" s="45" t="n"/>
      <c r="AA31" s="51" t="n"/>
      <c r="AB31" s="1" t="n"/>
    </row>
    <row r="32" ht="18" customHeight="1" s="53">
      <c r="B32" s="44" t="n"/>
      <c r="C32" s="49" t="n"/>
      <c r="D32" s="49" t="n"/>
      <c r="E32" s="49" t="n"/>
      <c r="F32" s="46" t="n"/>
      <c r="G32" s="47" t="n"/>
      <c r="H32" s="45" t="n"/>
      <c r="I32" s="45" t="n"/>
      <c r="J32" s="48" t="n"/>
      <c r="K32" s="48" t="n"/>
      <c r="L32" s="48" t="n"/>
      <c r="M32" s="48" t="n"/>
      <c r="N32" s="49" t="n"/>
      <c r="O32" s="44" t="n"/>
      <c r="P32" s="49" t="n"/>
      <c r="Q32" s="49" t="n"/>
      <c r="R32" s="54" t="n"/>
      <c r="S32" s="48" t="n"/>
      <c r="T32" s="45" t="n"/>
      <c r="U32" s="45" t="n"/>
      <c r="V32" s="48" t="n"/>
      <c r="W32" s="45" t="n"/>
      <c r="X32" s="45" t="n"/>
      <c r="Y32" s="45" t="n"/>
      <c r="Z32" s="45" t="n"/>
      <c r="AA32" s="51" t="n"/>
      <c r="AB32" s="1" t="n"/>
    </row>
    <row r="33" ht="18" customHeight="1" s="53">
      <c r="B33" s="44" t="n"/>
      <c r="C33" s="49" t="n"/>
      <c r="D33" s="49" t="n"/>
      <c r="E33" s="49" t="n"/>
      <c r="F33" s="46" t="n"/>
      <c r="G33" s="47" t="n"/>
      <c r="H33" s="45" t="n"/>
      <c r="I33" s="45" t="n"/>
      <c r="J33" s="48" t="n"/>
      <c r="K33" s="48" t="n"/>
      <c r="L33" s="48" t="n"/>
      <c r="M33" s="48" t="n"/>
      <c r="N33" s="49" t="n"/>
      <c r="O33" s="44" t="n"/>
      <c r="P33" s="49" t="n"/>
      <c r="Q33" s="49" t="n"/>
      <c r="R33" s="54" t="n"/>
      <c r="S33" s="48" t="n"/>
      <c r="T33" s="45" t="n"/>
      <c r="U33" s="45" t="n"/>
      <c r="V33" s="48" t="n"/>
      <c r="W33" s="45" t="n"/>
      <c r="X33" s="45" t="n"/>
      <c r="Y33" s="45" t="n"/>
      <c r="Z33" s="45" t="n"/>
      <c r="AA33" s="51" t="n"/>
      <c r="AB33" s="1" t="n"/>
    </row>
    <row r="34" ht="18" customHeight="1" s="53">
      <c r="B34" s="44" t="n"/>
      <c r="C34" s="49" t="n"/>
      <c r="D34" s="49" t="n"/>
      <c r="E34" s="49" t="n"/>
      <c r="F34" s="46" t="n"/>
      <c r="G34" s="47" t="n"/>
      <c r="H34" s="45" t="n"/>
      <c r="I34" s="45" t="n"/>
      <c r="J34" s="48" t="n"/>
      <c r="K34" s="48" t="n"/>
      <c r="L34" s="48" t="n"/>
      <c r="M34" s="48" t="n"/>
      <c r="N34" s="49" t="n"/>
      <c r="O34" s="44" t="n"/>
      <c r="P34" s="49" t="n"/>
      <c r="Q34" s="49" t="n"/>
      <c r="R34" s="54" t="n"/>
      <c r="S34" s="48" t="n"/>
      <c r="T34" s="45" t="n"/>
      <c r="U34" s="45" t="n"/>
      <c r="V34" s="48" t="n"/>
      <c r="W34" s="45" t="n"/>
      <c r="X34" s="45" t="n"/>
      <c r="Y34" s="45" t="n"/>
      <c r="Z34" s="45" t="n"/>
      <c r="AA34" s="51" t="n"/>
      <c r="AB34" s="1" t="n"/>
    </row>
    <row r="35" ht="18" customHeight="1" s="53">
      <c r="B35" s="44" t="n"/>
      <c r="C35" s="49" t="n"/>
      <c r="D35" s="49" t="n"/>
      <c r="E35" s="49" t="n"/>
      <c r="F35" s="46" t="n"/>
      <c r="G35" s="47" t="n"/>
      <c r="H35" s="45" t="n"/>
      <c r="I35" s="45" t="n"/>
      <c r="J35" s="48" t="n"/>
      <c r="K35" s="48" t="n"/>
      <c r="L35" s="48" t="n"/>
      <c r="M35" s="48" t="n"/>
      <c r="N35" s="49" t="n"/>
      <c r="O35" s="44" t="n"/>
      <c r="P35" s="49" t="n"/>
      <c r="Q35" s="49" t="n"/>
      <c r="R35" s="54" t="n"/>
      <c r="S35" s="48" t="n"/>
      <c r="T35" s="45" t="n"/>
      <c r="U35" s="45" t="n"/>
      <c r="V35" s="48" t="n"/>
      <c r="W35" s="45" t="n"/>
      <c r="X35" s="45" t="n"/>
      <c r="Y35" s="45" t="n"/>
      <c r="Z35" s="45" t="n"/>
      <c r="AA35" s="51" t="n"/>
      <c r="AB35" s="1" t="n"/>
    </row>
    <row r="36" ht="18" customHeight="1" s="53">
      <c r="B36" s="44" t="n"/>
      <c r="C36" s="45" t="n"/>
      <c r="D36" s="45" t="n"/>
      <c r="E36" s="47" t="n"/>
      <c r="F36" s="46" t="n"/>
      <c r="G36" s="47" t="n"/>
      <c r="H36" s="45" t="n"/>
      <c r="I36" s="45" t="n"/>
      <c r="J36" s="48" t="n"/>
      <c r="K36" s="48" t="n"/>
      <c r="L36" s="48" t="n"/>
      <c r="M36" s="48" t="n"/>
      <c r="N36" s="49" t="n"/>
      <c r="O36" s="44" t="n"/>
      <c r="P36" s="49" t="n"/>
      <c r="Q36" s="49" t="n"/>
      <c r="R36" s="54" t="n"/>
      <c r="S36" s="48" t="n"/>
      <c r="T36" s="45" t="n"/>
      <c r="U36" s="45" t="n"/>
      <c r="V36" s="48" t="n"/>
      <c r="W36" s="45" t="n"/>
      <c r="X36" s="45" t="n"/>
      <c r="Y36" s="45" t="n"/>
      <c r="Z36" s="45" t="n"/>
      <c r="AA36" s="51" t="n"/>
      <c r="AB36" s="1" t="n"/>
    </row>
    <row r="37" ht="18" customHeight="1" s="53">
      <c r="B37" s="44" t="n"/>
      <c r="C37" s="45" t="n"/>
      <c r="D37" s="45" t="n"/>
      <c r="E37" s="47" t="n"/>
      <c r="F37" s="46" t="n"/>
      <c r="G37" s="47" t="n"/>
      <c r="H37" s="45" t="n"/>
      <c r="I37" s="45" t="n"/>
      <c r="J37" s="48" t="n"/>
      <c r="K37" s="48" t="n"/>
      <c r="L37" s="48" t="n"/>
      <c r="M37" s="48" t="n"/>
      <c r="N37" s="49" t="n"/>
      <c r="O37" s="44" t="n"/>
      <c r="P37" s="49" t="n"/>
      <c r="Q37" s="49" t="n"/>
      <c r="R37" s="54" t="n"/>
      <c r="S37" s="48" t="n"/>
      <c r="T37" s="45" t="n"/>
      <c r="U37" s="45" t="n"/>
      <c r="V37" s="48" t="n"/>
      <c r="W37" s="45" t="n"/>
      <c r="X37" s="45" t="n"/>
      <c r="Y37" s="45" t="n"/>
      <c r="Z37" s="45" t="n"/>
      <c r="AA37" s="51" t="n"/>
      <c r="AB37" s="1" t="n"/>
    </row>
    <row r="38" ht="18" customHeight="1" s="53">
      <c r="B38" s="44" t="n"/>
      <c r="C38" s="45" t="n"/>
      <c r="D38" s="45" t="n"/>
      <c r="E38" s="47" t="n"/>
      <c r="F38" s="8" t="n"/>
      <c r="G38" s="47" t="n"/>
      <c r="H38" s="45" t="n"/>
      <c r="I38" s="45" t="n"/>
      <c r="J38" s="48" t="n"/>
      <c r="K38" s="48" t="n"/>
      <c r="L38" s="48" t="n"/>
      <c r="M38" s="48" t="n"/>
      <c r="N38" s="49" t="n"/>
      <c r="O38" s="44" t="n"/>
      <c r="P38" s="49" t="n"/>
      <c r="Q38" s="49" t="n"/>
      <c r="R38" s="54" t="n"/>
      <c r="S38" s="48" t="n"/>
      <c r="T38" s="45" t="n"/>
      <c r="U38" s="45" t="n"/>
      <c r="V38" s="48" t="n"/>
      <c r="W38" s="45" t="n"/>
      <c r="X38" s="45" t="n"/>
      <c r="Y38" s="45" t="n"/>
      <c r="Z38" s="45" t="n"/>
      <c r="AA38" s="51" t="n"/>
      <c r="AB38" s="1" t="n"/>
    </row>
    <row r="39" ht="18" customHeight="1" s="53">
      <c r="B39" s="44" t="n"/>
      <c r="C39" s="45" t="n"/>
      <c r="D39" s="45" t="n"/>
      <c r="E39" s="47" t="n"/>
      <c r="F39" s="46" t="n"/>
      <c r="G39" s="47" t="n"/>
      <c r="H39" s="45" t="n"/>
      <c r="I39" s="45" t="n"/>
      <c r="J39" s="48" t="n"/>
      <c r="K39" s="48" t="n"/>
      <c r="L39" s="48" t="n"/>
      <c r="M39" s="48" t="n"/>
      <c r="N39" s="49" t="n"/>
      <c r="O39" s="44" t="n"/>
      <c r="P39" s="49" t="n"/>
      <c r="Q39" s="49" t="n"/>
      <c r="R39" s="54" t="n"/>
      <c r="S39" s="48" t="n"/>
      <c r="T39" s="45" t="n"/>
      <c r="U39" s="45" t="n"/>
      <c r="V39" s="48" t="n"/>
      <c r="W39" s="45" t="n"/>
      <c r="X39" s="45" t="n"/>
      <c r="Y39" s="45" t="n"/>
      <c r="Z39" s="45" t="n"/>
      <c r="AA39" s="51" t="n"/>
      <c r="AB39" s="1" t="n"/>
    </row>
    <row r="40" ht="18" customHeight="1" s="53">
      <c r="B40" s="44" t="n"/>
      <c r="C40" s="45" t="n"/>
      <c r="D40" s="45" t="n"/>
      <c r="E40" s="47" t="n"/>
      <c r="F40" s="46" t="n"/>
      <c r="G40" s="47" t="n"/>
      <c r="H40" s="45" t="n"/>
      <c r="I40" s="45" t="n"/>
      <c r="J40" s="48" t="n"/>
      <c r="K40" s="48" t="n"/>
      <c r="L40" s="48" t="n"/>
      <c r="M40" s="48" t="n"/>
      <c r="N40" s="49" t="n"/>
      <c r="O40" s="44" t="n"/>
      <c r="P40" s="49" t="n"/>
      <c r="Q40" s="49" t="n"/>
      <c r="R40" s="54" t="n"/>
      <c r="S40" s="48" t="n"/>
      <c r="T40" s="45" t="n"/>
      <c r="U40" s="45" t="n"/>
      <c r="V40" s="48" t="n"/>
      <c r="W40" s="45" t="n"/>
      <c r="X40" s="45" t="n"/>
      <c r="Y40" s="45" t="n"/>
      <c r="Z40" s="45" t="n"/>
      <c r="AA40" s="51" t="n"/>
      <c r="AB40" s="1" t="n"/>
    </row>
    <row r="41" ht="18.75" customHeight="1" s="53" thickBot="1">
      <c r="B41" s="44" t="n"/>
      <c r="C41" s="45" t="n"/>
      <c r="D41" s="45" t="n"/>
      <c r="E41" s="47" t="n"/>
      <c r="F41" s="46" t="n"/>
      <c r="G41" s="47" t="n"/>
      <c r="H41" s="45" t="n"/>
      <c r="I41" s="45" t="n"/>
      <c r="J41" s="48" t="n"/>
      <c r="K41" s="48" t="n"/>
      <c r="L41" s="48" t="n"/>
      <c r="M41" s="48" t="n"/>
      <c r="N41" s="36" t="n"/>
      <c r="O41" s="44" t="n"/>
      <c r="P41" s="49" t="n"/>
      <c r="Q41" s="49" t="n"/>
      <c r="R41" s="38" t="n"/>
      <c r="S41" s="48" t="n"/>
      <c r="T41" s="45" t="n"/>
      <c r="U41" s="45" t="n"/>
      <c r="V41" s="48" t="n"/>
      <c r="W41" s="45" t="n"/>
      <c r="X41" s="45" t="n"/>
      <c r="Y41" s="45" t="n"/>
      <c r="Z41" s="45" t="n"/>
      <c r="AA41" s="51" t="n"/>
      <c r="AB41" s="1" t="n"/>
    </row>
    <row r="42" ht="54.75" customHeight="1" s="53" thickBot="1">
      <c r="B42" s="30" t="inlineStr">
        <is>
          <t>cierre mes anterior</t>
        </is>
      </c>
      <c r="C42" s="45" t="inlineStr"/>
      <c r="D42" s="45" t="inlineStr"/>
      <c r="E42" s="45" t="inlineStr"/>
      <c r="F42" s="41" t="inlineStr"/>
      <c r="G42" s="42" t="inlineStr"/>
      <c r="H42" s="54" t="inlineStr"/>
      <c r="I42" s="45" t="inlineStr"/>
      <c r="J42" s="9" t="n"/>
      <c r="K42" s="9" t="n"/>
      <c r="L42" s="9" t="n"/>
      <c r="M42" s="37">
        <f>SUM(M12:M41)</f>
        <v/>
      </c>
      <c r="N42" s="9" t="n"/>
      <c r="O42" s="9" t="n"/>
      <c r="P42" s="9" t="n"/>
      <c r="Q42" s="9" t="n"/>
      <c r="R42" s="18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3">
        <f>AVERAGE(AA12:AA41)</f>
        <v/>
      </c>
    </row>
    <row r="43" ht="18" customHeight="1" s="53">
      <c r="B43" s="31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8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3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8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3">
      <c r="B45" s="9" t="n"/>
      <c r="C45" s="9" t="n"/>
      <c r="D45" s="34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8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 ht="15.75" customHeight="1" s="53">
      <c r="C46" s="32" t="n"/>
      <c r="R46" s="13" t="n"/>
    </row>
    <row r="47">
      <c r="R47" s="13" t="n"/>
    </row>
    <row r="48">
      <c r="R48" s="13" t="n"/>
    </row>
    <row r="49">
      <c r="R49" s="13" t="n"/>
    </row>
    <row r="50">
      <c r="R50" s="13" t="n"/>
    </row>
    <row r="51">
      <c r="R51" s="13" t="n"/>
    </row>
    <row r="52" ht="18" customHeight="1" s="53">
      <c r="R52" s="13" t="n"/>
      <c r="Z52" s="9" t="inlineStr">
        <is>
          <t>Aprobado:</t>
        </is>
      </c>
    </row>
    <row r="53" ht="18" customHeight="1" s="53">
      <c r="R53" s="13" t="n"/>
      <c r="Z53" s="9" t="inlineStr">
        <is>
          <t>Ms.C. Jorge Luis García Santana</t>
        </is>
      </c>
      <c r="AA53" s="9" t="n"/>
    </row>
    <row r="54" ht="18" customHeight="1" s="53">
      <c r="R54" s="13" t="n"/>
      <c r="Z54" s="9" t="inlineStr">
        <is>
          <t>Director General</t>
        </is>
      </c>
      <c r="AA54" s="9" t="n"/>
    </row>
    <row r="55" ht="18" customHeight="1" s="53">
      <c r="R55" s="13" t="n"/>
      <c r="Z55" s="9" t="inlineStr">
        <is>
          <t>Universidad Camaguey</t>
        </is>
      </c>
      <c r="AA55" s="9" t="n"/>
    </row>
    <row r="56">
      <c r="R56" s="13" t="n"/>
    </row>
    <row r="57">
      <c r="R57" s="13" t="n"/>
    </row>
    <row r="58">
      <c r="R58" s="13" t="n"/>
    </row>
    <row r="59">
      <c r="R59" s="13" t="n"/>
    </row>
    <row r="60">
      <c r="R60" s="13" t="n"/>
    </row>
    <row r="61">
      <c r="R61" s="13" t="n"/>
    </row>
  </sheetData>
  <mergeCells count="10">
    <mergeCell ref="X8:AA8"/>
    <mergeCell ref="J8:M8"/>
    <mergeCell ref="C8:I8"/>
    <mergeCell ref="C5:D5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AB61"/>
  <sheetViews>
    <sheetView topLeftCell="A4" zoomScale="66" zoomScaleNormal="66" zoomScaleSheetLayoutView="70" workbookViewId="0">
      <selection activeCell="A7" sqref="A7:XFD7"/>
    </sheetView>
  </sheetViews>
  <sheetFormatPr baseColWidth="10" defaultColWidth="11.42578125" defaultRowHeight="15"/>
  <cols>
    <col width="11.42578125" customWidth="1" style="53" min="1" max="2"/>
    <col width="12.28515625" bestFit="1" customWidth="1" style="53" min="3" max="3"/>
    <col width="10.5703125" customWidth="1" style="53" min="4" max="4"/>
    <col width="11.42578125" customWidth="1" style="53" min="5" max="5"/>
    <col width="12.28515625" customWidth="1" style="53" min="6" max="6"/>
    <col width="11.42578125" customWidth="1" style="53" min="7" max="7"/>
    <col width="12.28515625" bestFit="1" customWidth="1" style="53" min="8" max="9"/>
    <col width="18.28515625" customWidth="1" style="53" min="13" max="13"/>
    <col width="12.7109375" customWidth="1" style="53" min="14" max="14"/>
    <col width="13.42578125" bestFit="1" customWidth="1" style="53" min="16" max="16"/>
    <col width="13.140625" customWidth="1" style="53" min="17" max="17"/>
    <col width="14.7109375" bestFit="1" customWidth="1" style="53" min="20" max="20"/>
    <col width="11.7109375" bestFit="1" customWidth="1" style="53" min="21" max="21"/>
    <col width="13.28515625" bestFit="1" customWidth="1" style="53" min="22" max="22"/>
    <col width="12.5703125" bestFit="1" customWidth="1" style="53" min="23" max="23"/>
    <col width="11.5703125" bestFit="1" customWidth="1" style="53" min="24" max="24"/>
    <col width="14" bestFit="1" customWidth="1" style="53" min="25" max="25"/>
    <col width="13.42578125" bestFit="1" customWidth="1" style="53" min="26" max="26"/>
    <col width="15.140625" customWidth="1" style="53" min="27" max="27"/>
    <col width="16.140625" customWidth="1" style="53" min="28" max="28"/>
  </cols>
  <sheetData>
    <row r="2" ht="15.75" customHeight="1" s="53">
      <c r="G2" s="23" t="inlineStr">
        <is>
          <t xml:space="preserve">                                                                        ANEXO No. 1.</t>
        </is>
      </c>
    </row>
    <row r="3" ht="15.75" customHeight="1" s="53">
      <c r="G3" s="23" t="inlineStr">
        <is>
          <t xml:space="preserve">                                                                  TABLA 1A</t>
        </is>
      </c>
    </row>
    <row r="4" ht="15.75" customHeight="1" s="53">
      <c r="G4" s="24" t="inlineStr">
        <is>
          <t xml:space="preserve">Cumplimiento del plan de consumo de energía eléctrica total, mes: </t>
        </is>
      </c>
      <c r="N4" s="33" t="inlineStr">
        <is>
          <t>abril-2024</t>
        </is>
      </c>
    </row>
    <row r="5">
      <c r="C5" s="58" t="inlineStr">
        <is>
          <t>SERVICIO: JOSE MARTÍ</t>
        </is>
      </c>
      <c r="T5" s="40" t="n"/>
      <c r="U5" s="40" t="inlineStr">
        <is>
          <t>total</t>
        </is>
      </c>
      <c r="V5" s="40" t="inlineStr">
        <is>
          <t>diaria</t>
        </is>
      </c>
    </row>
    <row r="6" ht="15.75" customHeight="1" s="53">
      <c r="C6" t="inlineStr">
        <is>
          <t>SERVICIO: JOSE MARTÍ</t>
        </is>
      </c>
      <c r="N6" s="11" t="inlineStr">
        <is>
          <t>Plan Pico N</t>
        </is>
      </c>
      <c r="O6" s="26">
        <f>S6*16.5%</f>
        <v/>
      </c>
      <c r="P6" s="27" t="inlineStr">
        <is>
          <t>Plan Pico D</t>
        </is>
      </c>
      <c r="Q6" s="10">
        <f>(S6*8)/100</f>
        <v/>
      </c>
      <c r="R6" s="14" t="inlineStr">
        <is>
          <t>PLAN MES</t>
        </is>
      </c>
      <c r="S6" s="10" t="n">
        <v>21000</v>
      </c>
      <c r="T6" s="40" t="inlineStr">
        <is>
          <t>Perdidas:</t>
        </is>
      </c>
      <c r="U6" s="40" t="n">
        <v>4811</v>
      </c>
      <c r="V6" s="39">
        <f>U6/30</f>
        <v/>
      </c>
    </row>
    <row r="7" ht="15.75" customHeight="1" s="53">
      <c r="N7" s="11" t="n"/>
      <c r="O7" s="26" t="n"/>
      <c r="P7" s="27" t="n"/>
      <c r="Q7" s="10" t="n"/>
      <c r="R7" s="14" t="n"/>
      <c r="S7" s="10" t="n"/>
      <c r="T7" s="40" t="n"/>
      <c r="U7" s="40" t="n"/>
      <c r="V7" s="39" t="n"/>
    </row>
    <row r="8" ht="46.5" customHeight="1" s="53">
      <c r="B8" s="59" t="inlineStr">
        <is>
          <t>Día</t>
        </is>
      </c>
      <c r="C8" s="56" t="inlineStr">
        <is>
          <t>Lectura del contador</t>
        </is>
      </c>
      <c r="D8" s="62" t="n"/>
      <c r="E8" s="62" t="n"/>
      <c r="F8" s="62" t="n"/>
      <c r="G8" s="62" t="n"/>
      <c r="H8" s="62" t="n"/>
      <c r="I8" s="63" t="n"/>
      <c r="J8" s="56" t="inlineStr">
        <is>
          <t>Consumo diario kWh y kvarh</t>
        </is>
      </c>
      <c r="K8" s="62" t="n"/>
      <c r="L8" s="62" t="n"/>
      <c r="M8" s="63" t="n"/>
      <c r="N8" s="56" t="inlineStr">
        <is>
          <t>Consumo diario Pico nocturno kWh</t>
        </is>
      </c>
      <c r="O8" s="62" t="n"/>
      <c r="P8" s="63" t="n"/>
      <c r="Q8" s="57" t="inlineStr">
        <is>
          <t>Consumo diario pico Diurno kWh</t>
        </is>
      </c>
      <c r="R8" s="56" t="inlineStr">
        <is>
          <t>Consumo diario total kWh</t>
        </is>
      </c>
      <c r="S8" s="62" t="n"/>
      <c r="T8" s="63" t="n"/>
      <c r="U8" s="56" t="inlineStr">
        <is>
          <t>Consumo acumulado Pico kWh</t>
        </is>
      </c>
      <c r="V8" s="62" t="n"/>
      <c r="W8" s="63" t="n"/>
      <c r="X8" s="56" t="inlineStr">
        <is>
          <t>Consumo acumulado Total kWh</t>
        </is>
      </c>
      <c r="Y8" s="62" t="n"/>
      <c r="Z8" s="62" t="n"/>
      <c r="AA8" s="63" t="n"/>
      <c r="AB8" s="57" t="inlineStr">
        <is>
          <t>Firma Responsable</t>
        </is>
      </c>
    </row>
    <row r="9" ht="30" customHeight="1" s="53">
      <c r="B9" s="64" t="n"/>
      <c r="C9" s="59" t="inlineStr">
        <is>
          <t>MAD</t>
        </is>
      </c>
      <c r="D9" s="59" t="inlineStr">
        <is>
          <t>DIA</t>
        </is>
      </c>
      <c r="E9" s="59" t="inlineStr">
        <is>
          <t>PICO</t>
        </is>
      </c>
      <c r="F9" s="59" t="inlineStr">
        <is>
          <t>TOTAL</t>
        </is>
      </c>
      <c r="G9" s="59" t="inlineStr">
        <is>
          <t>Pico Diurno 11 am</t>
        </is>
      </c>
      <c r="H9" s="59" t="inlineStr">
        <is>
          <t>Pico Diurno 1 pm</t>
        </is>
      </c>
      <c r="I9" s="59" t="inlineStr">
        <is>
          <t>REACT</t>
        </is>
      </c>
      <c r="J9" s="59" t="inlineStr">
        <is>
          <t>MAD</t>
        </is>
      </c>
      <c r="K9" s="59" t="inlineStr">
        <is>
          <t>DIA</t>
        </is>
      </c>
      <c r="L9" s="59" t="inlineStr">
        <is>
          <t>PICO</t>
        </is>
      </c>
      <c r="M9" s="59" t="inlineStr">
        <is>
          <t>REACT</t>
        </is>
      </c>
      <c r="N9" s="59" t="inlineStr">
        <is>
          <t>Plan Pico</t>
        </is>
      </c>
      <c r="O9" s="59" t="inlineStr">
        <is>
          <t>Real Pico</t>
        </is>
      </c>
      <c r="P9" s="59" t="inlineStr">
        <is>
          <t>Plan - Real</t>
        </is>
      </c>
      <c r="Q9" s="64" t="n"/>
      <c r="R9" s="15" t="inlineStr">
        <is>
          <t>Plan</t>
        </is>
      </c>
      <c r="S9" s="59" t="inlineStr">
        <is>
          <t>Real</t>
        </is>
      </c>
      <c r="T9" s="59" t="inlineStr">
        <is>
          <t>Plan - Real</t>
        </is>
      </c>
      <c r="U9" s="59" t="inlineStr">
        <is>
          <t>Plan Pico</t>
        </is>
      </c>
      <c r="V9" s="59" t="inlineStr">
        <is>
          <t>Real Pico</t>
        </is>
      </c>
      <c r="W9" s="59" t="inlineStr">
        <is>
          <t>Plan - Real</t>
        </is>
      </c>
      <c r="X9" s="59" t="inlineStr">
        <is>
          <t>Plan</t>
        </is>
      </c>
      <c r="Y9" s="59" t="inlineStr">
        <is>
          <t>Real</t>
        </is>
      </c>
      <c r="Z9" s="28" t="inlineStr">
        <is>
          <t>Plan   - Real</t>
        </is>
      </c>
      <c r="AA9" s="59" t="inlineStr">
        <is>
          <t>FP</t>
        </is>
      </c>
      <c r="AB9" s="64" t="n"/>
    </row>
    <row r="10">
      <c r="B10" s="29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6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3">
      <c r="B11" s="44" t="n"/>
      <c r="C11" s="44" t="n"/>
      <c r="D11" s="44" t="n"/>
      <c r="E11" s="44" t="n"/>
      <c r="F11" s="46" t="n"/>
      <c r="G11" s="47" t="n"/>
      <c r="H11" s="45" t="n"/>
      <c r="I11" s="45" t="n"/>
      <c r="J11" s="48" t="n"/>
      <c r="K11" s="48" t="n"/>
      <c r="L11" s="48" t="n"/>
      <c r="M11" s="48" t="n"/>
      <c r="N11" s="49" t="n"/>
      <c r="O11" s="50" t="n"/>
      <c r="P11" s="49" t="n"/>
      <c r="Q11" s="49" t="n"/>
      <c r="R11" s="54" t="n"/>
      <c r="S11" s="48" t="n"/>
      <c r="T11" s="45" t="n"/>
      <c r="U11" s="45" t="n"/>
      <c r="V11" s="45" t="n"/>
      <c r="W11" s="45" t="n"/>
      <c r="X11" s="45" t="n"/>
      <c r="Y11" s="45" t="n"/>
      <c r="Z11" s="45" t="n"/>
      <c r="AA11" s="51" t="n"/>
      <c r="AB11" s="52" t="n"/>
    </row>
    <row r="12" ht="18" customHeight="1" s="53">
      <c r="B12" s="44" t="n"/>
      <c r="C12" s="49" t="n"/>
      <c r="D12" s="49" t="n"/>
      <c r="E12" s="49" t="n"/>
      <c r="F12" s="46" t="n"/>
      <c r="G12" s="47" t="n"/>
      <c r="H12" s="45" t="n"/>
      <c r="I12" s="45" t="n"/>
      <c r="J12" s="48" t="n"/>
      <c r="K12" s="48" t="n"/>
      <c r="L12" s="48" t="n"/>
      <c r="M12" s="48" t="n"/>
      <c r="N12" s="49" t="n"/>
      <c r="O12" s="50" t="n"/>
      <c r="P12" s="49" t="n"/>
      <c r="Q12" s="49" t="n"/>
      <c r="R12" s="54" t="n"/>
      <c r="S12" s="48" t="n"/>
      <c r="T12" s="45" t="n"/>
      <c r="U12" s="45" t="n"/>
      <c r="V12" s="45" t="n"/>
      <c r="W12" s="45" t="n"/>
      <c r="X12" s="45" t="n"/>
      <c r="Y12" s="45" t="n"/>
      <c r="Z12" s="45" t="n"/>
      <c r="AA12" s="51" t="n"/>
      <c r="AB12" s="52" t="n"/>
    </row>
    <row r="13" ht="18" customHeight="1" s="53">
      <c r="B13" s="44" t="n"/>
      <c r="C13" s="49" t="n"/>
      <c r="D13" s="49" t="n"/>
      <c r="E13" s="49" t="n"/>
      <c r="F13" s="46" t="n"/>
      <c r="G13" s="47" t="n"/>
      <c r="H13" s="45" t="n"/>
      <c r="I13" s="45" t="n"/>
      <c r="J13" s="48" t="n"/>
      <c r="K13" s="48" t="n"/>
      <c r="L13" s="48" t="n"/>
      <c r="M13" s="48" t="n"/>
      <c r="N13" s="49" t="n"/>
      <c r="O13" s="50" t="n"/>
      <c r="P13" s="49" t="n"/>
      <c r="Q13" s="49" t="n"/>
      <c r="R13" s="54" t="n"/>
      <c r="S13" s="48" t="n"/>
      <c r="T13" s="45" t="n"/>
      <c r="U13" s="45" t="n"/>
      <c r="V13" s="45" t="n"/>
      <c r="W13" s="45" t="n"/>
      <c r="X13" s="45" t="n"/>
      <c r="Y13" s="45" t="n"/>
      <c r="Z13" s="45" t="n"/>
      <c r="AA13" s="51" t="n"/>
      <c r="AB13" s="52" t="n"/>
    </row>
    <row r="14" ht="18" customHeight="1" s="53">
      <c r="B14" s="44" t="n"/>
      <c r="C14" s="49" t="n"/>
      <c r="D14" s="49" t="n"/>
      <c r="E14" s="49" t="n"/>
      <c r="F14" s="46" t="n"/>
      <c r="G14" s="47" t="n"/>
      <c r="H14" s="45" t="n"/>
      <c r="I14" s="45" t="n"/>
      <c r="J14" s="45" t="n"/>
      <c r="K14" s="48" t="n"/>
      <c r="L14" s="48" t="n"/>
      <c r="M14" s="48" t="n"/>
      <c r="N14" s="49" t="n"/>
      <c r="O14" s="50" t="n"/>
      <c r="P14" s="49" t="n"/>
      <c r="Q14" s="49" t="n"/>
      <c r="R14" s="54" t="n"/>
      <c r="S14" s="48" t="n"/>
      <c r="T14" s="45" t="n"/>
      <c r="U14" s="45" t="n"/>
      <c r="V14" s="45" t="n"/>
      <c r="W14" s="45" t="n"/>
      <c r="X14" s="45" t="n"/>
      <c r="Y14" s="45" t="n"/>
      <c r="Z14" s="45" t="n"/>
      <c r="AA14" s="51" t="n"/>
      <c r="AB14" s="52" t="n"/>
    </row>
    <row r="15" ht="18" customHeight="1" s="53">
      <c r="B15" s="44" t="n"/>
      <c r="C15" s="49" t="n"/>
      <c r="D15" s="49" t="n"/>
      <c r="E15" s="49" t="n"/>
      <c r="F15" s="46" t="n"/>
      <c r="G15" s="47" t="n"/>
      <c r="H15" s="45" t="n"/>
      <c r="I15" s="45" t="n"/>
      <c r="J15" s="48" t="n"/>
      <c r="K15" s="48" t="n"/>
      <c r="L15" s="48" t="n"/>
      <c r="M15" s="48" t="n"/>
      <c r="N15" s="49" t="n"/>
      <c r="O15" s="50" t="n"/>
      <c r="P15" s="49" t="n"/>
      <c r="Q15" s="49" t="n"/>
      <c r="R15" s="54" t="n"/>
      <c r="S15" s="48" t="n"/>
      <c r="T15" s="45" t="n"/>
      <c r="U15" s="45" t="n"/>
      <c r="V15" s="45" t="n"/>
      <c r="W15" s="45" t="n"/>
      <c r="X15" s="45" t="n"/>
      <c r="Y15" s="45" t="n"/>
      <c r="Z15" s="45" t="n"/>
      <c r="AA15" s="51" t="n"/>
      <c r="AB15" s="52" t="n"/>
    </row>
    <row r="16" ht="18" customHeight="1" s="53">
      <c r="B16" s="44" t="n"/>
      <c r="C16" s="49" t="n"/>
      <c r="D16" s="49" t="n"/>
      <c r="E16" s="49" t="n"/>
      <c r="F16" s="46" t="n"/>
      <c r="G16" s="47" t="n"/>
      <c r="H16" s="45" t="n"/>
      <c r="I16" s="45" t="n"/>
      <c r="J16" s="48" t="n"/>
      <c r="K16" s="48" t="n"/>
      <c r="L16" s="48" t="n"/>
      <c r="M16" s="48" t="n"/>
      <c r="N16" s="49" t="n"/>
      <c r="O16" s="50" t="n"/>
      <c r="P16" s="49" t="n"/>
      <c r="Q16" s="49" t="n"/>
      <c r="R16" s="54" t="n"/>
      <c r="S16" s="48" t="n"/>
      <c r="T16" s="45" t="n"/>
      <c r="U16" s="45" t="n"/>
      <c r="V16" s="45" t="n"/>
      <c r="W16" s="45" t="n"/>
      <c r="X16" s="45" t="n"/>
      <c r="Y16" s="45" t="n"/>
      <c r="Z16" s="45" t="n"/>
      <c r="AA16" s="51" t="n"/>
      <c r="AB16" s="52" t="n"/>
    </row>
    <row r="17" ht="18" customHeight="1" s="53">
      <c r="B17" s="44" t="n"/>
      <c r="C17" s="49" t="n"/>
      <c r="D17" s="49" t="n"/>
      <c r="E17" s="49" t="n"/>
      <c r="F17" s="46" t="n"/>
      <c r="G17" s="47" t="n"/>
      <c r="H17" s="45" t="n"/>
      <c r="I17" s="45" t="n"/>
      <c r="J17" s="48" t="n"/>
      <c r="K17" s="48" t="n"/>
      <c r="L17" s="48" t="n"/>
      <c r="M17" s="48" t="n"/>
      <c r="N17" s="49" t="n"/>
      <c r="O17" s="50" t="n"/>
      <c r="P17" s="49" t="n"/>
      <c r="Q17" s="49" t="n"/>
      <c r="R17" s="54" t="n"/>
      <c r="S17" s="48" t="n"/>
      <c r="T17" s="45" t="n"/>
      <c r="U17" s="45" t="n"/>
      <c r="V17" s="45" t="n"/>
      <c r="W17" s="45" t="n"/>
      <c r="X17" s="45" t="n"/>
      <c r="Y17" s="45" t="n"/>
      <c r="Z17" s="45" t="n"/>
      <c r="AA17" s="51" t="n"/>
      <c r="AB17" s="52" t="n"/>
    </row>
    <row r="18" ht="18" customHeight="1" s="53">
      <c r="B18" s="44" t="n"/>
      <c r="C18" s="49" t="n"/>
      <c r="D18" s="49" t="n"/>
      <c r="E18" s="49" t="n"/>
      <c r="F18" s="46" t="n"/>
      <c r="G18" s="47" t="n"/>
      <c r="H18" s="45" t="n"/>
      <c r="I18" s="45" t="n"/>
      <c r="J18" s="48" t="n"/>
      <c r="K18" s="48" t="n"/>
      <c r="L18" s="48" t="n"/>
      <c r="M18" s="48" t="n"/>
      <c r="N18" s="49" t="n"/>
      <c r="O18" s="50" t="n"/>
      <c r="P18" s="49" t="n"/>
      <c r="Q18" s="49" t="n"/>
      <c r="R18" s="54" t="n"/>
      <c r="S18" s="48" t="n"/>
      <c r="T18" s="45" t="n"/>
      <c r="U18" s="45" t="n"/>
      <c r="V18" s="45" t="n"/>
      <c r="W18" s="45" t="n"/>
      <c r="X18" s="45" t="n"/>
      <c r="Y18" s="45" t="n"/>
      <c r="Z18" s="45" t="n"/>
      <c r="AA18" s="51" t="n"/>
      <c r="AB18" s="52" t="n"/>
    </row>
    <row r="19" ht="18" customHeight="1" s="53">
      <c r="B19" s="44" t="n"/>
      <c r="C19" s="49" t="n"/>
      <c r="D19" s="49" t="n"/>
      <c r="E19" s="49" t="n"/>
      <c r="F19" s="46" t="n"/>
      <c r="G19" s="47" t="n"/>
      <c r="H19" s="45" t="n"/>
      <c r="I19" s="45" t="n"/>
      <c r="J19" s="48" t="n"/>
      <c r="K19" s="48" t="n"/>
      <c r="L19" s="48" t="n"/>
      <c r="M19" s="48" t="n"/>
      <c r="N19" s="49" t="n"/>
      <c r="O19" s="44" t="n"/>
      <c r="P19" s="49" t="n"/>
      <c r="Q19" s="49" t="n"/>
      <c r="R19" s="54" t="n"/>
      <c r="S19" s="48" t="n"/>
      <c r="T19" s="45" t="n"/>
      <c r="U19" s="45" t="n"/>
      <c r="V19" s="45" t="n"/>
      <c r="W19" s="45" t="n"/>
      <c r="X19" s="45" t="n"/>
      <c r="Y19" s="45" t="n"/>
      <c r="Z19" s="45" t="n"/>
      <c r="AA19" s="51" t="n"/>
      <c r="AB19" s="1" t="n"/>
    </row>
    <row r="20" ht="18" customHeight="1" s="53">
      <c r="B20" s="44" t="n"/>
      <c r="C20" s="49" t="n"/>
      <c r="D20" s="49" t="n"/>
      <c r="E20" s="49" t="n"/>
      <c r="F20" s="46" t="n"/>
      <c r="G20" s="47" t="n"/>
      <c r="H20" s="45" t="n"/>
      <c r="I20" s="45" t="n"/>
      <c r="J20" s="48" t="n"/>
      <c r="K20" s="48" t="n"/>
      <c r="L20" s="48" t="n"/>
      <c r="M20" s="48" t="n"/>
      <c r="N20" s="49" t="n"/>
      <c r="O20" s="44" t="n"/>
      <c r="P20" s="49" t="n"/>
      <c r="Q20" s="49" t="n"/>
      <c r="R20" s="54" t="n"/>
      <c r="S20" s="48" t="n"/>
      <c r="T20" s="45" t="n"/>
      <c r="U20" s="45" t="n"/>
      <c r="V20" s="45" t="n"/>
      <c r="W20" s="45" t="n"/>
      <c r="X20" s="45" t="n"/>
      <c r="Y20" s="45" t="n"/>
      <c r="Z20" s="45" t="n"/>
      <c r="AA20" s="51" t="n"/>
      <c r="AB20" s="1" t="n"/>
    </row>
    <row r="21" ht="18" customHeight="1" s="53">
      <c r="B21" s="44" t="n"/>
      <c r="C21" s="49" t="n"/>
      <c r="D21" s="49" t="n"/>
      <c r="E21" s="49" t="n"/>
      <c r="F21" s="46" t="n"/>
      <c r="G21" s="47" t="n"/>
      <c r="H21" s="45" t="n"/>
      <c r="I21" s="45" t="n"/>
      <c r="J21" s="48" t="n"/>
      <c r="K21" s="48" t="n"/>
      <c r="L21" s="48" t="n"/>
      <c r="M21" s="48" t="n"/>
      <c r="N21" s="49" t="n"/>
      <c r="O21" s="44" t="n"/>
      <c r="P21" s="49" t="n"/>
      <c r="Q21" s="49" t="n"/>
      <c r="R21" s="54" t="n"/>
      <c r="S21" s="48" t="n"/>
      <c r="T21" s="45" t="n"/>
      <c r="U21" s="45" t="n"/>
      <c r="V21" s="45" t="n"/>
      <c r="W21" s="45" t="n"/>
      <c r="X21" s="45" t="n"/>
      <c r="Y21" s="45" t="n"/>
      <c r="Z21" s="45" t="n"/>
      <c r="AA21" s="51" t="n"/>
      <c r="AB21" s="1" t="n"/>
    </row>
    <row r="22" ht="18" customHeight="1" s="53">
      <c r="B22" s="44" t="n"/>
      <c r="C22" s="49" t="n"/>
      <c r="D22" s="49" t="n"/>
      <c r="E22" s="49" t="n"/>
      <c r="F22" s="8" t="n"/>
      <c r="G22" s="47" t="n"/>
      <c r="H22" s="45" t="n"/>
      <c r="I22" s="45" t="n"/>
      <c r="J22" s="48" t="n"/>
      <c r="K22" s="48" t="n"/>
      <c r="L22" s="48" t="n"/>
      <c r="M22" s="48" t="n"/>
      <c r="N22" s="49" t="n"/>
      <c r="O22" s="44" t="n"/>
      <c r="P22" s="49" t="n"/>
      <c r="Q22" s="49" t="n"/>
      <c r="R22" s="54" t="n"/>
      <c r="S22" s="48" t="n"/>
      <c r="T22" s="45" t="n"/>
      <c r="U22" s="45" t="n"/>
      <c r="V22" s="45" t="n"/>
      <c r="W22" s="45" t="n"/>
      <c r="X22" s="45" t="n"/>
      <c r="Y22" s="45" t="n"/>
      <c r="Z22" s="45" t="n"/>
      <c r="AA22" s="51" t="n"/>
      <c r="AB22" s="1" t="n"/>
    </row>
    <row r="23" ht="18" customHeight="1" s="53">
      <c r="B23" s="44" t="n"/>
      <c r="C23" s="49" t="n"/>
      <c r="D23" s="49" t="n"/>
      <c r="E23" s="49" t="n"/>
      <c r="F23" s="46" t="n"/>
      <c r="G23" s="47" t="n"/>
      <c r="H23" s="45" t="n"/>
      <c r="I23" s="45" t="n"/>
      <c r="J23" s="48" t="n"/>
      <c r="K23" s="48" t="n"/>
      <c r="L23" s="48" t="n"/>
      <c r="M23" s="48" t="n"/>
      <c r="N23" s="49" t="n"/>
      <c r="O23" s="44" t="n"/>
      <c r="P23" s="49" t="n"/>
      <c r="Q23" s="49" t="n"/>
      <c r="R23" s="54" t="n"/>
      <c r="S23" s="48" t="n"/>
      <c r="T23" s="45" t="n"/>
      <c r="U23" s="45" t="n"/>
      <c r="V23" s="45" t="n"/>
      <c r="W23" s="45" t="n"/>
      <c r="X23" s="45" t="n"/>
      <c r="Y23" s="45" t="n"/>
      <c r="Z23" s="45" t="n"/>
      <c r="AA23" s="51" t="n"/>
      <c r="AB23" s="1" t="n"/>
    </row>
    <row r="24" ht="18" customHeight="1" s="53">
      <c r="B24" s="44" t="n"/>
      <c r="C24" s="49" t="n"/>
      <c r="D24" s="49" t="n"/>
      <c r="E24" s="49" t="n"/>
      <c r="F24" s="46" t="n"/>
      <c r="G24" s="47" t="n"/>
      <c r="H24" s="45" t="n"/>
      <c r="I24" s="45" t="n"/>
      <c r="J24" s="48" t="n"/>
      <c r="K24" s="48" t="n"/>
      <c r="L24" s="48" t="n"/>
      <c r="M24" s="48" t="n"/>
      <c r="N24" s="49" t="n"/>
      <c r="O24" s="44" t="n"/>
      <c r="P24" s="49" t="n"/>
      <c r="Q24" s="49" t="n"/>
      <c r="R24" s="54" t="n"/>
      <c r="S24" s="48" t="n"/>
      <c r="T24" s="45" t="n"/>
      <c r="U24" s="45" t="n"/>
      <c r="V24" s="45" t="n"/>
      <c r="W24" s="45" t="n"/>
      <c r="X24" s="45" t="n"/>
      <c r="Y24" s="45" t="n"/>
      <c r="Z24" s="45" t="n"/>
      <c r="AA24" s="51" t="n"/>
      <c r="AB24" s="1" t="n"/>
    </row>
    <row r="25" ht="18" customHeight="1" s="53">
      <c r="B25" s="44" t="n"/>
      <c r="C25" s="49" t="n"/>
      <c r="D25" s="49" t="n"/>
      <c r="E25" s="49" t="n"/>
      <c r="F25" s="46" t="n"/>
      <c r="G25" s="47" t="n"/>
      <c r="H25" s="45" t="n"/>
      <c r="I25" s="45" t="n"/>
      <c r="J25" s="48" t="n"/>
      <c r="K25" s="48" t="n"/>
      <c r="L25" s="48" t="n"/>
      <c r="M25" s="45" t="n"/>
      <c r="N25" s="49" t="n"/>
      <c r="O25" s="44" t="n"/>
      <c r="P25" s="49" t="n"/>
      <c r="Q25" s="49" t="n"/>
      <c r="R25" s="54" t="n"/>
      <c r="S25" s="48" t="n"/>
      <c r="T25" s="45" t="n"/>
      <c r="U25" s="45" t="n"/>
      <c r="V25" s="48" t="n"/>
      <c r="W25" s="45" t="n"/>
      <c r="X25" s="45" t="n"/>
      <c r="Y25" s="45" t="n"/>
      <c r="Z25" s="45" t="n"/>
      <c r="AA25" s="51" t="n"/>
      <c r="AB25" s="1" t="n"/>
    </row>
    <row r="26" ht="18" customHeight="1" s="53">
      <c r="B26" s="44" t="n"/>
      <c r="C26" s="49" t="n"/>
      <c r="D26" s="49" t="n"/>
      <c r="E26" s="49" t="n"/>
      <c r="F26" s="46" t="n"/>
      <c r="G26" s="47" t="n"/>
      <c r="H26" s="45" t="n"/>
      <c r="I26" s="45" t="n"/>
      <c r="J26" s="48" t="n"/>
      <c r="K26" s="48" t="n"/>
      <c r="L26" s="48" t="n"/>
      <c r="M26" s="45" t="n"/>
      <c r="N26" s="49" t="n"/>
      <c r="O26" s="44" t="n"/>
      <c r="P26" s="49" t="n"/>
      <c r="Q26" s="49" t="n"/>
      <c r="R26" s="54" t="n"/>
      <c r="S26" s="48" t="n"/>
      <c r="T26" s="45" t="n"/>
      <c r="U26" s="45" t="n"/>
      <c r="V26" s="48" t="n"/>
      <c r="W26" s="45" t="n"/>
      <c r="X26" s="45" t="n"/>
      <c r="Y26" s="45" t="n"/>
      <c r="Z26" s="45" t="n"/>
      <c r="AA26" s="51" t="n"/>
      <c r="AB26" s="1" t="n"/>
    </row>
    <row r="27" ht="18" customHeight="1" s="53">
      <c r="B27" s="44" t="n"/>
      <c r="C27" s="49" t="n"/>
      <c r="D27" s="49" t="n"/>
      <c r="E27" s="49" t="n"/>
      <c r="F27" s="46" t="n"/>
      <c r="G27" s="47" t="n"/>
      <c r="H27" s="45" t="n"/>
      <c r="I27" s="45" t="n"/>
      <c r="J27" s="48" t="n"/>
      <c r="K27" s="48" t="n"/>
      <c r="L27" s="48" t="n"/>
      <c r="M27" s="45" t="n"/>
      <c r="N27" s="49" t="n"/>
      <c r="O27" s="44" t="n"/>
      <c r="P27" s="49" t="n"/>
      <c r="Q27" s="49" t="n"/>
      <c r="R27" s="54" t="n"/>
      <c r="S27" s="48" t="n"/>
      <c r="T27" s="45" t="n"/>
      <c r="U27" s="45" t="n"/>
      <c r="V27" s="48" t="n"/>
      <c r="W27" s="45" t="n"/>
      <c r="X27" s="45" t="n"/>
      <c r="Y27" s="45" t="n"/>
      <c r="Z27" s="45" t="n"/>
      <c r="AA27" s="51" t="n"/>
      <c r="AB27" s="1" t="n"/>
    </row>
    <row r="28" ht="18" customHeight="1" s="53">
      <c r="B28" s="44" t="n"/>
      <c r="C28" s="49" t="n"/>
      <c r="D28" s="49" t="n"/>
      <c r="E28" s="49" t="n"/>
      <c r="F28" s="46" t="n"/>
      <c r="G28" s="47" t="n"/>
      <c r="H28" s="45" t="n"/>
      <c r="I28" s="45" t="n"/>
      <c r="J28" s="48" t="n"/>
      <c r="K28" s="48" t="n"/>
      <c r="L28" s="48" t="n"/>
      <c r="M28" s="45" t="n"/>
      <c r="N28" s="49" t="n"/>
      <c r="O28" s="44" t="n"/>
      <c r="P28" s="49" t="n"/>
      <c r="Q28" s="49" t="n"/>
      <c r="R28" s="54" t="n"/>
      <c r="S28" s="48" t="n"/>
      <c r="T28" s="45" t="n"/>
      <c r="U28" s="45" t="n"/>
      <c r="V28" s="48" t="n"/>
      <c r="W28" s="45" t="n"/>
      <c r="X28" s="45" t="n"/>
      <c r="Y28" s="45" t="n"/>
      <c r="Z28" s="45" t="n"/>
      <c r="AA28" s="51" t="n"/>
      <c r="AB28" s="1" t="n"/>
    </row>
    <row r="29" ht="18" customHeight="1" s="53">
      <c r="B29" s="44" t="n"/>
      <c r="C29" s="49" t="n"/>
      <c r="D29" s="49" t="n"/>
      <c r="E29" s="49" t="n"/>
      <c r="F29" s="46" t="n"/>
      <c r="G29" s="47" t="n"/>
      <c r="H29" s="45" t="n"/>
      <c r="I29" s="45" t="n"/>
      <c r="J29" s="48" t="n"/>
      <c r="K29" s="48" t="n"/>
      <c r="L29" s="48" t="n"/>
      <c r="M29" s="48" t="n"/>
      <c r="N29" s="49" t="n"/>
      <c r="O29" s="44" t="n"/>
      <c r="P29" s="49" t="n"/>
      <c r="Q29" s="49" t="n"/>
      <c r="R29" s="54" t="n"/>
      <c r="S29" s="48" t="n"/>
      <c r="T29" s="45" t="n"/>
      <c r="U29" s="45" t="n"/>
      <c r="V29" s="48" t="n"/>
      <c r="W29" s="45" t="n"/>
      <c r="X29" s="45" t="n"/>
      <c r="Y29" s="45" t="n"/>
      <c r="Z29" s="45" t="n"/>
      <c r="AA29" s="51" t="n"/>
      <c r="AB29" s="1" t="n"/>
    </row>
    <row r="30" ht="18" customHeight="1" s="53">
      <c r="B30" s="44" t="n"/>
      <c r="C30" s="49" t="n"/>
      <c r="D30" s="49" t="n"/>
      <c r="E30" s="49" t="n"/>
      <c r="F30" s="46" t="n"/>
      <c r="G30" s="47" t="n"/>
      <c r="H30" s="45" t="n"/>
      <c r="I30" s="45" t="n"/>
      <c r="J30" s="48" t="n"/>
      <c r="K30" s="48" t="n"/>
      <c r="L30" s="48" t="n"/>
      <c r="M30" s="48" t="n"/>
      <c r="N30" s="49" t="n"/>
      <c r="O30" s="44" t="n"/>
      <c r="P30" s="49" t="n"/>
      <c r="Q30" s="49" t="n"/>
      <c r="R30" s="54" t="n"/>
      <c r="S30" s="48" t="n"/>
      <c r="T30" s="45" t="n"/>
      <c r="U30" s="45" t="n"/>
      <c r="V30" s="48" t="n"/>
      <c r="W30" s="45" t="n"/>
      <c r="X30" s="45" t="n"/>
      <c r="Y30" s="45" t="n"/>
      <c r="Z30" s="45" t="n"/>
      <c r="AA30" s="51" t="n"/>
      <c r="AB30" s="1" t="n"/>
    </row>
    <row r="31" ht="18" customHeight="1" s="53">
      <c r="B31" s="44" t="n"/>
      <c r="C31" s="49" t="n"/>
      <c r="D31" s="49" t="n"/>
      <c r="E31" s="49" t="n"/>
      <c r="F31" s="46" t="n"/>
      <c r="G31" s="47" t="n"/>
      <c r="H31" s="45" t="n"/>
      <c r="I31" s="45" t="n"/>
      <c r="J31" s="48" t="n"/>
      <c r="K31" s="48" t="n"/>
      <c r="L31" s="48" t="n"/>
      <c r="M31" s="48" t="n"/>
      <c r="N31" s="49" t="n"/>
      <c r="O31" s="44" t="n"/>
      <c r="P31" s="49" t="n"/>
      <c r="Q31" s="49" t="n"/>
      <c r="R31" s="54" t="n"/>
      <c r="S31" s="48" t="n"/>
      <c r="T31" s="45" t="n"/>
      <c r="U31" s="45" t="n"/>
      <c r="V31" s="48" t="n"/>
      <c r="W31" s="45" t="n"/>
      <c r="X31" s="45" t="n"/>
      <c r="Y31" s="45" t="n"/>
      <c r="Z31" s="45" t="n"/>
      <c r="AA31" s="51" t="n"/>
      <c r="AB31" s="1" t="n"/>
    </row>
    <row r="32" ht="18" customHeight="1" s="53">
      <c r="B32" s="44" t="n"/>
      <c r="C32" s="49" t="n"/>
      <c r="D32" s="49" t="n"/>
      <c r="E32" s="49" t="n"/>
      <c r="F32" s="46" t="n"/>
      <c r="G32" s="47" t="n"/>
      <c r="H32" s="45" t="n"/>
      <c r="I32" s="45" t="n"/>
      <c r="J32" s="48" t="n"/>
      <c r="K32" s="48" t="n"/>
      <c r="L32" s="48" t="n"/>
      <c r="M32" s="48" t="n"/>
      <c r="N32" s="49" t="n"/>
      <c r="O32" s="44" t="n"/>
      <c r="P32" s="49" t="n"/>
      <c r="Q32" s="49" t="n"/>
      <c r="R32" s="54" t="n"/>
      <c r="S32" s="48" t="n"/>
      <c r="T32" s="45" t="n"/>
      <c r="U32" s="45" t="n"/>
      <c r="V32" s="48" t="n"/>
      <c r="W32" s="45" t="n"/>
      <c r="X32" s="45" t="n"/>
      <c r="Y32" s="45" t="n"/>
      <c r="Z32" s="45" t="n"/>
      <c r="AA32" s="51" t="n"/>
      <c r="AB32" s="1" t="n"/>
    </row>
    <row r="33" ht="18" customHeight="1" s="53">
      <c r="B33" s="44" t="n"/>
      <c r="C33" s="49" t="n"/>
      <c r="D33" s="49" t="n"/>
      <c r="E33" s="49" t="n"/>
      <c r="F33" s="46" t="n"/>
      <c r="G33" s="47" t="n"/>
      <c r="H33" s="45" t="n"/>
      <c r="I33" s="45" t="n"/>
      <c r="J33" s="48" t="n"/>
      <c r="K33" s="48" t="n"/>
      <c r="L33" s="48" t="n"/>
      <c r="M33" s="48" t="n"/>
      <c r="N33" s="49" t="n"/>
      <c r="O33" s="44" t="n"/>
      <c r="P33" s="49" t="n"/>
      <c r="Q33" s="49" t="n"/>
      <c r="R33" s="54" t="n"/>
      <c r="S33" s="48" t="n"/>
      <c r="T33" s="45" t="n"/>
      <c r="U33" s="45" t="n"/>
      <c r="V33" s="48" t="n"/>
      <c r="W33" s="45" t="n"/>
      <c r="X33" s="45" t="n"/>
      <c r="Y33" s="45" t="n"/>
      <c r="Z33" s="45" t="n"/>
      <c r="AA33" s="51" t="n"/>
      <c r="AB33" s="1" t="n"/>
    </row>
    <row r="34" ht="18" customHeight="1" s="53">
      <c r="B34" s="44" t="n"/>
      <c r="C34" s="49" t="n"/>
      <c r="D34" s="49" t="n"/>
      <c r="E34" s="49" t="n"/>
      <c r="F34" s="46" t="n"/>
      <c r="G34" s="47" t="n"/>
      <c r="H34" s="45" t="n"/>
      <c r="I34" s="45" t="n"/>
      <c r="J34" s="48" t="n"/>
      <c r="K34" s="48" t="n"/>
      <c r="L34" s="48" t="n"/>
      <c r="M34" s="48" t="n"/>
      <c r="N34" s="49" t="n"/>
      <c r="O34" s="44" t="n"/>
      <c r="P34" s="49" t="n"/>
      <c r="Q34" s="49" t="n"/>
      <c r="R34" s="54" t="n"/>
      <c r="S34" s="48" t="n"/>
      <c r="T34" s="45" t="n"/>
      <c r="U34" s="45" t="n"/>
      <c r="V34" s="48" t="n"/>
      <c r="W34" s="45" t="n"/>
      <c r="X34" s="45" t="n"/>
      <c r="Y34" s="45" t="n"/>
      <c r="Z34" s="45" t="n"/>
      <c r="AA34" s="51" t="n"/>
      <c r="AB34" s="1" t="n"/>
    </row>
    <row r="35" ht="18" customHeight="1" s="53">
      <c r="B35" s="44" t="n"/>
      <c r="C35" s="49" t="n"/>
      <c r="D35" s="49" t="n"/>
      <c r="E35" s="49" t="n"/>
      <c r="F35" s="46" t="n"/>
      <c r="G35" s="47" t="n"/>
      <c r="H35" s="45" t="n"/>
      <c r="I35" s="45" t="n"/>
      <c r="J35" s="48" t="n"/>
      <c r="K35" s="48" t="n"/>
      <c r="L35" s="48" t="n"/>
      <c r="M35" s="48" t="n"/>
      <c r="N35" s="49" t="n"/>
      <c r="O35" s="44" t="n"/>
      <c r="P35" s="49" t="n"/>
      <c r="Q35" s="49" t="n"/>
      <c r="R35" s="54" t="n"/>
      <c r="S35" s="48" t="n"/>
      <c r="T35" s="45" t="n"/>
      <c r="U35" s="45" t="n"/>
      <c r="V35" s="48" t="n"/>
      <c r="W35" s="45" t="n"/>
      <c r="X35" s="45" t="n"/>
      <c r="Y35" s="45" t="n"/>
      <c r="Z35" s="45" t="n"/>
      <c r="AA35" s="51" t="n"/>
      <c r="AB35" s="1" t="n"/>
    </row>
    <row r="36" ht="18" customHeight="1" s="53">
      <c r="B36" s="44" t="n"/>
      <c r="C36" s="45" t="n"/>
      <c r="D36" s="45" t="n"/>
      <c r="E36" s="47" t="n"/>
      <c r="F36" s="46" t="n"/>
      <c r="G36" s="47" t="n"/>
      <c r="H36" s="45" t="n"/>
      <c r="I36" s="45" t="n"/>
      <c r="J36" s="48" t="n"/>
      <c r="K36" s="48" t="n"/>
      <c r="L36" s="48" t="n"/>
      <c r="M36" s="48" t="n"/>
      <c r="N36" s="49" t="n"/>
      <c r="O36" s="44" t="n"/>
      <c r="P36" s="49" t="n"/>
      <c r="Q36" s="49" t="n"/>
      <c r="R36" s="54" t="n"/>
      <c r="S36" s="48" t="n"/>
      <c r="T36" s="45" t="n"/>
      <c r="U36" s="45" t="n"/>
      <c r="V36" s="48" t="n"/>
      <c r="W36" s="45" t="n"/>
      <c r="X36" s="45" t="n"/>
      <c r="Y36" s="45" t="n"/>
      <c r="Z36" s="45" t="n"/>
      <c r="AA36" s="51" t="n"/>
      <c r="AB36" s="1" t="n"/>
    </row>
    <row r="37" ht="18" customHeight="1" s="53">
      <c r="B37" s="44" t="n"/>
      <c r="C37" s="45" t="n"/>
      <c r="D37" s="45" t="n"/>
      <c r="E37" s="47" t="n"/>
      <c r="F37" s="46" t="n"/>
      <c r="G37" s="47" t="n"/>
      <c r="H37" s="45" t="n"/>
      <c r="I37" s="45" t="n"/>
      <c r="J37" s="48" t="n"/>
      <c r="K37" s="48" t="n"/>
      <c r="L37" s="48" t="n"/>
      <c r="M37" s="48" t="n"/>
      <c r="N37" s="49" t="n"/>
      <c r="O37" s="44" t="n"/>
      <c r="P37" s="49" t="n"/>
      <c r="Q37" s="49" t="n"/>
      <c r="R37" s="54" t="n"/>
      <c r="S37" s="48" t="n"/>
      <c r="T37" s="45" t="n"/>
      <c r="U37" s="45" t="n"/>
      <c r="V37" s="48" t="n"/>
      <c r="W37" s="45" t="n"/>
      <c r="X37" s="45" t="n"/>
      <c r="Y37" s="45" t="n"/>
      <c r="Z37" s="45" t="n"/>
      <c r="AA37" s="51" t="n"/>
      <c r="AB37" s="1" t="n"/>
    </row>
    <row r="38" ht="18" customHeight="1" s="53">
      <c r="B38" s="44" t="n"/>
      <c r="C38" s="45" t="n"/>
      <c r="D38" s="45" t="n"/>
      <c r="E38" s="47" t="n"/>
      <c r="F38" s="8" t="n"/>
      <c r="G38" s="47" t="n"/>
      <c r="H38" s="45" t="n"/>
      <c r="I38" s="45" t="n"/>
      <c r="J38" s="48" t="n"/>
      <c r="K38" s="48" t="n"/>
      <c r="L38" s="48" t="n"/>
      <c r="M38" s="48" t="n"/>
      <c r="N38" s="49" t="n"/>
      <c r="O38" s="44" t="n"/>
      <c r="P38" s="49" t="n"/>
      <c r="Q38" s="49" t="n"/>
      <c r="R38" s="54" t="n"/>
      <c r="S38" s="48" t="n"/>
      <c r="T38" s="45" t="n"/>
      <c r="U38" s="45" t="n"/>
      <c r="V38" s="48" t="n"/>
      <c r="W38" s="45" t="n"/>
      <c r="X38" s="45" t="n"/>
      <c r="Y38" s="45" t="n"/>
      <c r="Z38" s="45" t="n"/>
      <c r="AA38" s="51" t="n"/>
      <c r="AB38" s="1" t="n"/>
    </row>
    <row r="39" ht="18" customHeight="1" s="53">
      <c r="B39" s="44" t="n"/>
      <c r="C39" s="45" t="n"/>
      <c r="D39" s="45" t="n"/>
      <c r="E39" s="47" t="n"/>
      <c r="F39" s="46" t="n"/>
      <c r="G39" s="47" t="n"/>
      <c r="H39" s="45" t="n"/>
      <c r="I39" s="45" t="n"/>
      <c r="J39" s="48" t="n"/>
      <c r="K39" s="48" t="n"/>
      <c r="L39" s="48" t="n"/>
      <c r="M39" s="48" t="n"/>
      <c r="N39" s="49" t="n"/>
      <c r="O39" s="44" t="n"/>
      <c r="P39" s="49" t="n"/>
      <c r="Q39" s="49" t="n"/>
      <c r="R39" s="54" t="n"/>
      <c r="S39" s="48" t="n"/>
      <c r="T39" s="45" t="n"/>
      <c r="U39" s="45" t="n"/>
      <c r="V39" s="48" t="n"/>
      <c r="W39" s="45" t="n"/>
      <c r="X39" s="45" t="n"/>
      <c r="Y39" s="45" t="n"/>
      <c r="Z39" s="45" t="n"/>
      <c r="AA39" s="51" t="n"/>
      <c r="AB39" s="1" t="n"/>
    </row>
    <row r="40" ht="18" customHeight="1" s="53">
      <c r="B40" s="44" t="n"/>
      <c r="C40" s="45" t="n"/>
      <c r="D40" s="45" t="n"/>
      <c r="E40" s="47" t="n"/>
      <c r="F40" s="46" t="n"/>
      <c r="G40" s="47" t="n"/>
      <c r="H40" s="45" t="n"/>
      <c r="I40" s="45" t="n"/>
      <c r="J40" s="48" t="n"/>
      <c r="K40" s="48" t="n"/>
      <c r="L40" s="48" t="n"/>
      <c r="M40" s="48" t="n"/>
      <c r="N40" s="49" t="n"/>
      <c r="O40" s="44" t="n"/>
      <c r="P40" s="49" t="n"/>
      <c r="Q40" s="49" t="n"/>
      <c r="R40" s="54" t="n"/>
      <c r="S40" s="48" t="n"/>
      <c r="T40" s="45" t="n"/>
      <c r="U40" s="45" t="n"/>
      <c r="V40" s="48" t="n"/>
      <c r="W40" s="45" t="n"/>
      <c r="X40" s="45" t="n"/>
      <c r="Y40" s="45" t="n"/>
      <c r="Z40" s="45" t="n"/>
      <c r="AA40" s="51" t="n"/>
      <c r="AB40" s="1" t="n"/>
    </row>
    <row r="41" ht="18.75" customHeight="1" s="53" thickBot="1">
      <c r="B41" s="44" t="n"/>
      <c r="C41" s="45" t="n"/>
      <c r="D41" s="45" t="n"/>
      <c r="E41" s="47" t="n"/>
      <c r="F41" s="46" t="n"/>
      <c r="G41" s="47" t="n"/>
      <c r="H41" s="45" t="n"/>
      <c r="I41" s="45" t="n"/>
      <c r="J41" s="48" t="n"/>
      <c r="K41" s="48" t="n"/>
      <c r="L41" s="48" t="n"/>
      <c r="M41" s="48" t="n"/>
      <c r="N41" s="36" t="n"/>
      <c r="O41" s="44" t="n"/>
      <c r="P41" s="49" t="n"/>
      <c r="Q41" s="49" t="n"/>
      <c r="R41" s="38" t="n"/>
      <c r="S41" s="48" t="n"/>
      <c r="T41" s="45" t="n"/>
      <c r="U41" s="45" t="n"/>
      <c r="V41" s="48" t="n"/>
      <c r="W41" s="45" t="n"/>
      <c r="X41" s="45" t="n"/>
      <c r="Y41" s="45" t="n"/>
      <c r="Z41" s="45" t="n"/>
      <c r="AA41" s="51" t="n"/>
      <c r="AB41" s="1" t="n"/>
    </row>
    <row r="42" ht="54.75" customHeight="1" s="53" thickBot="1">
      <c r="B42" s="30" t="inlineStr">
        <is>
          <t>cierre mes anterior</t>
        </is>
      </c>
      <c r="C42" s="45" t="inlineStr"/>
      <c r="D42" s="45" t="inlineStr"/>
      <c r="E42" s="45" t="inlineStr"/>
      <c r="F42" s="41" t="inlineStr"/>
      <c r="G42" s="42" t="inlineStr"/>
      <c r="H42" s="54" t="inlineStr"/>
      <c r="I42" s="45" t="inlineStr"/>
      <c r="J42" s="9" t="n"/>
      <c r="K42" s="9" t="n"/>
      <c r="L42" s="9" t="n"/>
      <c r="M42" s="37">
        <f>SUM(M12:M41)</f>
        <v/>
      </c>
      <c r="N42" s="9" t="n"/>
      <c r="O42" s="9" t="n"/>
      <c r="P42" s="9" t="n"/>
      <c r="Q42" s="9" t="n"/>
      <c r="R42" s="18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3">
        <f>AVERAGE(AA12:AA41)</f>
        <v/>
      </c>
    </row>
    <row r="43" ht="18" customHeight="1" s="53">
      <c r="B43" s="31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8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3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8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3">
      <c r="B45" s="9" t="n"/>
      <c r="C45" s="9" t="n"/>
      <c r="D45" s="34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8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 ht="15.75" customHeight="1" s="53">
      <c r="C46" s="32" t="n"/>
      <c r="R46" s="13" t="n"/>
    </row>
    <row r="47">
      <c r="R47" s="13" t="n"/>
    </row>
    <row r="48">
      <c r="R48" s="13" t="n"/>
    </row>
    <row r="49">
      <c r="R49" s="13" t="n"/>
    </row>
    <row r="50">
      <c r="R50" s="13" t="n"/>
    </row>
    <row r="51">
      <c r="R51" s="13" t="n"/>
    </row>
    <row r="52" ht="18" customHeight="1" s="53">
      <c r="R52" s="13" t="n"/>
      <c r="Z52" s="9" t="inlineStr">
        <is>
          <t>Aprobado:</t>
        </is>
      </c>
    </row>
    <row r="53" ht="18" customHeight="1" s="53">
      <c r="R53" s="13" t="n"/>
      <c r="Z53" s="9" t="inlineStr">
        <is>
          <t>Ms.C. Jorge Luis García Santana</t>
        </is>
      </c>
      <c r="AA53" s="9" t="n"/>
    </row>
    <row r="54" ht="18" customHeight="1" s="53">
      <c r="R54" s="13" t="n"/>
      <c r="Z54" s="9" t="inlineStr">
        <is>
          <t>Director General</t>
        </is>
      </c>
      <c r="AA54" s="9" t="n"/>
    </row>
    <row r="55" ht="18" customHeight="1" s="53">
      <c r="R55" s="13" t="n"/>
      <c r="Z55" s="9" t="inlineStr">
        <is>
          <t>Universidad Camaguey</t>
        </is>
      </c>
      <c r="AA55" s="9" t="n"/>
    </row>
    <row r="56">
      <c r="R56" s="13" t="n"/>
    </row>
    <row r="57">
      <c r="R57" s="13" t="n"/>
    </row>
    <row r="58">
      <c r="R58" s="13" t="n"/>
    </row>
    <row r="59">
      <c r="R59" s="13" t="n"/>
    </row>
    <row r="60">
      <c r="R60" s="13" t="n"/>
    </row>
    <row r="61">
      <c r="R61" s="13" t="n"/>
    </row>
  </sheetData>
  <mergeCells count="10">
    <mergeCell ref="X8:AA8"/>
    <mergeCell ref="C8:I8"/>
    <mergeCell ref="J8:M8"/>
    <mergeCell ref="C5:D5"/>
    <mergeCell ref="Q8:Q9"/>
    <mergeCell ref="B8:B9"/>
    <mergeCell ref="AB8:A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AB61"/>
  <sheetViews>
    <sheetView zoomScale="66" zoomScaleNormal="66" zoomScaleSheetLayoutView="70" workbookViewId="0">
      <selection activeCell="A7" sqref="A7:XFD7"/>
    </sheetView>
  </sheetViews>
  <sheetFormatPr baseColWidth="10" defaultColWidth="11.42578125" defaultRowHeight="15"/>
  <cols>
    <col width="11.42578125" customWidth="1" style="53" min="1" max="2"/>
    <col width="12.28515625" bestFit="1" customWidth="1" style="53" min="3" max="3"/>
    <col width="16.7109375" customWidth="1" style="53" min="4" max="4"/>
    <col width="11.42578125" customWidth="1" style="53" min="5" max="5"/>
    <col width="12.28515625" customWidth="1" style="53" min="6" max="6"/>
    <col width="11.42578125" customWidth="1" style="53" min="7" max="7"/>
    <col width="12.28515625" bestFit="1" customWidth="1" style="53" min="8" max="9"/>
    <col width="18.28515625" customWidth="1" style="53" min="13" max="13"/>
    <col width="12.7109375" customWidth="1" style="53" min="14" max="14"/>
    <col width="13.42578125" bestFit="1" customWidth="1" style="53" min="16" max="16"/>
    <col width="13.140625" customWidth="1" style="53" min="17" max="17"/>
    <col width="14.7109375" bestFit="1" customWidth="1" style="53" min="20" max="20"/>
    <col width="11.7109375" bestFit="1" customWidth="1" style="53" min="21" max="21"/>
    <col width="13.28515625" bestFit="1" customWidth="1" style="53" min="22" max="22"/>
    <col width="12.5703125" bestFit="1" customWidth="1" style="53" min="23" max="23"/>
    <col width="11.5703125" bestFit="1" customWidth="1" style="53" min="24" max="24"/>
    <col width="14" bestFit="1" customWidth="1" style="53" min="25" max="25"/>
    <col width="13.42578125" bestFit="1" customWidth="1" style="53" min="26" max="26"/>
    <col width="15.140625" customWidth="1" style="53" min="27" max="27"/>
    <col width="16.140625" customWidth="1" style="53" min="28" max="28"/>
  </cols>
  <sheetData>
    <row r="2" ht="15.75" customHeight="1" s="53">
      <c r="G2" s="23" t="inlineStr">
        <is>
          <t xml:space="preserve">                                                                        ANEXO No. 1.</t>
        </is>
      </c>
    </row>
    <row r="3" ht="15.75" customHeight="1" s="53">
      <c r="G3" s="23" t="inlineStr">
        <is>
          <t xml:space="preserve">                                                                  TABLA 1A</t>
        </is>
      </c>
    </row>
    <row r="4" ht="15.75" customHeight="1" s="53">
      <c r="G4" s="24" t="inlineStr">
        <is>
          <t xml:space="preserve">Cumplimiento del plan de consumo de energía eléctrica total, mes: </t>
        </is>
      </c>
      <c r="N4" s="33" t="inlineStr">
        <is>
          <t>abril-2024</t>
        </is>
      </c>
    </row>
    <row r="5">
      <c r="C5" s="61" t="inlineStr">
        <is>
          <t>SRVICIO: AREA CULTURAL</t>
        </is>
      </c>
      <c r="T5" s="40" t="n"/>
      <c r="U5" s="40" t="inlineStr">
        <is>
          <t>total</t>
        </is>
      </c>
      <c r="V5" s="40" t="inlineStr">
        <is>
          <t>diaria</t>
        </is>
      </c>
    </row>
    <row r="6" ht="15.75" customHeight="1" s="53">
      <c r="C6" t="inlineStr">
        <is>
          <t>SERVICIO: AREA CULTURAL</t>
        </is>
      </c>
      <c r="N6" s="11" t="inlineStr">
        <is>
          <t>Plan Pico N</t>
        </is>
      </c>
      <c r="O6" s="26">
        <f>S6*16.5%</f>
        <v/>
      </c>
      <c r="P6" s="27" t="inlineStr">
        <is>
          <t>Plan Pico D</t>
        </is>
      </c>
      <c r="Q6" s="10">
        <f>(S6*8)/100</f>
        <v/>
      </c>
      <c r="R6" s="14" t="inlineStr">
        <is>
          <t>PLAN MES</t>
        </is>
      </c>
      <c r="S6" s="10" t="n">
        <v>21000</v>
      </c>
      <c r="T6" s="40" t="inlineStr">
        <is>
          <t>Perdidas:</t>
        </is>
      </c>
      <c r="U6" s="40" t="n">
        <v>4811</v>
      </c>
      <c r="V6" s="39">
        <f>U6/30</f>
        <v/>
      </c>
    </row>
    <row r="7" ht="15.75" customHeight="1" s="53">
      <c r="N7" s="11" t="n"/>
      <c r="O7" s="26" t="n"/>
      <c r="P7" s="27" t="n"/>
      <c r="Q7" s="10" t="n"/>
      <c r="R7" s="14" t="n"/>
      <c r="S7" s="10" t="n"/>
      <c r="T7" s="40" t="n"/>
      <c r="U7" s="40" t="n"/>
      <c r="V7" s="39" t="n"/>
    </row>
    <row r="8" ht="46.5" customHeight="1" s="53">
      <c r="B8" s="59" t="inlineStr">
        <is>
          <t>Día</t>
        </is>
      </c>
      <c r="C8" s="56" t="inlineStr">
        <is>
          <t>Lectura del contador</t>
        </is>
      </c>
      <c r="D8" s="62" t="n"/>
      <c r="E8" s="62" t="n"/>
      <c r="F8" s="62" t="n"/>
      <c r="G8" s="62" t="n"/>
      <c r="H8" s="62" t="n"/>
      <c r="I8" s="63" t="n"/>
      <c r="J8" s="56" t="inlineStr">
        <is>
          <t>Consumo diario kWh y kvarh</t>
        </is>
      </c>
      <c r="K8" s="62" t="n"/>
      <c r="L8" s="62" t="n"/>
      <c r="M8" s="63" t="n"/>
      <c r="N8" s="56" t="inlineStr">
        <is>
          <t>Consumo diario Pico nocturno kWh</t>
        </is>
      </c>
      <c r="O8" s="62" t="n"/>
      <c r="P8" s="63" t="n"/>
      <c r="Q8" s="57" t="inlineStr">
        <is>
          <t>Consumo diario pico Diurno kWh</t>
        </is>
      </c>
      <c r="R8" s="56" t="inlineStr">
        <is>
          <t>Consumo diario total kWh</t>
        </is>
      </c>
      <c r="S8" s="62" t="n"/>
      <c r="T8" s="63" t="n"/>
      <c r="U8" s="56" t="inlineStr">
        <is>
          <t>Consumo acumulado Pico kWh</t>
        </is>
      </c>
      <c r="V8" s="62" t="n"/>
      <c r="W8" s="63" t="n"/>
      <c r="X8" s="56" t="inlineStr">
        <is>
          <t>Consumo acumulado Total kWh</t>
        </is>
      </c>
      <c r="Y8" s="62" t="n"/>
      <c r="Z8" s="62" t="n"/>
      <c r="AA8" s="63" t="n"/>
      <c r="AB8" s="57" t="inlineStr">
        <is>
          <t>Firma Responsable</t>
        </is>
      </c>
    </row>
    <row r="9" ht="30" customHeight="1" s="53">
      <c r="B9" s="64" t="n"/>
      <c r="C9" s="59" t="inlineStr">
        <is>
          <t>MAD</t>
        </is>
      </c>
      <c r="D9" s="59" t="inlineStr">
        <is>
          <t>DIA</t>
        </is>
      </c>
      <c r="E9" s="59" t="inlineStr">
        <is>
          <t>PICO</t>
        </is>
      </c>
      <c r="F9" s="59" t="inlineStr">
        <is>
          <t>TOTAL</t>
        </is>
      </c>
      <c r="G9" s="59" t="inlineStr">
        <is>
          <t>Pico Diurno 11 am</t>
        </is>
      </c>
      <c r="H9" s="59" t="inlineStr">
        <is>
          <t>Pico Diurno 1 pm</t>
        </is>
      </c>
      <c r="I9" s="59" t="inlineStr">
        <is>
          <t>REACT</t>
        </is>
      </c>
      <c r="J9" s="59" t="inlineStr">
        <is>
          <t>MAD</t>
        </is>
      </c>
      <c r="K9" s="59" t="inlineStr">
        <is>
          <t>DIA</t>
        </is>
      </c>
      <c r="L9" s="59" t="inlineStr">
        <is>
          <t>PICO</t>
        </is>
      </c>
      <c r="M9" s="59" t="inlineStr">
        <is>
          <t>REACT</t>
        </is>
      </c>
      <c r="N9" s="59" t="inlineStr">
        <is>
          <t>Plan Pico</t>
        </is>
      </c>
      <c r="O9" s="59" t="inlineStr">
        <is>
          <t>Real Pico</t>
        </is>
      </c>
      <c r="P9" s="59" t="inlineStr">
        <is>
          <t>Plan - Real</t>
        </is>
      </c>
      <c r="Q9" s="64" t="n"/>
      <c r="R9" s="15" t="inlineStr">
        <is>
          <t>Plan</t>
        </is>
      </c>
      <c r="S9" s="59" t="inlineStr">
        <is>
          <t>Real</t>
        </is>
      </c>
      <c r="T9" s="59" t="inlineStr">
        <is>
          <t>Plan - Real</t>
        </is>
      </c>
      <c r="U9" s="59" t="inlineStr">
        <is>
          <t>Plan Pico</t>
        </is>
      </c>
      <c r="V9" s="59" t="inlineStr">
        <is>
          <t>Real Pico</t>
        </is>
      </c>
      <c r="W9" s="59" t="inlineStr">
        <is>
          <t>Plan - Real</t>
        </is>
      </c>
      <c r="X9" s="59" t="inlineStr">
        <is>
          <t>Plan</t>
        </is>
      </c>
      <c r="Y9" s="59" t="inlineStr">
        <is>
          <t>Real</t>
        </is>
      </c>
      <c r="Z9" s="28" t="inlineStr">
        <is>
          <t>Plan   - Real</t>
        </is>
      </c>
      <c r="AA9" s="59" t="inlineStr">
        <is>
          <t>FP</t>
        </is>
      </c>
      <c r="AB9" s="64" t="n"/>
    </row>
    <row r="10">
      <c r="B10" s="29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6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3">
      <c r="B11" s="44" t="n"/>
      <c r="C11" s="44" t="n"/>
      <c r="D11" s="44" t="n"/>
      <c r="E11" s="44" t="n"/>
      <c r="F11" s="46" t="n"/>
      <c r="G11" s="47" t="n"/>
      <c r="H11" s="45" t="n"/>
      <c r="I11" s="45" t="n"/>
      <c r="J11" s="48" t="n"/>
      <c r="K11" s="48" t="n"/>
      <c r="L11" s="48" t="n"/>
      <c r="M11" s="48" t="n"/>
      <c r="N11" s="49" t="n"/>
      <c r="O11" s="50" t="n"/>
      <c r="P11" s="49" t="n"/>
      <c r="Q11" s="49" t="n"/>
      <c r="R11" s="54" t="n"/>
      <c r="S11" s="48" t="n"/>
      <c r="T11" s="45" t="n"/>
      <c r="U11" s="45" t="n"/>
      <c r="V11" s="45" t="n"/>
      <c r="W11" s="45" t="n"/>
      <c r="X11" s="45" t="n"/>
      <c r="Y11" s="45" t="n"/>
      <c r="Z11" s="45" t="n"/>
      <c r="AA11" s="51" t="n"/>
      <c r="AB11" s="52" t="n"/>
    </row>
    <row r="12" ht="18" customHeight="1" s="53">
      <c r="B12" s="44" t="n"/>
      <c r="C12" s="49" t="n"/>
      <c r="D12" s="49" t="n"/>
      <c r="E12" s="49" t="n"/>
      <c r="F12" s="46" t="n"/>
      <c r="G12" s="47" t="n"/>
      <c r="H12" s="45" t="n"/>
      <c r="I12" s="45" t="n"/>
      <c r="J12" s="48" t="n"/>
      <c r="K12" s="48" t="n"/>
      <c r="L12" s="48" t="n"/>
      <c r="M12" s="48" t="n"/>
      <c r="N12" s="49" t="n"/>
      <c r="O12" s="50" t="n"/>
      <c r="P12" s="49" t="n"/>
      <c r="Q12" s="49" t="n"/>
      <c r="R12" s="54" t="n"/>
      <c r="S12" s="48" t="n"/>
      <c r="T12" s="45" t="n"/>
      <c r="U12" s="45" t="n"/>
      <c r="V12" s="45" t="n"/>
      <c r="W12" s="45" t="n"/>
      <c r="X12" s="45" t="n"/>
      <c r="Y12" s="45" t="n"/>
      <c r="Z12" s="45" t="n"/>
      <c r="AA12" s="51" t="n"/>
      <c r="AB12" s="52" t="n"/>
    </row>
    <row r="13" ht="18" customHeight="1" s="53">
      <c r="B13" s="44" t="n"/>
      <c r="C13" s="49" t="n"/>
      <c r="D13" s="49" t="n"/>
      <c r="E13" s="49" t="n"/>
      <c r="F13" s="46" t="n"/>
      <c r="G13" s="47" t="n"/>
      <c r="H13" s="45" t="n"/>
      <c r="I13" s="45" t="n"/>
      <c r="J13" s="48" t="n"/>
      <c r="K13" s="48" t="n"/>
      <c r="L13" s="48" t="n"/>
      <c r="M13" s="48" t="n"/>
      <c r="N13" s="49" t="n"/>
      <c r="O13" s="50" t="n"/>
      <c r="P13" s="49" t="n"/>
      <c r="Q13" s="49" t="n"/>
      <c r="R13" s="54" t="n"/>
      <c r="S13" s="48" t="n"/>
      <c r="T13" s="45" t="n"/>
      <c r="U13" s="45" t="n"/>
      <c r="V13" s="45" t="n"/>
      <c r="W13" s="45" t="n"/>
      <c r="X13" s="45" t="n"/>
      <c r="Y13" s="45" t="n"/>
      <c r="Z13" s="45" t="n"/>
      <c r="AA13" s="51" t="n"/>
      <c r="AB13" s="52" t="n"/>
    </row>
    <row r="14" ht="18" customHeight="1" s="53">
      <c r="B14" s="44" t="n"/>
      <c r="C14" s="49" t="n"/>
      <c r="D14" s="49" t="n"/>
      <c r="E14" s="49" t="n"/>
      <c r="F14" s="46" t="n"/>
      <c r="G14" s="47" t="n"/>
      <c r="H14" s="45" t="n"/>
      <c r="I14" s="45" t="n"/>
      <c r="J14" s="45" t="n"/>
      <c r="K14" s="48" t="n"/>
      <c r="L14" s="48" t="n"/>
      <c r="M14" s="48" t="n"/>
      <c r="N14" s="49" t="n"/>
      <c r="O14" s="50" t="n"/>
      <c r="P14" s="49" t="n"/>
      <c r="Q14" s="49" t="n"/>
      <c r="R14" s="54" t="n"/>
      <c r="S14" s="48" t="n"/>
      <c r="T14" s="45" t="n"/>
      <c r="U14" s="45" t="n"/>
      <c r="V14" s="45" t="n"/>
      <c r="W14" s="45" t="n"/>
      <c r="X14" s="45" t="n"/>
      <c r="Y14" s="45" t="n"/>
      <c r="Z14" s="45" t="n"/>
      <c r="AA14" s="51" t="n"/>
      <c r="AB14" s="52" t="n"/>
    </row>
    <row r="15" ht="18" customHeight="1" s="53">
      <c r="B15" s="44" t="n"/>
      <c r="C15" s="49" t="n"/>
      <c r="D15" s="49" t="n"/>
      <c r="E15" s="49" t="n"/>
      <c r="F15" s="46" t="n"/>
      <c r="G15" s="47" t="n"/>
      <c r="H15" s="45" t="n"/>
      <c r="I15" s="45" t="n"/>
      <c r="J15" s="48" t="n"/>
      <c r="K15" s="48" t="n"/>
      <c r="L15" s="48" t="n"/>
      <c r="M15" s="48" t="n"/>
      <c r="N15" s="49" t="n"/>
      <c r="O15" s="50" t="n"/>
      <c r="P15" s="49" t="n"/>
      <c r="Q15" s="49" t="n"/>
      <c r="R15" s="54" t="n"/>
      <c r="S15" s="48" t="n"/>
      <c r="T15" s="45" t="n"/>
      <c r="U15" s="45" t="n"/>
      <c r="V15" s="45" t="n"/>
      <c r="W15" s="45" t="n"/>
      <c r="X15" s="45" t="n"/>
      <c r="Y15" s="45" t="n"/>
      <c r="Z15" s="45" t="n"/>
      <c r="AA15" s="51" t="n"/>
      <c r="AB15" s="52" t="n"/>
    </row>
    <row r="16" ht="18" customHeight="1" s="53">
      <c r="B16" s="44" t="n"/>
      <c r="C16" s="49" t="n"/>
      <c r="D16" s="49" t="n"/>
      <c r="E16" s="49" t="n"/>
      <c r="F16" s="46" t="n"/>
      <c r="G16" s="47" t="n"/>
      <c r="H16" s="45" t="n"/>
      <c r="I16" s="45" t="n"/>
      <c r="J16" s="48" t="n"/>
      <c r="K16" s="48" t="n"/>
      <c r="L16" s="48" t="n"/>
      <c r="M16" s="48" t="n"/>
      <c r="N16" s="49" t="n"/>
      <c r="O16" s="50" t="n"/>
      <c r="P16" s="49" t="n"/>
      <c r="Q16" s="49" t="n"/>
      <c r="R16" s="54" t="n"/>
      <c r="S16" s="48" t="n"/>
      <c r="T16" s="45" t="n"/>
      <c r="U16" s="45" t="n"/>
      <c r="V16" s="45" t="n"/>
      <c r="W16" s="45" t="n"/>
      <c r="X16" s="45" t="n"/>
      <c r="Y16" s="45" t="n"/>
      <c r="Z16" s="45" t="n"/>
      <c r="AA16" s="51" t="n"/>
      <c r="AB16" s="52" t="n"/>
    </row>
    <row r="17" ht="18" customHeight="1" s="53">
      <c r="B17" s="44" t="n"/>
      <c r="C17" s="49" t="n"/>
      <c r="D17" s="49" t="n"/>
      <c r="E17" s="49" t="n"/>
      <c r="F17" s="46" t="n"/>
      <c r="G17" s="47" t="n"/>
      <c r="H17" s="45" t="n"/>
      <c r="I17" s="45" t="n"/>
      <c r="J17" s="48" t="n"/>
      <c r="K17" s="48" t="n"/>
      <c r="L17" s="48" t="n"/>
      <c r="M17" s="48" t="n"/>
      <c r="N17" s="49" t="n"/>
      <c r="O17" s="50" t="n"/>
      <c r="P17" s="49" t="n"/>
      <c r="Q17" s="49" t="n"/>
      <c r="R17" s="54" t="n"/>
      <c r="S17" s="48" t="n"/>
      <c r="T17" s="45" t="n"/>
      <c r="U17" s="45" t="n"/>
      <c r="V17" s="45" t="n"/>
      <c r="W17" s="45" t="n"/>
      <c r="X17" s="45" t="n"/>
      <c r="Y17" s="45" t="n"/>
      <c r="Z17" s="45" t="n"/>
      <c r="AA17" s="51" t="n"/>
      <c r="AB17" s="52" t="n"/>
    </row>
    <row r="18" ht="18" customHeight="1" s="53">
      <c r="B18" s="44" t="n"/>
      <c r="C18" s="49" t="n"/>
      <c r="D18" s="49" t="n"/>
      <c r="E18" s="49" t="n"/>
      <c r="F18" s="46" t="n"/>
      <c r="G18" s="47" t="n"/>
      <c r="H18" s="45" t="n"/>
      <c r="I18" s="45" t="n"/>
      <c r="J18" s="48" t="n"/>
      <c r="K18" s="48" t="n"/>
      <c r="L18" s="48" t="n"/>
      <c r="M18" s="48" t="n"/>
      <c r="N18" s="49" t="n"/>
      <c r="O18" s="50" t="n"/>
      <c r="P18" s="49" t="n"/>
      <c r="Q18" s="49" t="n"/>
      <c r="R18" s="54" t="n"/>
      <c r="S18" s="48" t="n"/>
      <c r="T18" s="45" t="n"/>
      <c r="U18" s="45" t="n"/>
      <c r="V18" s="45" t="n"/>
      <c r="W18" s="45" t="n"/>
      <c r="X18" s="45" t="n"/>
      <c r="Y18" s="45" t="n"/>
      <c r="Z18" s="45" t="n"/>
      <c r="AA18" s="51" t="n"/>
      <c r="AB18" s="52" t="n"/>
    </row>
    <row r="19" ht="18" customHeight="1" s="53">
      <c r="B19" s="44" t="n"/>
      <c r="C19" s="49" t="n"/>
      <c r="D19" s="49" t="n"/>
      <c r="E19" s="49" t="n"/>
      <c r="F19" s="46" t="n"/>
      <c r="G19" s="47" t="n"/>
      <c r="H19" s="45" t="n"/>
      <c r="I19" s="45" t="n"/>
      <c r="J19" s="48" t="n"/>
      <c r="K19" s="48" t="n"/>
      <c r="L19" s="48" t="n"/>
      <c r="M19" s="48" t="n"/>
      <c r="N19" s="49" t="n"/>
      <c r="O19" s="44" t="n"/>
      <c r="P19" s="49" t="n"/>
      <c r="Q19" s="49" t="n"/>
      <c r="R19" s="54" t="n"/>
      <c r="S19" s="48" t="n"/>
      <c r="T19" s="45" t="n"/>
      <c r="U19" s="45" t="n"/>
      <c r="V19" s="45" t="n"/>
      <c r="W19" s="45" t="n"/>
      <c r="X19" s="45" t="n"/>
      <c r="Y19" s="45" t="n"/>
      <c r="Z19" s="45" t="n"/>
      <c r="AA19" s="51" t="n"/>
      <c r="AB19" s="1" t="n"/>
    </row>
    <row r="20" ht="18" customHeight="1" s="53">
      <c r="B20" s="44" t="n"/>
      <c r="C20" s="49" t="n"/>
      <c r="D20" s="49" t="n"/>
      <c r="E20" s="49" t="n"/>
      <c r="F20" s="46" t="n"/>
      <c r="G20" s="47" t="n"/>
      <c r="H20" s="45" t="n"/>
      <c r="I20" s="45" t="n"/>
      <c r="J20" s="48" t="n"/>
      <c r="K20" s="48" t="n"/>
      <c r="L20" s="48" t="n"/>
      <c r="M20" s="48" t="n"/>
      <c r="N20" s="49" t="n"/>
      <c r="O20" s="44" t="n"/>
      <c r="P20" s="49" t="n"/>
      <c r="Q20" s="49" t="n"/>
      <c r="R20" s="54" t="n"/>
      <c r="S20" s="48" t="n"/>
      <c r="T20" s="45" t="n"/>
      <c r="U20" s="45" t="n"/>
      <c r="V20" s="45" t="n"/>
      <c r="W20" s="45" t="n"/>
      <c r="X20" s="45" t="n"/>
      <c r="Y20" s="45" t="n"/>
      <c r="Z20" s="45" t="n"/>
      <c r="AA20" s="51" t="n"/>
      <c r="AB20" s="1" t="n"/>
    </row>
    <row r="21" ht="18" customHeight="1" s="53">
      <c r="B21" s="44" t="n"/>
      <c r="C21" s="49" t="n"/>
      <c r="D21" s="49" t="n"/>
      <c r="E21" s="49" t="n"/>
      <c r="F21" s="46" t="n"/>
      <c r="G21" s="47" t="n"/>
      <c r="H21" s="45" t="n"/>
      <c r="I21" s="45" t="n"/>
      <c r="J21" s="48" t="n"/>
      <c r="K21" s="48" t="n"/>
      <c r="L21" s="48" t="n"/>
      <c r="M21" s="48" t="n"/>
      <c r="N21" s="49" t="n"/>
      <c r="O21" s="44" t="n"/>
      <c r="P21" s="49" t="n"/>
      <c r="Q21" s="49" t="n"/>
      <c r="R21" s="54" t="n"/>
      <c r="S21" s="48" t="n"/>
      <c r="T21" s="45" t="n"/>
      <c r="U21" s="45" t="n"/>
      <c r="V21" s="45" t="n"/>
      <c r="W21" s="45" t="n"/>
      <c r="X21" s="45" t="n"/>
      <c r="Y21" s="45" t="n"/>
      <c r="Z21" s="45" t="n"/>
      <c r="AA21" s="51" t="n"/>
      <c r="AB21" s="1" t="n"/>
    </row>
    <row r="22" ht="18" customHeight="1" s="53">
      <c r="B22" s="44" t="n"/>
      <c r="C22" s="49" t="n"/>
      <c r="D22" s="49" t="n"/>
      <c r="E22" s="49" t="n"/>
      <c r="F22" s="8" t="n"/>
      <c r="G22" s="47" t="n"/>
      <c r="H22" s="45" t="n"/>
      <c r="I22" s="45" t="n"/>
      <c r="J22" s="48" t="n"/>
      <c r="K22" s="48" t="n"/>
      <c r="L22" s="48" t="n"/>
      <c r="M22" s="48" t="n"/>
      <c r="N22" s="49" t="n"/>
      <c r="O22" s="44" t="n"/>
      <c r="P22" s="49" t="n"/>
      <c r="Q22" s="49" t="n"/>
      <c r="R22" s="54" t="n"/>
      <c r="S22" s="48" t="n"/>
      <c r="T22" s="45" t="n"/>
      <c r="U22" s="45" t="n"/>
      <c r="V22" s="45" t="n"/>
      <c r="W22" s="45" t="n"/>
      <c r="X22" s="45" t="n"/>
      <c r="Y22" s="45" t="n"/>
      <c r="Z22" s="45" t="n"/>
      <c r="AA22" s="51" t="n"/>
      <c r="AB22" s="1" t="n"/>
    </row>
    <row r="23" ht="18" customHeight="1" s="53">
      <c r="B23" s="44" t="n"/>
      <c r="C23" s="49" t="n"/>
      <c r="D23" s="49" t="n"/>
      <c r="E23" s="49" t="n"/>
      <c r="F23" s="46" t="n"/>
      <c r="G23" s="47" t="n"/>
      <c r="H23" s="45" t="n"/>
      <c r="I23" s="45" t="n"/>
      <c r="J23" s="48" t="n"/>
      <c r="K23" s="48" t="n"/>
      <c r="L23" s="48" t="n"/>
      <c r="M23" s="48" t="n"/>
      <c r="N23" s="49" t="n"/>
      <c r="O23" s="44" t="n"/>
      <c r="P23" s="49" t="n"/>
      <c r="Q23" s="49" t="n"/>
      <c r="R23" s="54" t="n"/>
      <c r="S23" s="48" t="n"/>
      <c r="T23" s="45" t="n"/>
      <c r="U23" s="45" t="n"/>
      <c r="V23" s="45" t="n"/>
      <c r="W23" s="45" t="n"/>
      <c r="X23" s="45" t="n"/>
      <c r="Y23" s="45" t="n"/>
      <c r="Z23" s="45" t="n"/>
      <c r="AA23" s="51" t="n"/>
      <c r="AB23" s="1" t="n"/>
    </row>
    <row r="24" ht="18" customHeight="1" s="53">
      <c r="B24" s="44" t="n"/>
      <c r="C24" s="49" t="n"/>
      <c r="D24" s="49" t="n"/>
      <c r="E24" s="49" t="n"/>
      <c r="F24" s="46" t="n"/>
      <c r="G24" s="47" t="n"/>
      <c r="H24" s="45" t="n"/>
      <c r="I24" s="45" t="n"/>
      <c r="J24" s="48" t="n"/>
      <c r="K24" s="48" t="n"/>
      <c r="L24" s="48" t="n"/>
      <c r="M24" s="48" t="n"/>
      <c r="N24" s="49" t="n"/>
      <c r="O24" s="44" t="n"/>
      <c r="P24" s="49" t="n"/>
      <c r="Q24" s="49" t="n"/>
      <c r="R24" s="54" t="n"/>
      <c r="S24" s="48" t="n"/>
      <c r="T24" s="45" t="n"/>
      <c r="U24" s="45" t="n"/>
      <c r="V24" s="45" t="n"/>
      <c r="W24" s="45" t="n"/>
      <c r="X24" s="45" t="n"/>
      <c r="Y24" s="45" t="n"/>
      <c r="Z24" s="45" t="n"/>
      <c r="AA24" s="51" t="n"/>
      <c r="AB24" s="1" t="n"/>
    </row>
    <row r="25" ht="18" customHeight="1" s="53">
      <c r="B25" s="44" t="n"/>
      <c r="C25" s="49" t="n"/>
      <c r="D25" s="49" t="n"/>
      <c r="E25" s="49" t="n"/>
      <c r="F25" s="46" t="n"/>
      <c r="G25" s="47" t="n"/>
      <c r="H25" s="45" t="n"/>
      <c r="I25" s="45" t="n"/>
      <c r="J25" s="48" t="n"/>
      <c r="K25" s="48" t="n"/>
      <c r="L25" s="48" t="n"/>
      <c r="M25" s="45" t="n"/>
      <c r="N25" s="49" t="n"/>
      <c r="O25" s="44" t="n"/>
      <c r="P25" s="49" t="n"/>
      <c r="Q25" s="49" t="n"/>
      <c r="R25" s="54" t="n"/>
      <c r="S25" s="48" t="n"/>
      <c r="T25" s="45" t="n"/>
      <c r="U25" s="45" t="n"/>
      <c r="V25" s="48" t="n"/>
      <c r="W25" s="45" t="n"/>
      <c r="X25" s="45" t="n"/>
      <c r="Y25" s="45" t="n"/>
      <c r="Z25" s="45" t="n"/>
      <c r="AA25" s="51" t="n"/>
      <c r="AB25" s="1" t="n"/>
    </row>
    <row r="26" ht="18" customHeight="1" s="53">
      <c r="B26" s="44" t="n"/>
      <c r="C26" s="49" t="n"/>
      <c r="D26" s="49" t="n"/>
      <c r="E26" s="49" t="n"/>
      <c r="F26" s="46" t="n"/>
      <c r="G26" s="47" t="n"/>
      <c r="H26" s="45" t="n"/>
      <c r="I26" s="45" t="n"/>
      <c r="J26" s="48" t="n"/>
      <c r="K26" s="48" t="n"/>
      <c r="L26" s="48" t="n"/>
      <c r="M26" s="45" t="n"/>
      <c r="N26" s="49" t="n"/>
      <c r="O26" s="44" t="n"/>
      <c r="P26" s="49" t="n"/>
      <c r="Q26" s="49" t="n"/>
      <c r="R26" s="54" t="n"/>
      <c r="S26" s="48" t="n"/>
      <c r="T26" s="45" t="n"/>
      <c r="U26" s="45" t="n"/>
      <c r="V26" s="48" t="n"/>
      <c r="W26" s="45" t="n"/>
      <c r="X26" s="45" t="n"/>
      <c r="Y26" s="45" t="n"/>
      <c r="Z26" s="45" t="n"/>
      <c r="AA26" s="51" t="n"/>
      <c r="AB26" s="1" t="n"/>
    </row>
    <row r="27" ht="18" customHeight="1" s="53">
      <c r="B27" s="44" t="n"/>
      <c r="C27" s="49" t="n"/>
      <c r="D27" s="49" t="n"/>
      <c r="E27" s="49" t="n"/>
      <c r="F27" s="46" t="n"/>
      <c r="G27" s="47" t="n"/>
      <c r="H27" s="45" t="n"/>
      <c r="I27" s="45" t="n"/>
      <c r="J27" s="48" t="n"/>
      <c r="K27" s="48" t="n"/>
      <c r="L27" s="48" t="n"/>
      <c r="M27" s="45" t="n"/>
      <c r="N27" s="49" t="n"/>
      <c r="O27" s="44" t="n"/>
      <c r="P27" s="49" t="n"/>
      <c r="Q27" s="49" t="n"/>
      <c r="R27" s="54" t="n"/>
      <c r="S27" s="48" t="n"/>
      <c r="T27" s="45" t="n"/>
      <c r="U27" s="45" t="n"/>
      <c r="V27" s="48" t="n"/>
      <c r="W27" s="45" t="n"/>
      <c r="X27" s="45" t="n"/>
      <c r="Y27" s="45" t="n"/>
      <c r="Z27" s="45" t="n"/>
      <c r="AA27" s="51" t="n"/>
      <c r="AB27" s="1" t="n"/>
    </row>
    <row r="28" ht="18" customHeight="1" s="53">
      <c r="B28" s="44" t="n"/>
      <c r="C28" s="49" t="n"/>
      <c r="D28" s="49" t="n"/>
      <c r="E28" s="49" t="n"/>
      <c r="F28" s="46" t="n"/>
      <c r="G28" s="47" t="n"/>
      <c r="H28" s="45" t="n"/>
      <c r="I28" s="45" t="n"/>
      <c r="J28" s="48" t="n"/>
      <c r="K28" s="48" t="n"/>
      <c r="L28" s="48" t="n"/>
      <c r="M28" s="45" t="n"/>
      <c r="N28" s="49" t="n"/>
      <c r="O28" s="44" t="n"/>
      <c r="P28" s="49" t="n"/>
      <c r="Q28" s="49" t="n"/>
      <c r="R28" s="54" t="n"/>
      <c r="S28" s="48" t="n"/>
      <c r="T28" s="45" t="n"/>
      <c r="U28" s="45" t="n"/>
      <c r="V28" s="48" t="n"/>
      <c r="W28" s="45" t="n"/>
      <c r="X28" s="45" t="n"/>
      <c r="Y28" s="45" t="n"/>
      <c r="Z28" s="45" t="n"/>
      <c r="AA28" s="51" t="n"/>
      <c r="AB28" s="1" t="n"/>
    </row>
    <row r="29" ht="18" customHeight="1" s="53">
      <c r="B29" s="44" t="n"/>
      <c r="C29" s="49" t="n"/>
      <c r="D29" s="49" t="n"/>
      <c r="E29" s="49" t="n"/>
      <c r="F29" s="46" t="n"/>
      <c r="G29" s="47" t="n"/>
      <c r="H29" s="45" t="n"/>
      <c r="I29" s="45" t="n"/>
      <c r="J29" s="48" t="n"/>
      <c r="K29" s="48" t="n"/>
      <c r="L29" s="48" t="n"/>
      <c r="M29" s="48" t="n"/>
      <c r="N29" s="49" t="n"/>
      <c r="O29" s="44" t="n"/>
      <c r="P29" s="49" t="n"/>
      <c r="Q29" s="49" t="n"/>
      <c r="R29" s="54" t="n"/>
      <c r="S29" s="48" t="n"/>
      <c r="T29" s="45" t="n"/>
      <c r="U29" s="45" t="n"/>
      <c r="V29" s="48" t="n"/>
      <c r="W29" s="45" t="n"/>
      <c r="X29" s="45" t="n"/>
      <c r="Y29" s="45" t="n"/>
      <c r="Z29" s="45" t="n"/>
      <c r="AA29" s="51" t="n"/>
      <c r="AB29" s="1" t="n"/>
    </row>
    <row r="30" ht="18" customHeight="1" s="53">
      <c r="B30" s="44" t="n"/>
      <c r="C30" s="49" t="n"/>
      <c r="D30" s="49" t="n"/>
      <c r="E30" s="49" t="n"/>
      <c r="F30" s="46" t="n"/>
      <c r="G30" s="47" t="n"/>
      <c r="H30" s="45" t="n"/>
      <c r="I30" s="45" t="n"/>
      <c r="J30" s="48" t="n"/>
      <c r="K30" s="48" t="n"/>
      <c r="L30" s="48" t="n"/>
      <c r="M30" s="48" t="n"/>
      <c r="N30" s="49" t="n"/>
      <c r="O30" s="44" t="n"/>
      <c r="P30" s="49" t="n"/>
      <c r="Q30" s="49" t="n"/>
      <c r="R30" s="54" t="n"/>
      <c r="S30" s="48" t="n"/>
      <c r="T30" s="45" t="n"/>
      <c r="U30" s="45" t="n"/>
      <c r="V30" s="48" t="n"/>
      <c r="W30" s="45" t="n"/>
      <c r="X30" s="45" t="n"/>
      <c r="Y30" s="45" t="n"/>
      <c r="Z30" s="45" t="n"/>
      <c r="AA30" s="51" t="n"/>
      <c r="AB30" s="1" t="n"/>
    </row>
    <row r="31" ht="18" customHeight="1" s="53">
      <c r="B31" s="44" t="n"/>
      <c r="C31" s="49" t="n"/>
      <c r="D31" s="49" t="n"/>
      <c r="E31" s="49" t="n"/>
      <c r="F31" s="46" t="n"/>
      <c r="G31" s="47" t="n"/>
      <c r="H31" s="45" t="n"/>
      <c r="I31" s="45" t="n"/>
      <c r="J31" s="48" t="n"/>
      <c r="K31" s="48" t="n"/>
      <c r="L31" s="48" t="n"/>
      <c r="M31" s="48" t="n"/>
      <c r="N31" s="49" t="n"/>
      <c r="O31" s="44" t="n"/>
      <c r="P31" s="49" t="n"/>
      <c r="Q31" s="49" t="n"/>
      <c r="R31" s="54" t="n"/>
      <c r="S31" s="48" t="n"/>
      <c r="T31" s="45" t="n"/>
      <c r="U31" s="45" t="n"/>
      <c r="V31" s="48" t="n"/>
      <c r="W31" s="45" t="n"/>
      <c r="X31" s="45" t="n"/>
      <c r="Y31" s="45" t="n"/>
      <c r="Z31" s="45" t="n"/>
      <c r="AA31" s="51" t="n"/>
      <c r="AB31" s="1" t="n"/>
    </row>
    <row r="32" ht="18" customHeight="1" s="53">
      <c r="B32" s="44" t="n"/>
      <c r="C32" s="49" t="n"/>
      <c r="D32" s="49" t="n"/>
      <c r="E32" s="49" t="n"/>
      <c r="F32" s="46" t="n"/>
      <c r="G32" s="47" t="n"/>
      <c r="H32" s="45" t="n"/>
      <c r="I32" s="45" t="n"/>
      <c r="J32" s="48" t="n"/>
      <c r="K32" s="48" t="n"/>
      <c r="L32" s="48" t="n"/>
      <c r="M32" s="48" t="n"/>
      <c r="N32" s="49" t="n"/>
      <c r="O32" s="44" t="n"/>
      <c r="P32" s="49" t="n"/>
      <c r="Q32" s="49" t="n"/>
      <c r="R32" s="54" t="n"/>
      <c r="S32" s="48" t="n"/>
      <c r="T32" s="45" t="n"/>
      <c r="U32" s="45" t="n"/>
      <c r="V32" s="48" t="n"/>
      <c r="W32" s="45" t="n"/>
      <c r="X32" s="45" t="n"/>
      <c r="Y32" s="45" t="n"/>
      <c r="Z32" s="45" t="n"/>
      <c r="AA32" s="51" t="n"/>
      <c r="AB32" s="1" t="n"/>
    </row>
    <row r="33" ht="18" customHeight="1" s="53">
      <c r="B33" s="44" t="n"/>
      <c r="C33" s="49" t="n"/>
      <c r="D33" s="49" t="n"/>
      <c r="E33" s="49" t="n"/>
      <c r="F33" s="46" t="n"/>
      <c r="G33" s="47" t="n"/>
      <c r="H33" s="45" t="n"/>
      <c r="I33" s="45" t="n"/>
      <c r="J33" s="48" t="n"/>
      <c r="K33" s="48" t="n"/>
      <c r="L33" s="48" t="n"/>
      <c r="M33" s="48" t="n"/>
      <c r="N33" s="49" t="n"/>
      <c r="O33" s="44" t="n"/>
      <c r="P33" s="49" t="n"/>
      <c r="Q33" s="49" t="n"/>
      <c r="R33" s="54" t="n"/>
      <c r="S33" s="48" t="n"/>
      <c r="T33" s="45" t="n"/>
      <c r="U33" s="45" t="n"/>
      <c r="V33" s="48" t="n"/>
      <c r="W33" s="45" t="n"/>
      <c r="X33" s="45" t="n"/>
      <c r="Y33" s="45" t="n"/>
      <c r="Z33" s="45" t="n"/>
      <c r="AA33" s="51" t="n"/>
      <c r="AB33" s="1" t="n"/>
    </row>
    <row r="34" ht="18" customHeight="1" s="53">
      <c r="B34" s="44" t="n"/>
      <c r="C34" s="49" t="n"/>
      <c r="D34" s="49" t="n"/>
      <c r="E34" s="49" t="n"/>
      <c r="F34" s="46" t="n"/>
      <c r="G34" s="47" t="n"/>
      <c r="H34" s="45" t="n"/>
      <c r="I34" s="45" t="n"/>
      <c r="J34" s="48" t="n"/>
      <c r="K34" s="48" t="n"/>
      <c r="L34" s="48" t="n"/>
      <c r="M34" s="48" t="n"/>
      <c r="N34" s="49" t="n"/>
      <c r="O34" s="44" t="n"/>
      <c r="P34" s="49" t="n"/>
      <c r="Q34" s="49" t="n"/>
      <c r="R34" s="54" t="n"/>
      <c r="S34" s="48" t="n"/>
      <c r="T34" s="45" t="n"/>
      <c r="U34" s="45" t="n"/>
      <c r="V34" s="48" t="n"/>
      <c r="W34" s="45" t="n"/>
      <c r="X34" s="45" t="n"/>
      <c r="Y34" s="45" t="n"/>
      <c r="Z34" s="45" t="n"/>
      <c r="AA34" s="51" t="n"/>
      <c r="AB34" s="1" t="n"/>
    </row>
    <row r="35" ht="18" customHeight="1" s="53">
      <c r="B35" s="44" t="n"/>
      <c r="C35" s="49" t="n"/>
      <c r="D35" s="49" t="n"/>
      <c r="E35" s="49" t="n"/>
      <c r="F35" s="46" t="n"/>
      <c r="G35" s="47" t="n"/>
      <c r="H35" s="45" t="n"/>
      <c r="I35" s="45" t="n"/>
      <c r="J35" s="48" t="n"/>
      <c r="K35" s="48" t="n"/>
      <c r="L35" s="48" t="n"/>
      <c r="M35" s="48" t="n"/>
      <c r="N35" s="49" t="n"/>
      <c r="O35" s="44" t="n"/>
      <c r="P35" s="49" t="n"/>
      <c r="Q35" s="49" t="n"/>
      <c r="R35" s="54" t="n"/>
      <c r="S35" s="48" t="n"/>
      <c r="T35" s="45" t="n"/>
      <c r="U35" s="45" t="n"/>
      <c r="V35" s="48" t="n"/>
      <c r="W35" s="45" t="n"/>
      <c r="X35" s="45" t="n"/>
      <c r="Y35" s="45" t="n"/>
      <c r="Z35" s="45" t="n"/>
      <c r="AA35" s="51" t="n"/>
      <c r="AB35" s="1" t="n"/>
    </row>
    <row r="36" ht="18" customHeight="1" s="53">
      <c r="B36" s="44" t="n"/>
      <c r="C36" s="45" t="n"/>
      <c r="D36" s="45" t="n"/>
      <c r="E36" s="47" t="n"/>
      <c r="F36" s="46" t="n"/>
      <c r="G36" s="47" t="n"/>
      <c r="H36" s="45" t="n"/>
      <c r="I36" s="45" t="n"/>
      <c r="J36" s="48" t="n"/>
      <c r="K36" s="48" t="n"/>
      <c r="L36" s="48" t="n"/>
      <c r="M36" s="48" t="n"/>
      <c r="N36" s="49" t="n"/>
      <c r="O36" s="44" t="n"/>
      <c r="P36" s="49" t="n"/>
      <c r="Q36" s="49" t="n"/>
      <c r="R36" s="54" t="n"/>
      <c r="S36" s="48" t="n"/>
      <c r="T36" s="45" t="n"/>
      <c r="U36" s="45" t="n"/>
      <c r="V36" s="48" t="n"/>
      <c r="W36" s="45" t="n"/>
      <c r="X36" s="45" t="n"/>
      <c r="Y36" s="45" t="n"/>
      <c r="Z36" s="45" t="n"/>
      <c r="AA36" s="51" t="n"/>
      <c r="AB36" s="1" t="n"/>
    </row>
    <row r="37" ht="18" customHeight="1" s="53">
      <c r="B37" s="44" t="n"/>
      <c r="C37" s="45" t="n"/>
      <c r="D37" s="45" t="n"/>
      <c r="E37" s="47" t="n"/>
      <c r="F37" s="46" t="n"/>
      <c r="G37" s="47" t="n"/>
      <c r="H37" s="45" t="n"/>
      <c r="I37" s="45" t="n"/>
      <c r="J37" s="48" t="n"/>
      <c r="K37" s="48" t="n"/>
      <c r="L37" s="48" t="n"/>
      <c r="M37" s="48" t="n"/>
      <c r="N37" s="49" t="n"/>
      <c r="O37" s="44" t="n"/>
      <c r="P37" s="49" t="n"/>
      <c r="Q37" s="49" t="n"/>
      <c r="R37" s="54" t="n"/>
      <c r="S37" s="48" t="n"/>
      <c r="T37" s="45" t="n"/>
      <c r="U37" s="45" t="n"/>
      <c r="V37" s="48" t="n"/>
      <c r="W37" s="45" t="n"/>
      <c r="X37" s="45" t="n"/>
      <c r="Y37" s="45" t="n"/>
      <c r="Z37" s="45" t="n"/>
      <c r="AA37" s="51" t="n"/>
      <c r="AB37" s="1" t="n"/>
    </row>
    <row r="38" ht="18" customHeight="1" s="53">
      <c r="B38" s="44" t="n"/>
      <c r="C38" s="45" t="n"/>
      <c r="D38" s="45" t="n"/>
      <c r="E38" s="47" t="n"/>
      <c r="F38" s="8" t="n"/>
      <c r="G38" s="47" t="n"/>
      <c r="H38" s="45" t="n"/>
      <c r="I38" s="45" t="n"/>
      <c r="J38" s="48" t="n"/>
      <c r="K38" s="48" t="n"/>
      <c r="L38" s="48" t="n"/>
      <c r="M38" s="48" t="n"/>
      <c r="N38" s="49" t="n"/>
      <c r="O38" s="44" t="n"/>
      <c r="P38" s="49" t="n"/>
      <c r="Q38" s="49" t="n"/>
      <c r="R38" s="54" t="n"/>
      <c r="S38" s="48" t="n"/>
      <c r="T38" s="45" t="n"/>
      <c r="U38" s="45" t="n"/>
      <c r="V38" s="48" t="n"/>
      <c r="W38" s="45" t="n"/>
      <c r="X38" s="45" t="n"/>
      <c r="Y38" s="45" t="n"/>
      <c r="Z38" s="45" t="n"/>
      <c r="AA38" s="51" t="n"/>
      <c r="AB38" s="1" t="n"/>
    </row>
    <row r="39" ht="18" customHeight="1" s="53">
      <c r="B39" s="44" t="n"/>
      <c r="C39" s="45" t="n"/>
      <c r="D39" s="45" t="n"/>
      <c r="E39" s="47" t="n"/>
      <c r="F39" s="46" t="n"/>
      <c r="G39" s="47" t="n"/>
      <c r="H39" s="45" t="n"/>
      <c r="I39" s="45" t="n"/>
      <c r="J39" s="48" t="n"/>
      <c r="K39" s="48" t="n"/>
      <c r="L39" s="48" t="n"/>
      <c r="M39" s="48" t="n"/>
      <c r="N39" s="49" t="n"/>
      <c r="O39" s="44" t="n"/>
      <c r="P39" s="49" t="n"/>
      <c r="Q39" s="49" t="n"/>
      <c r="R39" s="54" t="n"/>
      <c r="S39" s="48" t="n"/>
      <c r="T39" s="45" t="n"/>
      <c r="U39" s="45" t="n"/>
      <c r="V39" s="48" t="n"/>
      <c r="W39" s="45" t="n"/>
      <c r="X39" s="45" t="n"/>
      <c r="Y39" s="45" t="n"/>
      <c r="Z39" s="45" t="n"/>
      <c r="AA39" s="51" t="n"/>
      <c r="AB39" s="1" t="n"/>
    </row>
    <row r="40" ht="18" customHeight="1" s="53">
      <c r="B40" s="44" t="n"/>
      <c r="C40" s="45" t="n"/>
      <c r="D40" s="45" t="n"/>
      <c r="E40" s="47" t="n"/>
      <c r="F40" s="46" t="n"/>
      <c r="G40" s="47" t="n"/>
      <c r="H40" s="45" t="n"/>
      <c r="I40" s="45" t="n"/>
      <c r="J40" s="48" t="n"/>
      <c r="K40" s="48" t="n"/>
      <c r="L40" s="48" t="n"/>
      <c r="M40" s="48" t="n"/>
      <c r="N40" s="49" t="n"/>
      <c r="O40" s="44" t="n"/>
      <c r="P40" s="49" t="n"/>
      <c r="Q40" s="49" t="n"/>
      <c r="R40" s="54" t="n"/>
      <c r="S40" s="48" t="n"/>
      <c r="T40" s="45" t="n"/>
      <c r="U40" s="45" t="n"/>
      <c r="V40" s="48" t="n"/>
      <c r="W40" s="45" t="n"/>
      <c r="X40" s="45" t="n"/>
      <c r="Y40" s="45" t="n"/>
      <c r="Z40" s="45" t="n"/>
      <c r="AA40" s="51" t="n"/>
      <c r="AB40" s="1" t="n"/>
    </row>
    <row r="41" ht="18.75" customHeight="1" s="53" thickBot="1">
      <c r="B41" s="44" t="n"/>
      <c r="C41" s="45" t="n"/>
      <c r="D41" s="45" t="n"/>
      <c r="E41" s="47" t="n"/>
      <c r="F41" s="46" t="n"/>
      <c r="G41" s="47" t="n"/>
      <c r="H41" s="45" t="n"/>
      <c r="I41" s="45" t="n"/>
      <c r="J41" s="48" t="n"/>
      <c r="K41" s="48" t="n"/>
      <c r="L41" s="48" t="n"/>
      <c r="M41" s="48" t="n"/>
      <c r="N41" s="36" t="n"/>
      <c r="O41" s="44" t="n"/>
      <c r="P41" s="49" t="n"/>
      <c r="Q41" s="49" t="n"/>
      <c r="R41" s="38" t="n"/>
      <c r="S41" s="48" t="n"/>
      <c r="T41" s="45" t="n"/>
      <c r="U41" s="45" t="n"/>
      <c r="V41" s="48" t="n"/>
      <c r="W41" s="45" t="n"/>
      <c r="X41" s="45" t="n"/>
      <c r="Y41" s="45" t="n"/>
      <c r="Z41" s="45" t="n"/>
      <c r="AA41" s="51" t="n"/>
      <c r="AB41" s="1" t="n"/>
    </row>
    <row r="42" ht="54.75" customHeight="1" s="53" thickBot="1">
      <c r="B42" s="30" t="inlineStr">
        <is>
          <t>cierre mes anterior</t>
        </is>
      </c>
      <c r="C42" s="45" t="inlineStr"/>
      <c r="D42" s="45" t="inlineStr"/>
      <c r="E42" s="45" t="inlineStr"/>
      <c r="F42" s="41" t="inlineStr"/>
      <c r="G42" s="42" t="inlineStr"/>
      <c r="H42" s="54" t="inlineStr"/>
      <c r="I42" s="45" t="inlineStr"/>
      <c r="J42" s="9" t="n"/>
      <c r="K42" s="9" t="n"/>
      <c r="L42" s="9" t="n"/>
      <c r="M42" s="37">
        <f>SUM(M12:M41)</f>
        <v/>
      </c>
      <c r="N42" s="9" t="n"/>
      <c r="O42" s="9" t="n"/>
      <c r="P42" s="9" t="n"/>
      <c r="Q42" s="9" t="n"/>
      <c r="R42" s="18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3">
        <f>AVERAGE(AA12:AA41)</f>
        <v/>
      </c>
    </row>
    <row r="43" ht="18" customHeight="1" s="53">
      <c r="B43" s="31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8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3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8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3">
      <c r="B45" s="9" t="n"/>
      <c r="C45" s="9" t="n"/>
      <c r="D45" s="34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8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 ht="15.75" customHeight="1" s="53">
      <c r="C46" s="32" t="n"/>
      <c r="R46" s="13" t="n"/>
    </row>
    <row r="47">
      <c r="R47" s="13" t="n"/>
    </row>
    <row r="48">
      <c r="R48" s="13" t="n"/>
    </row>
    <row r="49">
      <c r="R49" s="13" t="n"/>
    </row>
    <row r="50">
      <c r="R50" s="13" t="n"/>
    </row>
    <row r="51">
      <c r="R51" s="13" t="n"/>
    </row>
    <row r="52" ht="18" customHeight="1" s="53">
      <c r="R52" s="13" t="n"/>
      <c r="Z52" s="9" t="inlineStr">
        <is>
          <t>Aprobado:</t>
        </is>
      </c>
    </row>
    <row r="53" ht="18" customHeight="1" s="53">
      <c r="R53" s="13" t="n"/>
      <c r="Z53" s="9" t="inlineStr">
        <is>
          <t>Ms.C. Jorge Luis García Santana</t>
        </is>
      </c>
      <c r="AA53" s="9" t="n"/>
    </row>
    <row r="54" ht="18" customHeight="1" s="53">
      <c r="R54" s="13" t="n"/>
      <c r="Z54" s="9" t="inlineStr">
        <is>
          <t>Director General</t>
        </is>
      </c>
      <c r="AA54" s="9" t="n"/>
    </row>
    <row r="55" ht="18" customHeight="1" s="53">
      <c r="R55" s="13" t="n"/>
      <c r="Z55" s="9" t="inlineStr">
        <is>
          <t>Universidad Camaguey</t>
        </is>
      </c>
      <c r="AA55" s="9" t="n"/>
    </row>
    <row r="56">
      <c r="R56" s="13" t="n"/>
    </row>
    <row r="57">
      <c r="R57" s="13" t="n"/>
    </row>
    <row r="58">
      <c r="R58" s="13" t="n"/>
    </row>
    <row r="59">
      <c r="R59" s="13" t="n"/>
    </row>
    <row r="60">
      <c r="R60" s="13" t="n"/>
    </row>
    <row r="61">
      <c r="R61" s="13" t="n"/>
    </row>
  </sheetData>
  <mergeCells count="10">
    <mergeCell ref="X8:AA8"/>
    <mergeCell ref="C8:I8"/>
    <mergeCell ref="J8:M8"/>
    <mergeCell ref="C5:D5"/>
    <mergeCell ref="Q8:Q9"/>
    <mergeCell ref="B8:B9"/>
    <mergeCell ref="AB8:A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AB61"/>
  <sheetViews>
    <sheetView zoomScale="66" zoomScaleNormal="66" zoomScaleSheetLayoutView="70" workbookViewId="0">
      <selection activeCell="A7" sqref="A7:XFD7"/>
    </sheetView>
  </sheetViews>
  <sheetFormatPr baseColWidth="10" defaultColWidth="11.42578125" defaultRowHeight="15"/>
  <cols>
    <col width="11.42578125" customWidth="1" style="53" min="1" max="2"/>
    <col width="12.28515625" bestFit="1" customWidth="1" style="53" min="3" max="3"/>
    <col width="10.5703125" customWidth="1" style="53" min="4" max="4"/>
    <col width="12.7109375" customWidth="1" style="53" min="5" max="5"/>
    <col width="12.28515625" customWidth="1" style="53" min="6" max="6"/>
    <col width="11.42578125" customWidth="1" style="53" min="7" max="7"/>
    <col width="12.28515625" bestFit="1" customWidth="1" style="53" min="8" max="9"/>
    <col width="18.28515625" customWidth="1" style="53" min="13" max="13"/>
    <col width="12.7109375" customWidth="1" style="53" min="14" max="14"/>
    <col width="13.42578125" bestFit="1" customWidth="1" style="53" min="16" max="16"/>
    <col width="13.140625" customWidth="1" style="53" min="17" max="17"/>
    <col width="14.7109375" bestFit="1" customWidth="1" style="53" min="20" max="20"/>
    <col width="11.7109375" bestFit="1" customWidth="1" style="53" min="21" max="21"/>
    <col width="13.28515625" bestFit="1" customWidth="1" style="53" min="22" max="22"/>
    <col width="12.5703125" bestFit="1" customWidth="1" style="53" min="23" max="23"/>
    <col width="11.5703125" bestFit="1" customWidth="1" style="53" min="24" max="24"/>
    <col width="14" bestFit="1" customWidth="1" style="53" min="25" max="25"/>
    <col width="13.42578125" bestFit="1" customWidth="1" style="53" min="26" max="26"/>
    <col width="15.140625" customWidth="1" style="53" min="27" max="27"/>
    <col width="16.140625" customWidth="1" style="53" min="28" max="28"/>
  </cols>
  <sheetData>
    <row r="2" ht="15.75" customHeight="1" s="53">
      <c r="G2" s="23" t="inlineStr">
        <is>
          <t xml:space="preserve">                                                                        ANEXO No. 1.</t>
        </is>
      </c>
    </row>
    <row r="3" ht="15.75" customHeight="1" s="53">
      <c r="G3" s="23" t="inlineStr">
        <is>
          <t xml:space="preserve">                                                                  TABLA 1A</t>
        </is>
      </c>
    </row>
    <row r="4" ht="15.75" customHeight="1" s="53">
      <c r="G4" s="24" t="inlineStr">
        <is>
          <t xml:space="preserve">Cumplimiento del plan de consumo de energía eléctrica total, mes: </t>
        </is>
      </c>
      <c r="N4" s="33" t="inlineStr">
        <is>
          <t>abril-2024</t>
        </is>
      </c>
    </row>
    <row r="5">
      <c r="C5" s="58" t="inlineStr">
        <is>
          <t>SERVICIO: LABORATORIO TECNICO</t>
        </is>
      </c>
      <c r="T5" s="40" t="n"/>
      <c r="U5" s="40" t="inlineStr">
        <is>
          <t>total</t>
        </is>
      </c>
      <c r="V5" s="40" t="inlineStr">
        <is>
          <t>diaria</t>
        </is>
      </c>
    </row>
    <row r="6" ht="15.75" customHeight="1" s="53">
      <c r="C6" t="inlineStr">
        <is>
          <t>SERVICIO: LABORATORIO TECNICO</t>
        </is>
      </c>
      <c r="N6" s="11" t="inlineStr">
        <is>
          <t>Plan Pico N</t>
        </is>
      </c>
      <c r="O6" s="26">
        <f>S6*16.5%</f>
        <v/>
      </c>
      <c r="P6" s="27" t="inlineStr">
        <is>
          <t>Plan Pico D</t>
        </is>
      </c>
      <c r="Q6" s="10">
        <f>(S6*8)/100</f>
        <v/>
      </c>
      <c r="R6" s="14" t="inlineStr">
        <is>
          <t>PLAN MES</t>
        </is>
      </c>
      <c r="S6" s="10" t="n">
        <v>21000</v>
      </c>
      <c r="T6" s="40" t="inlineStr">
        <is>
          <t>Perdidas:</t>
        </is>
      </c>
      <c r="U6" s="40" t="n">
        <v>4811</v>
      </c>
      <c r="V6" s="39">
        <f>U6/30</f>
        <v/>
      </c>
    </row>
    <row r="7" ht="15.75" customHeight="1" s="53">
      <c r="N7" s="11" t="n"/>
      <c r="O7" s="26" t="n"/>
      <c r="P7" s="27" t="n"/>
      <c r="Q7" s="10" t="n"/>
      <c r="R7" s="14" t="n"/>
      <c r="S7" s="10" t="n"/>
      <c r="T7" s="40" t="n"/>
      <c r="U7" s="40" t="n"/>
      <c r="V7" s="39" t="n"/>
    </row>
    <row r="8" ht="46.5" customHeight="1" s="53">
      <c r="B8" s="59" t="inlineStr">
        <is>
          <t>Día</t>
        </is>
      </c>
      <c r="C8" s="56" t="inlineStr">
        <is>
          <t>Lectura del contador</t>
        </is>
      </c>
      <c r="D8" s="62" t="n"/>
      <c r="E8" s="62" t="n"/>
      <c r="F8" s="62" t="n"/>
      <c r="G8" s="62" t="n"/>
      <c r="H8" s="62" t="n"/>
      <c r="I8" s="63" t="n"/>
      <c r="J8" s="56" t="inlineStr">
        <is>
          <t>Consumo diario kWh y kvarh</t>
        </is>
      </c>
      <c r="K8" s="62" t="n"/>
      <c r="L8" s="62" t="n"/>
      <c r="M8" s="63" t="n"/>
      <c r="N8" s="56" t="inlineStr">
        <is>
          <t>Consumo diario Pico nocturno kWh</t>
        </is>
      </c>
      <c r="O8" s="62" t="n"/>
      <c r="P8" s="63" t="n"/>
      <c r="Q8" s="57" t="inlineStr">
        <is>
          <t>Consumo diario pico Diurno kWh</t>
        </is>
      </c>
      <c r="R8" s="56" t="inlineStr">
        <is>
          <t>Consumo diario total kWh</t>
        </is>
      </c>
      <c r="S8" s="62" t="n"/>
      <c r="T8" s="63" t="n"/>
      <c r="U8" s="56" t="inlineStr">
        <is>
          <t>Consumo acumulado Pico kWh</t>
        </is>
      </c>
      <c r="V8" s="62" t="n"/>
      <c r="W8" s="63" t="n"/>
      <c r="X8" s="56" t="inlineStr">
        <is>
          <t>Consumo acumulado Total kWh</t>
        </is>
      </c>
      <c r="Y8" s="62" t="n"/>
      <c r="Z8" s="62" t="n"/>
      <c r="AA8" s="63" t="n"/>
      <c r="AB8" s="57" t="inlineStr">
        <is>
          <t>Firma Responsable</t>
        </is>
      </c>
    </row>
    <row r="9" ht="30" customHeight="1" s="53">
      <c r="B9" s="64" t="n"/>
      <c r="C9" s="59" t="inlineStr">
        <is>
          <t>MAD</t>
        </is>
      </c>
      <c r="D9" s="59" t="inlineStr">
        <is>
          <t>DIA</t>
        </is>
      </c>
      <c r="E9" s="59" t="inlineStr">
        <is>
          <t>PICO</t>
        </is>
      </c>
      <c r="F9" s="59" t="inlineStr">
        <is>
          <t>TOTAL</t>
        </is>
      </c>
      <c r="G9" s="59" t="inlineStr">
        <is>
          <t>Pico Diurno 11 am</t>
        </is>
      </c>
      <c r="H9" s="59" t="inlineStr">
        <is>
          <t>Pico Diurno 1 pm</t>
        </is>
      </c>
      <c r="I9" s="59" t="inlineStr">
        <is>
          <t>REACT</t>
        </is>
      </c>
      <c r="J9" s="59" t="inlineStr">
        <is>
          <t>MAD</t>
        </is>
      </c>
      <c r="K9" s="59" t="inlineStr">
        <is>
          <t>DIA</t>
        </is>
      </c>
      <c r="L9" s="59" t="inlineStr">
        <is>
          <t>PICO</t>
        </is>
      </c>
      <c r="M9" s="59" t="inlineStr">
        <is>
          <t>REACT</t>
        </is>
      </c>
      <c r="N9" s="59" t="inlineStr">
        <is>
          <t>Plan Pico</t>
        </is>
      </c>
      <c r="O9" s="59" t="inlineStr">
        <is>
          <t>Real Pico</t>
        </is>
      </c>
      <c r="P9" s="59" t="inlineStr">
        <is>
          <t>Plan - Real</t>
        </is>
      </c>
      <c r="Q9" s="64" t="n"/>
      <c r="R9" s="15" t="inlineStr">
        <is>
          <t>Plan</t>
        </is>
      </c>
      <c r="S9" s="59" t="inlineStr">
        <is>
          <t>Real</t>
        </is>
      </c>
      <c r="T9" s="59" t="inlineStr">
        <is>
          <t>Plan - Real</t>
        </is>
      </c>
      <c r="U9" s="59" t="inlineStr">
        <is>
          <t>Plan Pico</t>
        </is>
      </c>
      <c r="V9" s="59" t="inlineStr">
        <is>
          <t>Real Pico</t>
        </is>
      </c>
      <c r="W9" s="59" t="inlineStr">
        <is>
          <t>Plan - Real</t>
        </is>
      </c>
      <c r="X9" s="59" t="inlineStr">
        <is>
          <t>Plan</t>
        </is>
      </c>
      <c r="Y9" s="59" t="inlineStr">
        <is>
          <t>Real</t>
        </is>
      </c>
      <c r="Z9" s="28" t="inlineStr">
        <is>
          <t>Plan   - Real</t>
        </is>
      </c>
      <c r="AA9" s="59" t="inlineStr">
        <is>
          <t>FP</t>
        </is>
      </c>
      <c r="AB9" s="64" t="n"/>
    </row>
    <row r="10">
      <c r="B10" s="29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6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3">
      <c r="B11" s="44" t="n"/>
      <c r="C11" s="44" t="n"/>
      <c r="D11" s="44" t="n"/>
      <c r="E11" s="44" t="n"/>
      <c r="F11" s="46" t="n"/>
      <c r="G11" s="47" t="n"/>
      <c r="H11" s="45" t="n"/>
      <c r="I11" s="45" t="n"/>
      <c r="J11" s="48" t="n"/>
      <c r="K11" s="48" t="n"/>
      <c r="L11" s="48" t="n"/>
      <c r="M11" s="48" t="n"/>
      <c r="N11" s="49" t="n"/>
      <c r="O11" s="50" t="n"/>
      <c r="P11" s="49" t="n"/>
      <c r="Q11" s="49" t="n"/>
      <c r="R11" s="54" t="n"/>
      <c r="S11" s="48" t="n"/>
      <c r="T11" s="45" t="n"/>
      <c r="U11" s="45" t="n"/>
      <c r="V11" s="45" t="n"/>
      <c r="W11" s="45" t="n"/>
      <c r="X11" s="45" t="n"/>
      <c r="Y11" s="45" t="n"/>
      <c r="Z11" s="45" t="n"/>
      <c r="AA11" s="51" t="n"/>
      <c r="AB11" s="52" t="n"/>
    </row>
    <row r="12" ht="18" customHeight="1" s="53">
      <c r="B12" s="44" t="n"/>
      <c r="C12" s="49" t="n"/>
      <c r="D12" s="49" t="n"/>
      <c r="E12" s="49" t="n"/>
      <c r="F12" s="46" t="n"/>
      <c r="G12" s="47" t="n"/>
      <c r="H12" s="45" t="n"/>
      <c r="I12" s="45" t="n"/>
      <c r="J12" s="48" t="n"/>
      <c r="K12" s="48" t="n"/>
      <c r="L12" s="48" t="n"/>
      <c r="M12" s="48" t="n"/>
      <c r="N12" s="49" t="n"/>
      <c r="O12" s="50" t="n"/>
      <c r="P12" s="49" t="n"/>
      <c r="Q12" s="49" t="n"/>
      <c r="R12" s="54" t="n"/>
      <c r="S12" s="48" t="n"/>
      <c r="T12" s="45" t="n"/>
      <c r="U12" s="45" t="n"/>
      <c r="V12" s="45" t="n"/>
      <c r="W12" s="45" t="n"/>
      <c r="X12" s="45" t="n"/>
      <c r="Y12" s="45" t="n"/>
      <c r="Z12" s="45" t="n"/>
      <c r="AA12" s="51" t="n"/>
      <c r="AB12" s="52" t="n"/>
    </row>
    <row r="13" ht="18" customHeight="1" s="53">
      <c r="B13" s="44" t="n"/>
      <c r="C13" s="49" t="n"/>
      <c r="D13" s="49" t="n"/>
      <c r="E13" s="49" t="n"/>
      <c r="F13" s="46" t="n"/>
      <c r="G13" s="47" t="n"/>
      <c r="H13" s="45" t="n"/>
      <c r="I13" s="45" t="n"/>
      <c r="J13" s="48" t="n"/>
      <c r="K13" s="48" t="n"/>
      <c r="L13" s="48" t="n"/>
      <c r="M13" s="48" t="n"/>
      <c r="N13" s="49" t="n"/>
      <c r="O13" s="50" t="n"/>
      <c r="P13" s="49" t="n"/>
      <c r="Q13" s="49" t="n"/>
      <c r="R13" s="54" t="n"/>
      <c r="S13" s="48" t="n"/>
      <c r="T13" s="45" t="n"/>
      <c r="U13" s="45" t="n"/>
      <c r="V13" s="45" t="n"/>
      <c r="W13" s="45" t="n"/>
      <c r="X13" s="45" t="n"/>
      <c r="Y13" s="45" t="n"/>
      <c r="Z13" s="45" t="n"/>
      <c r="AA13" s="51" t="n"/>
      <c r="AB13" s="52" t="n"/>
    </row>
    <row r="14" ht="18" customHeight="1" s="53">
      <c r="B14" s="44" t="n"/>
      <c r="C14" s="49" t="n"/>
      <c r="D14" s="49" t="n"/>
      <c r="E14" s="49" t="n"/>
      <c r="F14" s="46" t="n"/>
      <c r="G14" s="47" t="n"/>
      <c r="H14" s="45" t="n"/>
      <c r="I14" s="45" t="n"/>
      <c r="J14" s="45" t="n"/>
      <c r="K14" s="48" t="n"/>
      <c r="L14" s="48" t="n"/>
      <c r="M14" s="48" t="n"/>
      <c r="N14" s="49" t="n"/>
      <c r="O14" s="50" t="n"/>
      <c r="P14" s="49" t="n"/>
      <c r="Q14" s="49" t="n"/>
      <c r="R14" s="54" t="n"/>
      <c r="S14" s="48" t="n"/>
      <c r="T14" s="45" t="n"/>
      <c r="U14" s="45" t="n"/>
      <c r="V14" s="45" t="n"/>
      <c r="W14" s="45" t="n"/>
      <c r="X14" s="45" t="n"/>
      <c r="Y14" s="45" t="n"/>
      <c r="Z14" s="45" t="n"/>
      <c r="AA14" s="51" t="n"/>
      <c r="AB14" s="52" t="n"/>
    </row>
    <row r="15" ht="18" customHeight="1" s="53">
      <c r="B15" s="44" t="n"/>
      <c r="C15" s="49" t="n"/>
      <c r="D15" s="49" t="n"/>
      <c r="E15" s="49" t="n"/>
      <c r="F15" s="46" t="n"/>
      <c r="G15" s="47" t="n"/>
      <c r="H15" s="45" t="n"/>
      <c r="I15" s="45" t="n"/>
      <c r="J15" s="48" t="n"/>
      <c r="K15" s="48" t="n"/>
      <c r="L15" s="48" t="n"/>
      <c r="M15" s="48" t="n"/>
      <c r="N15" s="49" t="n"/>
      <c r="O15" s="50" t="n"/>
      <c r="P15" s="49" t="n"/>
      <c r="Q15" s="49" t="n"/>
      <c r="R15" s="54" t="n"/>
      <c r="S15" s="48" t="n"/>
      <c r="T15" s="45" t="n"/>
      <c r="U15" s="45" t="n"/>
      <c r="V15" s="45" t="n"/>
      <c r="W15" s="45" t="n"/>
      <c r="X15" s="45" t="n"/>
      <c r="Y15" s="45" t="n"/>
      <c r="Z15" s="45" t="n"/>
      <c r="AA15" s="51" t="n"/>
      <c r="AB15" s="52" t="n"/>
    </row>
    <row r="16" ht="18" customHeight="1" s="53">
      <c r="B16" s="44" t="n"/>
      <c r="C16" s="49" t="n"/>
      <c r="D16" s="49" t="n"/>
      <c r="E16" s="49" t="n"/>
      <c r="F16" s="46" t="n"/>
      <c r="G16" s="47" t="n"/>
      <c r="H16" s="45" t="n"/>
      <c r="I16" s="45" t="n"/>
      <c r="J16" s="48" t="n"/>
      <c r="K16" s="48" t="n"/>
      <c r="L16" s="48" t="n"/>
      <c r="M16" s="48" t="n"/>
      <c r="N16" s="49" t="n"/>
      <c r="O16" s="50" t="n"/>
      <c r="P16" s="49" t="n"/>
      <c r="Q16" s="49" t="n"/>
      <c r="R16" s="54" t="n"/>
      <c r="S16" s="48" t="n"/>
      <c r="T16" s="45" t="n"/>
      <c r="U16" s="45" t="n"/>
      <c r="V16" s="45" t="n"/>
      <c r="W16" s="45" t="n"/>
      <c r="X16" s="45" t="n"/>
      <c r="Y16" s="45" t="n"/>
      <c r="Z16" s="45" t="n"/>
      <c r="AA16" s="51" t="n"/>
      <c r="AB16" s="52" t="n"/>
    </row>
    <row r="17" ht="18" customHeight="1" s="53">
      <c r="B17" s="44" t="n"/>
      <c r="C17" s="49" t="n"/>
      <c r="D17" s="49" t="n"/>
      <c r="E17" s="49" t="n"/>
      <c r="F17" s="46" t="n"/>
      <c r="G17" s="47" t="n"/>
      <c r="H17" s="45" t="n"/>
      <c r="I17" s="45" t="n"/>
      <c r="J17" s="48" t="n"/>
      <c r="K17" s="48" t="n"/>
      <c r="L17" s="48" t="n"/>
      <c r="M17" s="48" t="n"/>
      <c r="N17" s="49" t="n"/>
      <c r="O17" s="50" t="n"/>
      <c r="P17" s="49" t="n"/>
      <c r="Q17" s="49" t="n"/>
      <c r="R17" s="54" t="n"/>
      <c r="S17" s="48" t="n"/>
      <c r="T17" s="45" t="n"/>
      <c r="U17" s="45" t="n"/>
      <c r="V17" s="45" t="n"/>
      <c r="W17" s="45" t="n"/>
      <c r="X17" s="45" t="n"/>
      <c r="Y17" s="45" t="n"/>
      <c r="Z17" s="45" t="n"/>
      <c r="AA17" s="51" t="n"/>
      <c r="AB17" s="52" t="n"/>
    </row>
    <row r="18" ht="18" customHeight="1" s="53">
      <c r="B18" s="44" t="n"/>
      <c r="C18" s="49" t="n"/>
      <c r="D18" s="49" t="n"/>
      <c r="E18" s="49" t="n"/>
      <c r="F18" s="46" t="n"/>
      <c r="G18" s="47" t="n"/>
      <c r="H18" s="45" t="n"/>
      <c r="I18" s="45" t="n"/>
      <c r="J18" s="48" t="n"/>
      <c r="K18" s="48" t="n"/>
      <c r="L18" s="48" t="n"/>
      <c r="M18" s="48" t="n"/>
      <c r="N18" s="49" t="n"/>
      <c r="O18" s="50" t="n"/>
      <c r="P18" s="49" t="n"/>
      <c r="Q18" s="49" t="n"/>
      <c r="R18" s="54" t="n"/>
      <c r="S18" s="48" t="n"/>
      <c r="T18" s="45" t="n"/>
      <c r="U18" s="45" t="n"/>
      <c r="V18" s="45" t="n"/>
      <c r="W18" s="45" t="n"/>
      <c r="X18" s="45" t="n"/>
      <c r="Y18" s="45" t="n"/>
      <c r="Z18" s="45" t="n"/>
      <c r="AA18" s="51" t="n"/>
      <c r="AB18" s="52" t="n"/>
    </row>
    <row r="19" ht="18" customHeight="1" s="53">
      <c r="B19" s="44" t="n"/>
      <c r="C19" s="49" t="n"/>
      <c r="D19" s="49" t="n"/>
      <c r="E19" s="49" t="n"/>
      <c r="F19" s="46" t="n"/>
      <c r="G19" s="47" t="n"/>
      <c r="H19" s="45" t="n"/>
      <c r="I19" s="45" t="n"/>
      <c r="J19" s="48" t="n"/>
      <c r="K19" s="48" t="n"/>
      <c r="L19" s="48" t="n"/>
      <c r="M19" s="48" t="n"/>
      <c r="N19" s="49" t="n"/>
      <c r="O19" s="44" t="n"/>
      <c r="P19" s="49" t="n"/>
      <c r="Q19" s="49" t="n"/>
      <c r="R19" s="54" t="n"/>
      <c r="S19" s="48" t="n"/>
      <c r="T19" s="45" t="n"/>
      <c r="U19" s="45" t="n"/>
      <c r="V19" s="45" t="n"/>
      <c r="W19" s="45" t="n"/>
      <c r="X19" s="45" t="n"/>
      <c r="Y19" s="45" t="n"/>
      <c r="Z19" s="45" t="n"/>
      <c r="AA19" s="51" t="n"/>
      <c r="AB19" s="1" t="n"/>
    </row>
    <row r="20" ht="18" customHeight="1" s="53">
      <c r="B20" s="44" t="n"/>
      <c r="C20" s="49" t="n"/>
      <c r="D20" s="49" t="n"/>
      <c r="E20" s="49" t="n"/>
      <c r="F20" s="46" t="n"/>
      <c r="G20" s="47" t="n"/>
      <c r="H20" s="45" t="n"/>
      <c r="I20" s="45" t="n"/>
      <c r="J20" s="48" t="n"/>
      <c r="K20" s="48" t="n"/>
      <c r="L20" s="48" t="n"/>
      <c r="M20" s="48" t="n"/>
      <c r="N20" s="49" t="n"/>
      <c r="O20" s="44" t="n"/>
      <c r="P20" s="49" t="n"/>
      <c r="Q20" s="49" t="n"/>
      <c r="R20" s="54" t="n"/>
      <c r="S20" s="48" t="n"/>
      <c r="T20" s="45" t="n"/>
      <c r="U20" s="45" t="n"/>
      <c r="V20" s="45" t="n"/>
      <c r="W20" s="45" t="n"/>
      <c r="X20" s="45" t="n"/>
      <c r="Y20" s="45" t="n"/>
      <c r="Z20" s="45" t="n"/>
      <c r="AA20" s="51" t="n"/>
      <c r="AB20" s="1" t="n"/>
    </row>
    <row r="21" ht="18" customHeight="1" s="53">
      <c r="B21" s="44" t="n"/>
      <c r="C21" s="49" t="n"/>
      <c r="D21" s="49" t="n"/>
      <c r="E21" s="49" t="n"/>
      <c r="F21" s="46" t="n"/>
      <c r="G21" s="47" t="n"/>
      <c r="H21" s="45" t="n"/>
      <c r="I21" s="45" t="n"/>
      <c r="J21" s="48" t="n"/>
      <c r="K21" s="48" t="n"/>
      <c r="L21" s="48" t="n"/>
      <c r="M21" s="48" t="n"/>
      <c r="N21" s="49" t="n"/>
      <c r="O21" s="44" t="n"/>
      <c r="P21" s="49" t="n"/>
      <c r="Q21" s="49" t="n"/>
      <c r="R21" s="54" t="n"/>
      <c r="S21" s="48" t="n"/>
      <c r="T21" s="45" t="n"/>
      <c r="U21" s="45" t="n"/>
      <c r="V21" s="45" t="n"/>
      <c r="W21" s="45" t="n"/>
      <c r="X21" s="45" t="n"/>
      <c r="Y21" s="45" t="n"/>
      <c r="Z21" s="45" t="n"/>
      <c r="AA21" s="51" t="n"/>
      <c r="AB21" s="1" t="n"/>
    </row>
    <row r="22" ht="18" customHeight="1" s="53">
      <c r="B22" s="44" t="n"/>
      <c r="C22" s="49" t="n"/>
      <c r="D22" s="49" t="n"/>
      <c r="E22" s="49" t="n"/>
      <c r="F22" s="8" t="n"/>
      <c r="G22" s="47" t="n"/>
      <c r="H22" s="45" t="n"/>
      <c r="I22" s="45" t="n"/>
      <c r="J22" s="48" t="n"/>
      <c r="K22" s="48" t="n"/>
      <c r="L22" s="48" t="n"/>
      <c r="M22" s="48" t="n"/>
      <c r="N22" s="49" t="n"/>
      <c r="O22" s="44" t="n"/>
      <c r="P22" s="49" t="n"/>
      <c r="Q22" s="49" t="n"/>
      <c r="R22" s="54" t="n"/>
      <c r="S22" s="48" t="n"/>
      <c r="T22" s="45" t="n"/>
      <c r="U22" s="45" t="n"/>
      <c r="V22" s="45" t="n"/>
      <c r="W22" s="45" t="n"/>
      <c r="X22" s="45" t="n"/>
      <c r="Y22" s="45" t="n"/>
      <c r="Z22" s="45" t="n"/>
      <c r="AA22" s="51" t="n"/>
      <c r="AB22" s="1" t="n"/>
    </row>
    <row r="23" ht="18" customHeight="1" s="53">
      <c r="B23" s="44" t="n"/>
      <c r="C23" s="49" t="n"/>
      <c r="D23" s="49" t="n"/>
      <c r="E23" s="49" t="n"/>
      <c r="F23" s="46" t="n"/>
      <c r="G23" s="47" t="n"/>
      <c r="H23" s="45" t="n"/>
      <c r="I23" s="45" t="n"/>
      <c r="J23" s="48" t="n"/>
      <c r="K23" s="48" t="n"/>
      <c r="L23" s="48" t="n"/>
      <c r="M23" s="48" t="n"/>
      <c r="N23" s="49" t="n"/>
      <c r="O23" s="44" t="n"/>
      <c r="P23" s="49" t="n"/>
      <c r="Q23" s="49" t="n"/>
      <c r="R23" s="54" t="n"/>
      <c r="S23" s="48" t="n"/>
      <c r="T23" s="45" t="n"/>
      <c r="U23" s="45" t="n"/>
      <c r="V23" s="45" t="n"/>
      <c r="W23" s="45" t="n"/>
      <c r="X23" s="45" t="n"/>
      <c r="Y23" s="45" t="n"/>
      <c r="Z23" s="45" t="n"/>
      <c r="AA23" s="51" t="n"/>
      <c r="AB23" s="1" t="n"/>
    </row>
    <row r="24" ht="18" customHeight="1" s="53">
      <c r="B24" s="44" t="n"/>
      <c r="C24" s="49" t="n"/>
      <c r="D24" s="49" t="n"/>
      <c r="E24" s="49" t="n"/>
      <c r="F24" s="46" t="n"/>
      <c r="G24" s="47" t="n"/>
      <c r="H24" s="45" t="n"/>
      <c r="I24" s="45" t="n"/>
      <c r="J24" s="48" t="n"/>
      <c r="K24" s="48" t="n"/>
      <c r="L24" s="48" t="n"/>
      <c r="M24" s="48" t="n"/>
      <c r="N24" s="49" t="n"/>
      <c r="O24" s="44" t="n"/>
      <c r="P24" s="49" t="n"/>
      <c r="Q24" s="49" t="n"/>
      <c r="R24" s="54" t="n"/>
      <c r="S24" s="48" t="n"/>
      <c r="T24" s="45" t="n"/>
      <c r="U24" s="45" t="n"/>
      <c r="V24" s="45" t="n"/>
      <c r="W24" s="45" t="n"/>
      <c r="X24" s="45" t="n"/>
      <c r="Y24" s="45" t="n"/>
      <c r="Z24" s="45" t="n"/>
      <c r="AA24" s="51" t="n"/>
      <c r="AB24" s="1" t="n"/>
    </row>
    <row r="25" ht="18" customHeight="1" s="53">
      <c r="B25" s="44" t="n"/>
      <c r="C25" s="49" t="n"/>
      <c r="D25" s="49" t="n"/>
      <c r="E25" s="49" t="n"/>
      <c r="F25" s="46" t="n"/>
      <c r="G25" s="47" t="n"/>
      <c r="H25" s="45" t="n"/>
      <c r="I25" s="45" t="n"/>
      <c r="J25" s="48" t="n"/>
      <c r="K25" s="48" t="n"/>
      <c r="L25" s="48" t="n"/>
      <c r="M25" s="45" t="n"/>
      <c r="N25" s="49" t="n"/>
      <c r="O25" s="44" t="n"/>
      <c r="P25" s="49" t="n"/>
      <c r="Q25" s="49" t="n"/>
      <c r="R25" s="54" t="n"/>
      <c r="S25" s="48" t="n"/>
      <c r="T25" s="45" t="n"/>
      <c r="U25" s="45" t="n"/>
      <c r="V25" s="48" t="n"/>
      <c r="W25" s="45" t="n"/>
      <c r="X25" s="45" t="n"/>
      <c r="Y25" s="45" t="n"/>
      <c r="Z25" s="45" t="n"/>
      <c r="AA25" s="51" t="n"/>
      <c r="AB25" s="1" t="n"/>
    </row>
    <row r="26" ht="18" customHeight="1" s="53">
      <c r="B26" s="44" t="n"/>
      <c r="C26" s="49" t="n"/>
      <c r="D26" s="49" t="n"/>
      <c r="E26" s="49" t="n"/>
      <c r="F26" s="46" t="n"/>
      <c r="G26" s="47" t="n"/>
      <c r="H26" s="45" t="n"/>
      <c r="I26" s="45" t="n"/>
      <c r="J26" s="48" t="n"/>
      <c r="K26" s="48" t="n"/>
      <c r="L26" s="48" t="n"/>
      <c r="M26" s="45" t="n"/>
      <c r="N26" s="49" t="n"/>
      <c r="O26" s="44" t="n"/>
      <c r="P26" s="49" t="n"/>
      <c r="Q26" s="49" t="n"/>
      <c r="R26" s="54" t="n"/>
      <c r="S26" s="48" t="n"/>
      <c r="T26" s="45" t="n"/>
      <c r="U26" s="45" t="n"/>
      <c r="V26" s="48" t="n"/>
      <c r="W26" s="45" t="n"/>
      <c r="X26" s="45" t="n"/>
      <c r="Y26" s="45" t="n"/>
      <c r="Z26" s="45" t="n"/>
      <c r="AA26" s="51" t="n"/>
      <c r="AB26" s="1" t="n"/>
    </row>
    <row r="27" ht="18" customHeight="1" s="53">
      <c r="B27" s="44" t="n"/>
      <c r="C27" s="49" t="n"/>
      <c r="D27" s="49" t="n"/>
      <c r="E27" s="49" t="n"/>
      <c r="F27" s="46" t="n"/>
      <c r="G27" s="47" t="n"/>
      <c r="H27" s="45" t="n"/>
      <c r="I27" s="45" t="n"/>
      <c r="J27" s="48" t="n"/>
      <c r="K27" s="48" t="n"/>
      <c r="L27" s="48" t="n"/>
      <c r="M27" s="45" t="n"/>
      <c r="N27" s="49" t="n"/>
      <c r="O27" s="44" t="n"/>
      <c r="P27" s="49" t="n"/>
      <c r="Q27" s="49" t="n"/>
      <c r="R27" s="54" t="n"/>
      <c r="S27" s="48" t="n"/>
      <c r="T27" s="45" t="n"/>
      <c r="U27" s="45" t="n"/>
      <c r="V27" s="48" t="n"/>
      <c r="W27" s="45" t="n"/>
      <c r="X27" s="45" t="n"/>
      <c r="Y27" s="45" t="n"/>
      <c r="Z27" s="45" t="n"/>
      <c r="AA27" s="51" t="n"/>
      <c r="AB27" s="1" t="n"/>
    </row>
    <row r="28" ht="18" customHeight="1" s="53">
      <c r="B28" s="44" t="n"/>
      <c r="C28" s="49" t="n"/>
      <c r="D28" s="49" t="n"/>
      <c r="E28" s="49" t="n"/>
      <c r="F28" s="46" t="n"/>
      <c r="G28" s="47" t="n"/>
      <c r="H28" s="45" t="n"/>
      <c r="I28" s="45" t="n"/>
      <c r="J28" s="48" t="n"/>
      <c r="K28" s="48" t="n"/>
      <c r="L28" s="48" t="n"/>
      <c r="M28" s="45" t="n"/>
      <c r="N28" s="49" t="n"/>
      <c r="O28" s="44" t="n"/>
      <c r="P28" s="49" t="n"/>
      <c r="Q28" s="49" t="n"/>
      <c r="R28" s="54" t="n"/>
      <c r="S28" s="48" t="n"/>
      <c r="T28" s="45" t="n"/>
      <c r="U28" s="45" t="n"/>
      <c r="V28" s="48" t="n"/>
      <c r="W28" s="45" t="n"/>
      <c r="X28" s="45" t="n"/>
      <c r="Y28" s="45" t="n"/>
      <c r="Z28" s="45" t="n"/>
      <c r="AA28" s="51" t="n"/>
      <c r="AB28" s="1" t="n"/>
    </row>
    <row r="29" ht="18" customHeight="1" s="53">
      <c r="B29" s="44" t="n"/>
      <c r="C29" s="49" t="n"/>
      <c r="D29" s="49" t="n"/>
      <c r="E29" s="49" t="n"/>
      <c r="F29" s="46" t="n"/>
      <c r="G29" s="47" t="n"/>
      <c r="H29" s="45" t="n"/>
      <c r="I29" s="45" t="n"/>
      <c r="J29" s="48" t="n"/>
      <c r="K29" s="48" t="n"/>
      <c r="L29" s="48" t="n"/>
      <c r="M29" s="48" t="n"/>
      <c r="N29" s="49" t="n"/>
      <c r="O29" s="44" t="n"/>
      <c r="P29" s="49" t="n"/>
      <c r="Q29" s="49" t="n"/>
      <c r="R29" s="54" t="n"/>
      <c r="S29" s="48" t="n"/>
      <c r="T29" s="45" t="n"/>
      <c r="U29" s="45" t="n"/>
      <c r="V29" s="48" t="n"/>
      <c r="W29" s="45" t="n"/>
      <c r="X29" s="45" t="n"/>
      <c r="Y29" s="45" t="n"/>
      <c r="Z29" s="45" t="n"/>
      <c r="AA29" s="51" t="n"/>
      <c r="AB29" s="1" t="n"/>
    </row>
    <row r="30" ht="18" customHeight="1" s="53">
      <c r="B30" s="44" t="n"/>
      <c r="C30" s="49" t="n"/>
      <c r="D30" s="49" t="n"/>
      <c r="E30" s="49" t="n"/>
      <c r="F30" s="46" t="n"/>
      <c r="G30" s="47" t="n"/>
      <c r="H30" s="45" t="n"/>
      <c r="I30" s="45" t="n"/>
      <c r="J30" s="48" t="n"/>
      <c r="K30" s="48" t="n"/>
      <c r="L30" s="48" t="n"/>
      <c r="M30" s="48" t="n"/>
      <c r="N30" s="49" t="n"/>
      <c r="O30" s="44" t="n"/>
      <c r="P30" s="49" t="n"/>
      <c r="Q30" s="49" t="n"/>
      <c r="R30" s="54" t="n"/>
      <c r="S30" s="48" t="n"/>
      <c r="T30" s="45" t="n"/>
      <c r="U30" s="45" t="n"/>
      <c r="V30" s="48" t="n"/>
      <c r="W30" s="45" t="n"/>
      <c r="X30" s="45" t="n"/>
      <c r="Y30" s="45" t="n"/>
      <c r="Z30" s="45" t="n"/>
      <c r="AA30" s="51" t="n"/>
      <c r="AB30" s="1" t="n"/>
    </row>
    <row r="31" ht="18" customHeight="1" s="53">
      <c r="B31" s="44" t="n"/>
      <c r="C31" s="49" t="n"/>
      <c r="D31" s="49" t="n"/>
      <c r="E31" s="49" t="n"/>
      <c r="F31" s="46" t="n"/>
      <c r="G31" s="47" t="n"/>
      <c r="H31" s="45" t="n"/>
      <c r="I31" s="45" t="n"/>
      <c r="J31" s="48" t="n"/>
      <c r="K31" s="48" t="n"/>
      <c r="L31" s="48" t="n"/>
      <c r="M31" s="48" t="n"/>
      <c r="N31" s="49" t="n"/>
      <c r="O31" s="44" t="n"/>
      <c r="P31" s="49" t="n"/>
      <c r="Q31" s="49" t="n"/>
      <c r="R31" s="54" t="n"/>
      <c r="S31" s="48" t="n"/>
      <c r="T31" s="45" t="n"/>
      <c r="U31" s="45" t="n"/>
      <c r="V31" s="48" t="n"/>
      <c r="W31" s="45" t="n"/>
      <c r="X31" s="45" t="n"/>
      <c r="Y31" s="45" t="n"/>
      <c r="Z31" s="45" t="n"/>
      <c r="AA31" s="51" t="n"/>
      <c r="AB31" s="1" t="n"/>
    </row>
    <row r="32" ht="18" customHeight="1" s="53">
      <c r="B32" s="44" t="n"/>
      <c r="C32" s="49" t="n"/>
      <c r="D32" s="49" t="n"/>
      <c r="E32" s="49" t="n"/>
      <c r="F32" s="46" t="n"/>
      <c r="G32" s="47" t="n"/>
      <c r="H32" s="45" t="n"/>
      <c r="I32" s="45" t="n"/>
      <c r="J32" s="48" t="n"/>
      <c r="K32" s="48" t="n"/>
      <c r="L32" s="48" t="n"/>
      <c r="M32" s="48" t="n"/>
      <c r="N32" s="49" t="n"/>
      <c r="O32" s="44" t="n"/>
      <c r="P32" s="49" t="n"/>
      <c r="Q32" s="49" t="n"/>
      <c r="R32" s="54" t="n"/>
      <c r="S32" s="48" t="n"/>
      <c r="T32" s="45" t="n"/>
      <c r="U32" s="45" t="n"/>
      <c r="V32" s="48" t="n"/>
      <c r="W32" s="45" t="n"/>
      <c r="X32" s="45" t="n"/>
      <c r="Y32" s="45" t="n"/>
      <c r="Z32" s="45" t="n"/>
      <c r="AA32" s="51" t="n"/>
      <c r="AB32" s="1" t="n"/>
    </row>
    <row r="33" ht="18" customHeight="1" s="53">
      <c r="B33" s="44" t="n"/>
      <c r="C33" s="49" t="n"/>
      <c r="D33" s="49" t="n"/>
      <c r="E33" s="49" t="n"/>
      <c r="F33" s="46" t="n"/>
      <c r="G33" s="47" t="n"/>
      <c r="H33" s="45" t="n"/>
      <c r="I33" s="45" t="n"/>
      <c r="J33" s="48" t="n"/>
      <c r="K33" s="48" t="n"/>
      <c r="L33" s="48" t="n"/>
      <c r="M33" s="48" t="n"/>
      <c r="N33" s="49" t="n"/>
      <c r="O33" s="44" t="n"/>
      <c r="P33" s="49" t="n"/>
      <c r="Q33" s="49" t="n"/>
      <c r="R33" s="54" t="n"/>
      <c r="S33" s="48" t="n"/>
      <c r="T33" s="45" t="n"/>
      <c r="U33" s="45" t="n"/>
      <c r="V33" s="48" t="n"/>
      <c r="W33" s="45" t="n"/>
      <c r="X33" s="45" t="n"/>
      <c r="Y33" s="45" t="n"/>
      <c r="Z33" s="45" t="n"/>
      <c r="AA33" s="51" t="n"/>
      <c r="AB33" s="1" t="n"/>
    </row>
    <row r="34" ht="18" customHeight="1" s="53">
      <c r="B34" s="44" t="n"/>
      <c r="C34" s="49" t="n"/>
      <c r="D34" s="49" t="n"/>
      <c r="E34" s="49" t="n"/>
      <c r="F34" s="46" t="n"/>
      <c r="G34" s="47" t="n"/>
      <c r="H34" s="45" t="n"/>
      <c r="I34" s="45" t="n"/>
      <c r="J34" s="48" t="n"/>
      <c r="K34" s="48" t="n"/>
      <c r="L34" s="48" t="n"/>
      <c r="M34" s="48" t="n"/>
      <c r="N34" s="49" t="n"/>
      <c r="O34" s="44" t="n"/>
      <c r="P34" s="49" t="n"/>
      <c r="Q34" s="49" t="n"/>
      <c r="R34" s="54" t="n"/>
      <c r="S34" s="48" t="n"/>
      <c r="T34" s="45" t="n"/>
      <c r="U34" s="45" t="n"/>
      <c r="V34" s="48" t="n"/>
      <c r="W34" s="45" t="n"/>
      <c r="X34" s="45" t="n"/>
      <c r="Y34" s="45" t="n"/>
      <c r="Z34" s="45" t="n"/>
      <c r="AA34" s="51" t="n"/>
      <c r="AB34" s="1" t="n"/>
    </row>
    <row r="35" ht="18" customHeight="1" s="53">
      <c r="B35" s="44" t="n"/>
      <c r="C35" s="49" t="n"/>
      <c r="D35" s="49" t="n"/>
      <c r="E35" s="49" t="n"/>
      <c r="F35" s="46" t="n"/>
      <c r="G35" s="47" t="n"/>
      <c r="H35" s="45" t="n"/>
      <c r="I35" s="45" t="n"/>
      <c r="J35" s="48" t="n"/>
      <c r="K35" s="48" t="n"/>
      <c r="L35" s="48" t="n"/>
      <c r="M35" s="48" t="n"/>
      <c r="N35" s="49" t="n"/>
      <c r="O35" s="44" t="n"/>
      <c r="P35" s="49" t="n"/>
      <c r="Q35" s="49" t="n"/>
      <c r="R35" s="54" t="n"/>
      <c r="S35" s="48" t="n"/>
      <c r="T35" s="45" t="n"/>
      <c r="U35" s="45" t="n"/>
      <c r="V35" s="48" t="n"/>
      <c r="W35" s="45" t="n"/>
      <c r="X35" s="45" t="n"/>
      <c r="Y35" s="45" t="n"/>
      <c r="Z35" s="45" t="n"/>
      <c r="AA35" s="51" t="n"/>
      <c r="AB35" s="1" t="n"/>
    </row>
    <row r="36" ht="18" customHeight="1" s="53">
      <c r="B36" s="44" t="n"/>
      <c r="C36" s="45" t="n"/>
      <c r="D36" s="45" t="n"/>
      <c r="E36" s="47" t="n"/>
      <c r="F36" s="46" t="n"/>
      <c r="G36" s="47" t="n"/>
      <c r="H36" s="45" t="n"/>
      <c r="I36" s="45" t="n"/>
      <c r="J36" s="48" t="n"/>
      <c r="K36" s="48" t="n"/>
      <c r="L36" s="48" t="n"/>
      <c r="M36" s="48" t="n"/>
      <c r="N36" s="49" t="n"/>
      <c r="O36" s="44" t="n"/>
      <c r="P36" s="49" t="n"/>
      <c r="Q36" s="49" t="n"/>
      <c r="R36" s="54" t="n"/>
      <c r="S36" s="48" t="n"/>
      <c r="T36" s="45" t="n"/>
      <c r="U36" s="45" t="n"/>
      <c r="V36" s="48" t="n"/>
      <c r="W36" s="45" t="n"/>
      <c r="X36" s="45" t="n"/>
      <c r="Y36" s="45" t="n"/>
      <c r="Z36" s="45" t="n"/>
      <c r="AA36" s="51" t="n"/>
      <c r="AB36" s="1" t="n"/>
    </row>
    <row r="37" ht="18" customHeight="1" s="53">
      <c r="B37" s="44" t="n"/>
      <c r="C37" s="45" t="n"/>
      <c r="D37" s="45" t="n"/>
      <c r="E37" s="47" t="n"/>
      <c r="F37" s="46" t="n"/>
      <c r="G37" s="47" t="n"/>
      <c r="H37" s="45" t="n"/>
      <c r="I37" s="45" t="n"/>
      <c r="J37" s="48" t="n"/>
      <c r="K37" s="48" t="n"/>
      <c r="L37" s="48" t="n"/>
      <c r="M37" s="48" t="n"/>
      <c r="N37" s="49" t="n"/>
      <c r="O37" s="44" t="n"/>
      <c r="P37" s="49" t="n"/>
      <c r="Q37" s="49" t="n"/>
      <c r="R37" s="54" t="n"/>
      <c r="S37" s="48" t="n"/>
      <c r="T37" s="45" t="n"/>
      <c r="U37" s="45" t="n"/>
      <c r="V37" s="48" t="n"/>
      <c r="W37" s="45" t="n"/>
      <c r="X37" s="45" t="n"/>
      <c r="Y37" s="45" t="n"/>
      <c r="Z37" s="45" t="n"/>
      <c r="AA37" s="51" t="n"/>
      <c r="AB37" s="1" t="n"/>
    </row>
    <row r="38" ht="18" customHeight="1" s="53">
      <c r="B38" s="44" t="n"/>
      <c r="C38" s="45" t="n"/>
      <c r="D38" s="45" t="n"/>
      <c r="E38" s="47" t="n"/>
      <c r="F38" s="8" t="n"/>
      <c r="G38" s="47" t="n"/>
      <c r="H38" s="45" t="n"/>
      <c r="I38" s="45" t="n"/>
      <c r="J38" s="48" t="n"/>
      <c r="K38" s="48" t="n"/>
      <c r="L38" s="48" t="n"/>
      <c r="M38" s="48" t="n"/>
      <c r="N38" s="49" t="n"/>
      <c r="O38" s="44" t="n"/>
      <c r="P38" s="49" t="n"/>
      <c r="Q38" s="49" t="n"/>
      <c r="R38" s="54" t="n"/>
      <c r="S38" s="48" t="n"/>
      <c r="T38" s="45" t="n"/>
      <c r="U38" s="45" t="n"/>
      <c r="V38" s="48" t="n"/>
      <c r="W38" s="45" t="n"/>
      <c r="X38" s="45" t="n"/>
      <c r="Y38" s="45" t="n"/>
      <c r="Z38" s="45" t="n"/>
      <c r="AA38" s="51" t="n"/>
      <c r="AB38" s="1" t="n"/>
    </row>
    <row r="39" ht="18" customHeight="1" s="53">
      <c r="B39" s="44" t="n"/>
      <c r="C39" s="45" t="n"/>
      <c r="D39" s="45" t="n"/>
      <c r="E39" s="47" t="n"/>
      <c r="F39" s="46" t="n"/>
      <c r="G39" s="47" t="n"/>
      <c r="H39" s="45" t="n"/>
      <c r="I39" s="45" t="n"/>
      <c r="J39" s="48" t="n"/>
      <c r="K39" s="48" t="n"/>
      <c r="L39" s="48" t="n"/>
      <c r="M39" s="48" t="n"/>
      <c r="N39" s="49" t="n"/>
      <c r="O39" s="44" t="n"/>
      <c r="P39" s="49" t="n"/>
      <c r="Q39" s="49" t="n"/>
      <c r="R39" s="54" t="n"/>
      <c r="S39" s="48" t="n"/>
      <c r="T39" s="45" t="n"/>
      <c r="U39" s="45" t="n"/>
      <c r="V39" s="48" t="n"/>
      <c r="W39" s="45" t="n"/>
      <c r="X39" s="45" t="n"/>
      <c r="Y39" s="45" t="n"/>
      <c r="Z39" s="45" t="n"/>
      <c r="AA39" s="51" t="n"/>
      <c r="AB39" s="1" t="n"/>
    </row>
    <row r="40" ht="18" customHeight="1" s="53">
      <c r="B40" s="44" t="n"/>
      <c r="C40" s="45" t="n"/>
      <c r="D40" s="45" t="n"/>
      <c r="E40" s="47" t="n"/>
      <c r="F40" s="46" t="n"/>
      <c r="G40" s="47" t="n"/>
      <c r="H40" s="45" t="n"/>
      <c r="I40" s="45" t="n"/>
      <c r="J40" s="48" t="n"/>
      <c r="K40" s="48" t="n"/>
      <c r="L40" s="48" t="n"/>
      <c r="M40" s="48" t="n"/>
      <c r="N40" s="49" t="n"/>
      <c r="O40" s="44" t="n"/>
      <c r="P40" s="49" t="n"/>
      <c r="Q40" s="49" t="n"/>
      <c r="R40" s="54" t="n"/>
      <c r="S40" s="48" t="n"/>
      <c r="T40" s="45" t="n"/>
      <c r="U40" s="45" t="n"/>
      <c r="V40" s="48" t="n"/>
      <c r="W40" s="45" t="n"/>
      <c r="X40" s="45" t="n"/>
      <c r="Y40" s="45" t="n"/>
      <c r="Z40" s="45" t="n"/>
      <c r="AA40" s="51" t="n"/>
      <c r="AB40" s="1" t="n"/>
    </row>
    <row r="41" ht="18.75" customHeight="1" s="53" thickBot="1">
      <c r="B41" s="44" t="n"/>
      <c r="C41" s="45" t="n"/>
      <c r="D41" s="45" t="n"/>
      <c r="E41" s="47" t="n"/>
      <c r="F41" s="46" t="n"/>
      <c r="G41" s="47" t="n"/>
      <c r="H41" s="45" t="n"/>
      <c r="I41" s="45" t="n"/>
      <c r="J41" s="48" t="n"/>
      <c r="K41" s="48" t="n"/>
      <c r="L41" s="48" t="n"/>
      <c r="M41" s="48" t="n"/>
      <c r="N41" s="36" t="n"/>
      <c r="O41" s="44" t="n"/>
      <c r="P41" s="49" t="n"/>
      <c r="Q41" s="49" t="n"/>
      <c r="R41" s="38" t="n"/>
      <c r="S41" s="48" t="n"/>
      <c r="T41" s="45" t="n"/>
      <c r="U41" s="45" t="n"/>
      <c r="V41" s="48" t="n"/>
      <c r="W41" s="45" t="n"/>
      <c r="X41" s="45" t="n"/>
      <c r="Y41" s="45" t="n"/>
      <c r="Z41" s="45" t="n"/>
      <c r="AA41" s="51" t="n"/>
      <c r="AB41" s="1" t="n"/>
    </row>
    <row r="42" ht="54.75" customHeight="1" s="53" thickBot="1">
      <c r="B42" s="30" t="inlineStr">
        <is>
          <t>cierre mes anterior</t>
        </is>
      </c>
      <c r="C42" s="45" t="inlineStr"/>
      <c r="D42" s="45" t="inlineStr"/>
      <c r="E42" s="45" t="inlineStr"/>
      <c r="F42" s="41" t="inlineStr"/>
      <c r="G42" s="42" t="inlineStr"/>
      <c r="H42" s="54" t="inlineStr"/>
      <c r="I42" s="45" t="inlineStr"/>
      <c r="J42" s="9" t="n"/>
      <c r="K42" s="9" t="n"/>
      <c r="L42" s="9" t="n"/>
      <c r="M42" s="37">
        <f>SUM(M12:M41)</f>
        <v/>
      </c>
      <c r="N42" s="9" t="n"/>
      <c r="O42" s="9" t="n"/>
      <c r="P42" s="9" t="n"/>
      <c r="Q42" s="9" t="n"/>
      <c r="R42" s="18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3">
        <f>AVERAGE(AA12:AA41)</f>
        <v/>
      </c>
    </row>
    <row r="43" ht="18" customHeight="1" s="53">
      <c r="B43" s="31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8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3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8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3">
      <c r="B45" s="9" t="n"/>
      <c r="C45" s="9" t="n"/>
      <c r="D45" s="34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8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 ht="15.75" customHeight="1" s="53">
      <c r="C46" s="32" t="n"/>
      <c r="R46" s="13" t="n"/>
    </row>
    <row r="47">
      <c r="R47" s="13" t="n"/>
    </row>
    <row r="48">
      <c r="R48" s="13" t="n"/>
    </row>
    <row r="49">
      <c r="R49" s="13" t="n"/>
    </row>
    <row r="50">
      <c r="R50" s="13" t="n"/>
    </row>
    <row r="51">
      <c r="R51" s="13" t="n"/>
    </row>
    <row r="52" ht="18" customHeight="1" s="53">
      <c r="R52" s="13" t="n"/>
      <c r="Z52" s="9" t="inlineStr">
        <is>
          <t>Aprobado:</t>
        </is>
      </c>
    </row>
    <row r="53" ht="18" customHeight="1" s="53">
      <c r="R53" s="13" t="n"/>
      <c r="Z53" s="9" t="inlineStr">
        <is>
          <t>Ms.C. Jorge Luis García Santana</t>
        </is>
      </c>
      <c r="AA53" s="9" t="n"/>
    </row>
    <row r="54" ht="18" customHeight="1" s="53">
      <c r="R54" s="13" t="n"/>
      <c r="Z54" s="9" t="inlineStr">
        <is>
          <t>Director General</t>
        </is>
      </c>
      <c r="AA54" s="9" t="n"/>
    </row>
    <row r="55" ht="18" customHeight="1" s="53">
      <c r="R55" s="13" t="n"/>
      <c r="Z55" s="9" t="inlineStr">
        <is>
          <t>Universidad Camaguey</t>
        </is>
      </c>
      <c r="AA55" s="9" t="n"/>
    </row>
    <row r="56">
      <c r="R56" s="13" t="n"/>
    </row>
    <row r="57">
      <c r="R57" s="13" t="n"/>
    </row>
    <row r="58">
      <c r="R58" s="13" t="n"/>
    </row>
    <row r="59">
      <c r="R59" s="13" t="n"/>
    </row>
    <row r="60">
      <c r="R60" s="13" t="n"/>
    </row>
    <row r="61">
      <c r="R61" s="13" t="n"/>
    </row>
  </sheetData>
  <mergeCells count="10">
    <mergeCell ref="X8:AA8"/>
    <mergeCell ref="C5:E5"/>
    <mergeCell ref="C8:I8"/>
    <mergeCell ref="J8:M8"/>
    <mergeCell ref="Q8:Q9"/>
    <mergeCell ref="B8:B9"/>
    <mergeCell ref="AB8:A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7.xml><?xml version="1.0" encoding="utf-8"?>
<worksheet xmlns="http://schemas.openxmlformats.org/spreadsheetml/2006/main">
  <sheetPr codeName="Hoja7">
    <outlinePr summaryBelow="1" summaryRight="1"/>
    <pageSetUpPr fitToPage="1"/>
  </sheetPr>
  <dimension ref="B2:AB55"/>
  <sheetViews>
    <sheetView zoomScale="60" zoomScaleNormal="60" zoomScaleSheetLayoutView="95" workbookViewId="0">
      <pane ySplit="1" topLeftCell="A2" activePane="bottomLeft" state="frozen"/>
      <selection pane="bottomLeft" activeCell="A7" sqref="A7:XFD7"/>
    </sheetView>
  </sheetViews>
  <sheetFormatPr baseColWidth="10" defaultColWidth="11.42578125" defaultRowHeight="15"/>
  <cols>
    <col width="11.42578125" customWidth="1" style="53" min="1" max="2"/>
    <col width="12.28515625" bestFit="1" customWidth="1" style="53" min="3" max="3"/>
    <col width="12.140625" customWidth="1" style="53" min="4" max="4"/>
    <col width="11.42578125" customWidth="1" style="53" min="5" max="5"/>
    <col width="13" customWidth="1" style="53" min="6" max="7"/>
    <col width="12" customWidth="1" style="53" min="8" max="8"/>
    <col width="12.28515625" bestFit="1" customWidth="1" style="53" min="9" max="9"/>
    <col width="14" customWidth="1" style="53" min="11" max="11"/>
    <col width="13.42578125" bestFit="1" customWidth="1" style="53" min="16" max="16"/>
    <col width="13.140625" customWidth="1" style="53" min="17" max="17"/>
    <col width="11.42578125" customWidth="1" style="13" min="18" max="18"/>
    <col width="13.28515625" customWidth="1" style="53" min="19" max="19"/>
    <col width="14.7109375" bestFit="1" customWidth="1" style="53" min="20" max="20"/>
    <col width="11.7109375" bestFit="1" customWidth="1" style="53" min="21" max="21"/>
    <col width="13.28515625" bestFit="1" customWidth="1" style="53" min="22" max="22"/>
    <col width="12.5703125" bestFit="1" customWidth="1" style="53" min="23" max="23"/>
    <col width="11.5703125" bestFit="1" customWidth="1" style="53" min="24" max="24"/>
    <col width="14" bestFit="1" customWidth="1" style="53" min="25" max="25"/>
    <col width="13.42578125" bestFit="1" customWidth="1" style="53" min="26" max="26"/>
    <col width="15.140625" customWidth="1" style="53" min="27" max="27"/>
    <col width="16.140625" customWidth="1" style="53" min="28" max="28"/>
  </cols>
  <sheetData>
    <row r="2" ht="15.75" customHeight="1" s="53">
      <c r="G2" s="23" t="inlineStr">
        <is>
          <t xml:space="preserve">                                                                        ANEXO No. 1.</t>
        </is>
      </c>
    </row>
    <row r="3" ht="15.75" customHeight="1" s="53">
      <c r="G3" s="23" t="inlineStr">
        <is>
          <t xml:space="preserve">                                                                  TABLA 1A</t>
        </is>
      </c>
    </row>
    <row r="4" ht="15.75" customHeight="1" s="53">
      <c r="G4" s="24" t="inlineStr">
        <is>
          <t xml:space="preserve">Cumplimiento del plan de consumo de energía eléctrica total, mes: </t>
        </is>
      </c>
      <c r="N4" s="25" t="inlineStr">
        <is>
          <t>abril-2024</t>
        </is>
      </c>
    </row>
    <row r="5">
      <c r="C5" s="58" t="inlineStr">
        <is>
          <t>SERVICIO: MANUEL FAJARDO</t>
        </is>
      </c>
      <c r="T5" s="40" t="n"/>
      <c r="U5" s="40" t="inlineStr">
        <is>
          <t>total</t>
        </is>
      </c>
      <c r="V5" s="40" t="inlineStr">
        <is>
          <t>diaria</t>
        </is>
      </c>
      <c r="W5" s="35" t="n"/>
    </row>
    <row r="6" ht="15.75" customHeight="1" s="53">
      <c r="C6" t="inlineStr">
        <is>
          <t>SERVICIO: MANUEL FAJARDO</t>
        </is>
      </c>
      <c r="N6" s="11" t="inlineStr">
        <is>
          <t>Plan Pico N</t>
        </is>
      </c>
      <c r="O6" s="26">
        <f>S6*16.5%</f>
        <v/>
      </c>
      <c r="P6" s="27" t="inlineStr">
        <is>
          <t>Plan Pico D</t>
        </is>
      </c>
      <c r="Q6" s="10">
        <f>(S6*8)/100</f>
        <v/>
      </c>
      <c r="R6" s="14" t="inlineStr">
        <is>
          <t>PLAN MES</t>
        </is>
      </c>
      <c r="S6" s="10" t="n">
        <v>21000</v>
      </c>
      <c r="T6" s="40" t="inlineStr">
        <is>
          <t>Perdidas:</t>
        </is>
      </c>
      <c r="U6" s="40" t="n">
        <v>4811</v>
      </c>
      <c r="V6" s="39">
        <f>U6/30</f>
        <v/>
      </c>
    </row>
    <row r="7" ht="15.75" customHeight="1" s="53">
      <c r="N7" s="11" t="n"/>
      <c r="O7" s="26" t="n"/>
      <c r="P7" s="27" t="n"/>
      <c r="Q7" s="10" t="n"/>
      <c r="R7" s="14" t="n"/>
      <c r="S7" s="10" t="n"/>
      <c r="T7" s="40" t="n"/>
      <c r="U7" s="40" t="n"/>
      <c r="V7" s="39" t="n"/>
    </row>
    <row r="8" ht="46.5" customHeight="1" s="53">
      <c r="B8" s="59" t="inlineStr">
        <is>
          <t>Día</t>
        </is>
      </c>
      <c r="C8" s="56" t="inlineStr">
        <is>
          <t>Lectura del contador</t>
        </is>
      </c>
      <c r="D8" s="62" t="n"/>
      <c r="E8" s="62" t="n"/>
      <c r="F8" s="62" t="n"/>
      <c r="G8" s="62" t="n"/>
      <c r="H8" s="62" t="n"/>
      <c r="I8" s="63" t="n"/>
      <c r="J8" s="56" t="inlineStr">
        <is>
          <t>Consumo diario kWh y kvarh</t>
        </is>
      </c>
      <c r="K8" s="62" t="n"/>
      <c r="L8" s="62" t="n"/>
      <c r="M8" s="63" t="n"/>
      <c r="N8" s="56" t="inlineStr">
        <is>
          <t>Consumo diario Pico nocturno kWh</t>
        </is>
      </c>
      <c r="O8" s="62" t="n"/>
      <c r="P8" s="63" t="n"/>
      <c r="Q8" s="57" t="inlineStr">
        <is>
          <t>Consumo diario pico Diurno kWh</t>
        </is>
      </c>
      <c r="R8" s="56" t="inlineStr">
        <is>
          <t>Consumo diario total kWh</t>
        </is>
      </c>
      <c r="S8" s="62" t="n"/>
      <c r="T8" s="63" t="n"/>
      <c r="U8" s="56" t="inlineStr">
        <is>
          <t>Consumo acumulado Pico kWh</t>
        </is>
      </c>
      <c r="V8" s="62" t="n"/>
      <c r="W8" s="63" t="n"/>
      <c r="X8" s="56" t="inlineStr">
        <is>
          <t>Consumo acumulado Total kWh</t>
        </is>
      </c>
      <c r="Y8" s="62" t="n"/>
      <c r="Z8" s="62" t="n"/>
      <c r="AA8" s="63" t="n"/>
      <c r="AB8" s="57" t="inlineStr">
        <is>
          <t>Firma Responsable</t>
        </is>
      </c>
    </row>
    <row r="9" ht="30" customHeight="1" s="53">
      <c r="B9" s="64" t="n"/>
      <c r="C9" s="59" t="inlineStr">
        <is>
          <t>MAD</t>
        </is>
      </c>
      <c r="D9" s="59" t="inlineStr">
        <is>
          <t>DIA</t>
        </is>
      </c>
      <c r="E9" s="59" t="inlineStr">
        <is>
          <t>PICO</t>
        </is>
      </c>
      <c r="F9" s="59" t="inlineStr">
        <is>
          <t>TOTAL</t>
        </is>
      </c>
      <c r="G9" s="59" t="inlineStr">
        <is>
          <t>Pico Diurno 11 am</t>
        </is>
      </c>
      <c r="H9" s="59" t="inlineStr">
        <is>
          <t>Pico Diurno 1 pm</t>
        </is>
      </c>
      <c r="I9" s="59" t="inlineStr">
        <is>
          <t>REACT</t>
        </is>
      </c>
      <c r="J9" s="59" t="inlineStr">
        <is>
          <t>MAD</t>
        </is>
      </c>
      <c r="K9" s="59" t="inlineStr">
        <is>
          <t>DIA</t>
        </is>
      </c>
      <c r="L9" s="59" t="inlineStr">
        <is>
          <t>PICO</t>
        </is>
      </c>
      <c r="M9" s="59" t="inlineStr">
        <is>
          <t>REACT</t>
        </is>
      </c>
      <c r="N9" s="59" t="inlineStr">
        <is>
          <t>Plan Pico</t>
        </is>
      </c>
      <c r="O9" s="59" t="inlineStr">
        <is>
          <t>Real Pico</t>
        </is>
      </c>
      <c r="P9" s="59" t="inlineStr">
        <is>
          <t>Plan - Real</t>
        </is>
      </c>
      <c r="Q9" s="64" t="n"/>
      <c r="R9" s="15" t="inlineStr">
        <is>
          <t>Plan</t>
        </is>
      </c>
      <c r="S9" s="59" t="inlineStr">
        <is>
          <t>Real</t>
        </is>
      </c>
      <c r="T9" s="59" t="inlineStr">
        <is>
          <t>Plan - Real</t>
        </is>
      </c>
      <c r="U9" s="59" t="inlineStr">
        <is>
          <t>Plan Pico</t>
        </is>
      </c>
      <c r="V9" s="59" t="inlineStr">
        <is>
          <t>Real Pico</t>
        </is>
      </c>
      <c r="W9" s="59" t="inlineStr">
        <is>
          <t>Plan - Real</t>
        </is>
      </c>
      <c r="X9" s="59" t="inlineStr">
        <is>
          <t>Plan</t>
        </is>
      </c>
      <c r="Y9" s="59" t="inlineStr">
        <is>
          <t>Real</t>
        </is>
      </c>
      <c r="Z9" s="28" t="inlineStr">
        <is>
          <t>Plan   - Real</t>
        </is>
      </c>
      <c r="AA9" s="59" t="inlineStr">
        <is>
          <t>FP</t>
        </is>
      </c>
      <c r="AB9" s="64" t="n"/>
    </row>
    <row r="10">
      <c r="B10" s="29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6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3">
      <c r="B11" s="44" t="n"/>
      <c r="C11" s="44" t="n"/>
      <c r="D11" s="44" t="n"/>
      <c r="E11" s="44" t="n"/>
      <c r="F11" s="46" t="n"/>
      <c r="G11" s="47" t="n"/>
      <c r="H11" s="45" t="n"/>
      <c r="I11" s="45" t="n"/>
      <c r="J11" s="48" t="n"/>
      <c r="K11" s="48" t="n"/>
      <c r="L11" s="48" t="n"/>
      <c r="M11" s="48" t="n"/>
      <c r="N11" s="49" t="n"/>
      <c r="O11" s="50" t="n"/>
      <c r="P11" s="49" t="n"/>
      <c r="Q11" s="49" t="n"/>
      <c r="R11" s="54" t="n"/>
      <c r="S11" s="48" t="n"/>
      <c r="T11" s="45" t="n"/>
      <c r="U11" s="45" t="n"/>
      <c r="V11" s="45" t="n"/>
      <c r="W11" s="45" t="n"/>
      <c r="X11" s="45" t="n"/>
      <c r="Y11" s="45" t="n"/>
      <c r="Z11" s="45" t="n"/>
      <c r="AA11" s="51" t="n"/>
      <c r="AB11" s="52" t="n"/>
    </row>
    <row r="12" ht="18" customHeight="1" s="53">
      <c r="B12" s="44" t="n"/>
      <c r="C12" s="49" t="n"/>
      <c r="D12" s="49" t="n"/>
      <c r="E12" s="49" t="n"/>
      <c r="F12" s="46" t="n"/>
      <c r="G12" s="47" t="n"/>
      <c r="H12" s="45" t="n"/>
      <c r="I12" s="45" t="n"/>
      <c r="J12" s="48" t="n"/>
      <c r="K12" s="48" t="n"/>
      <c r="L12" s="48" t="n"/>
      <c r="M12" s="48" t="n"/>
      <c r="N12" s="49" t="n"/>
      <c r="O12" s="50" t="n"/>
      <c r="P12" s="49" t="n"/>
      <c r="Q12" s="49" t="n"/>
      <c r="R12" s="54" t="n"/>
      <c r="S12" s="48" t="n"/>
      <c r="T12" s="45" t="n"/>
      <c r="U12" s="45" t="n"/>
      <c r="V12" s="45" t="n"/>
      <c r="W12" s="45" t="n"/>
      <c r="X12" s="45" t="n"/>
      <c r="Y12" s="45" t="n"/>
      <c r="Z12" s="45" t="n"/>
      <c r="AA12" s="51" t="n"/>
      <c r="AB12" s="52" t="n"/>
    </row>
    <row r="13" ht="18" customHeight="1" s="53">
      <c r="B13" s="44" t="n"/>
      <c r="C13" s="49" t="n"/>
      <c r="D13" s="49" t="n"/>
      <c r="E13" s="49" t="n"/>
      <c r="F13" s="46" t="n"/>
      <c r="G13" s="47" t="n"/>
      <c r="H13" s="45" t="n"/>
      <c r="I13" s="45" t="n"/>
      <c r="J13" s="48" t="n"/>
      <c r="K13" s="48" t="n"/>
      <c r="L13" s="48" t="n"/>
      <c r="M13" s="48" t="n"/>
      <c r="N13" s="49" t="n"/>
      <c r="O13" s="50" t="n"/>
      <c r="P13" s="49" t="n"/>
      <c r="Q13" s="49" t="n"/>
      <c r="R13" s="54" t="n"/>
      <c r="S13" s="48" t="n"/>
      <c r="T13" s="45" t="n"/>
      <c r="U13" s="45" t="n"/>
      <c r="V13" s="45" t="n"/>
      <c r="W13" s="45" t="n"/>
      <c r="X13" s="45" t="n"/>
      <c r="Y13" s="45" t="n"/>
      <c r="Z13" s="45" t="n"/>
      <c r="AA13" s="51" t="n"/>
      <c r="AB13" s="52" t="n"/>
    </row>
    <row r="14" ht="18" customHeight="1" s="53">
      <c r="B14" s="44" t="n"/>
      <c r="C14" s="49" t="n"/>
      <c r="D14" s="49" t="n"/>
      <c r="E14" s="49" t="n"/>
      <c r="F14" s="46" t="n"/>
      <c r="G14" s="47" t="n"/>
      <c r="H14" s="45" t="n"/>
      <c r="I14" s="45" t="n"/>
      <c r="J14" s="45" t="n"/>
      <c r="K14" s="48" t="n"/>
      <c r="L14" s="48" t="n"/>
      <c r="M14" s="48" t="n"/>
      <c r="N14" s="49" t="n"/>
      <c r="O14" s="50" t="n"/>
      <c r="P14" s="49" t="n"/>
      <c r="Q14" s="49" t="n"/>
      <c r="R14" s="54" t="n"/>
      <c r="S14" s="48" t="n"/>
      <c r="T14" s="45" t="n"/>
      <c r="U14" s="45" t="n"/>
      <c r="V14" s="45" t="n"/>
      <c r="W14" s="45" t="n"/>
      <c r="X14" s="45" t="n"/>
      <c r="Y14" s="45" t="n"/>
      <c r="Z14" s="45" t="n"/>
      <c r="AA14" s="51" t="n"/>
      <c r="AB14" s="52" t="n"/>
    </row>
    <row r="15" ht="18" customHeight="1" s="53">
      <c r="B15" s="44" t="n"/>
      <c r="C15" s="49" t="n"/>
      <c r="D15" s="49" t="n"/>
      <c r="E15" s="49" t="n"/>
      <c r="F15" s="46" t="n"/>
      <c r="G15" s="47" t="n"/>
      <c r="H15" s="45" t="n"/>
      <c r="I15" s="45" t="n"/>
      <c r="J15" s="48" t="n"/>
      <c r="K15" s="48" t="n"/>
      <c r="L15" s="48" t="n"/>
      <c r="M15" s="48" t="n"/>
      <c r="N15" s="49" t="n"/>
      <c r="O15" s="50" t="n"/>
      <c r="P15" s="49" t="n"/>
      <c r="Q15" s="49" t="n"/>
      <c r="R15" s="54" t="n"/>
      <c r="S15" s="48" t="n"/>
      <c r="T15" s="45" t="n"/>
      <c r="U15" s="45" t="n"/>
      <c r="V15" s="45" t="n"/>
      <c r="W15" s="45" t="n"/>
      <c r="X15" s="45" t="n"/>
      <c r="Y15" s="45" t="n"/>
      <c r="Z15" s="45" t="n"/>
      <c r="AA15" s="51" t="n"/>
      <c r="AB15" s="52" t="n"/>
    </row>
    <row r="16" ht="18" customHeight="1" s="53">
      <c r="B16" s="44" t="n"/>
      <c r="C16" s="49" t="n"/>
      <c r="D16" s="49" t="n"/>
      <c r="E16" s="49" t="n"/>
      <c r="F16" s="46" t="n"/>
      <c r="G16" s="47" t="n"/>
      <c r="H16" s="45" t="n"/>
      <c r="I16" s="45" t="n"/>
      <c r="J16" s="48" t="n"/>
      <c r="K16" s="48" t="n"/>
      <c r="L16" s="48" t="n"/>
      <c r="M16" s="48" t="n"/>
      <c r="N16" s="49" t="n"/>
      <c r="O16" s="50" t="n"/>
      <c r="P16" s="49" t="n"/>
      <c r="Q16" s="49" t="n"/>
      <c r="R16" s="54" t="n"/>
      <c r="S16" s="48" t="n"/>
      <c r="T16" s="45" t="n"/>
      <c r="U16" s="45" t="n"/>
      <c r="V16" s="45" t="n"/>
      <c r="W16" s="45" t="n"/>
      <c r="X16" s="45" t="n"/>
      <c r="Y16" s="45" t="n"/>
      <c r="Z16" s="45" t="n"/>
      <c r="AA16" s="51" t="n"/>
      <c r="AB16" s="52" t="n"/>
    </row>
    <row r="17" ht="18" customHeight="1" s="53">
      <c r="B17" s="44" t="n"/>
      <c r="C17" s="49" t="n"/>
      <c r="D17" s="49" t="n"/>
      <c r="E17" s="49" t="n"/>
      <c r="F17" s="46" t="n"/>
      <c r="G17" s="47" t="n"/>
      <c r="H17" s="45" t="n"/>
      <c r="I17" s="45" t="n"/>
      <c r="J17" s="48" t="n"/>
      <c r="K17" s="48" t="n"/>
      <c r="L17" s="48" t="n"/>
      <c r="M17" s="48" t="n"/>
      <c r="N17" s="49" t="n"/>
      <c r="O17" s="50" t="n"/>
      <c r="P17" s="49" t="n"/>
      <c r="Q17" s="49" t="n"/>
      <c r="R17" s="54" t="n"/>
      <c r="S17" s="48" t="n"/>
      <c r="T17" s="45" t="n"/>
      <c r="U17" s="45" t="n"/>
      <c r="V17" s="45" t="n"/>
      <c r="W17" s="45" t="n"/>
      <c r="X17" s="45" t="n"/>
      <c r="Y17" s="45" t="n"/>
      <c r="Z17" s="45" t="n"/>
      <c r="AA17" s="51" t="n"/>
      <c r="AB17" s="52" t="n"/>
    </row>
    <row r="18" ht="18" customHeight="1" s="53">
      <c r="B18" s="44" t="n"/>
      <c r="C18" s="49" t="n"/>
      <c r="D18" s="49" t="n"/>
      <c r="E18" s="49" t="n"/>
      <c r="F18" s="46" t="n"/>
      <c r="G18" s="47" t="n"/>
      <c r="H18" s="45" t="n"/>
      <c r="I18" s="45" t="n"/>
      <c r="J18" s="48" t="n"/>
      <c r="K18" s="48" t="n"/>
      <c r="L18" s="48" t="n"/>
      <c r="M18" s="48" t="n"/>
      <c r="N18" s="49" t="n"/>
      <c r="O18" s="50" t="n"/>
      <c r="P18" s="49" t="n"/>
      <c r="Q18" s="49" t="n"/>
      <c r="R18" s="54" t="n"/>
      <c r="S18" s="48" t="n"/>
      <c r="T18" s="45" t="n"/>
      <c r="U18" s="45" t="n"/>
      <c r="V18" s="45" t="n"/>
      <c r="W18" s="45" t="n"/>
      <c r="X18" s="45" t="n"/>
      <c r="Y18" s="45" t="n"/>
      <c r="Z18" s="45" t="n"/>
      <c r="AA18" s="51" t="n"/>
      <c r="AB18" s="52" t="n"/>
    </row>
    <row r="19" ht="18" customHeight="1" s="53">
      <c r="B19" s="44" t="n"/>
      <c r="C19" s="49" t="n"/>
      <c r="D19" s="49" t="n"/>
      <c r="E19" s="49" t="n"/>
      <c r="F19" s="46" t="n"/>
      <c r="G19" s="47" t="n"/>
      <c r="H19" s="45" t="n"/>
      <c r="I19" s="45" t="n"/>
      <c r="J19" s="48" t="n"/>
      <c r="K19" s="48" t="n"/>
      <c r="L19" s="48" t="n"/>
      <c r="M19" s="48" t="n"/>
      <c r="N19" s="49" t="n"/>
      <c r="O19" s="44" t="n"/>
      <c r="P19" s="49" t="n"/>
      <c r="Q19" s="49" t="n"/>
      <c r="R19" s="54" t="n"/>
      <c r="S19" s="48" t="n"/>
      <c r="T19" s="45" t="n"/>
      <c r="U19" s="45" t="n"/>
      <c r="V19" s="45" t="n"/>
      <c r="W19" s="45" t="n"/>
      <c r="X19" s="45" t="n"/>
      <c r="Y19" s="45" t="n"/>
      <c r="Z19" s="45" t="n"/>
      <c r="AA19" s="51" t="n"/>
      <c r="AB19" s="1" t="n"/>
    </row>
    <row r="20" ht="18" customHeight="1" s="53">
      <c r="B20" s="44" t="n"/>
      <c r="C20" s="49" t="n"/>
      <c r="D20" s="49" t="n"/>
      <c r="E20" s="49" t="n"/>
      <c r="F20" s="46" t="n"/>
      <c r="G20" s="47" t="n"/>
      <c r="H20" s="45" t="n"/>
      <c r="I20" s="45" t="n"/>
      <c r="J20" s="48" t="n"/>
      <c r="K20" s="48" t="n"/>
      <c r="L20" s="48" t="n"/>
      <c r="M20" s="48" t="n"/>
      <c r="N20" s="49" t="n"/>
      <c r="O20" s="44" t="n"/>
      <c r="P20" s="49" t="n"/>
      <c r="Q20" s="49" t="n"/>
      <c r="R20" s="54" t="n"/>
      <c r="S20" s="48" t="n"/>
      <c r="T20" s="45" t="n"/>
      <c r="U20" s="45" t="n"/>
      <c r="V20" s="45" t="n"/>
      <c r="W20" s="45" t="n"/>
      <c r="X20" s="45" t="n"/>
      <c r="Y20" s="45" t="n"/>
      <c r="Z20" s="45" t="n"/>
      <c r="AA20" s="51" t="n"/>
      <c r="AB20" s="1" t="n"/>
    </row>
    <row r="21" ht="18" customHeight="1" s="53">
      <c r="B21" s="44" t="n"/>
      <c r="C21" s="49" t="n"/>
      <c r="D21" s="49" t="n"/>
      <c r="E21" s="49" t="n"/>
      <c r="F21" s="46" t="n"/>
      <c r="G21" s="47" t="n"/>
      <c r="H21" s="45" t="n"/>
      <c r="I21" s="45" t="n"/>
      <c r="J21" s="48" t="n"/>
      <c r="K21" s="48" t="n"/>
      <c r="L21" s="48" t="n"/>
      <c r="M21" s="48" t="n"/>
      <c r="N21" s="49" t="n"/>
      <c r="O21" s="44" t="n"/>
      <c r="P21" s="49" t="n"/>
      <c r="Q21" s="49" t="n"/>
      <c r="R21" s="54" t="n"/>
      <c r="S21" s="48" t="n"/>
      <c r="T21" s="45" t="n"/>
      <c r="U21" s="45" t="n"/>
      <c r="V21" s="45" t="n"/>
      <c r="W21" s="45" t="n"/>
      <c r="X21" s="45" t="n"/>
      <c r="Y21" s="45" t="n"/>
      <c r="Z21" s="45" t="n"/>
      <c r="AA21" s="51" t="n"/>
      <c r="AB21" s="1" t="n"/>
    </row>
    <row r="22" ht="18" customHeight="1" s="53">
      <c r="B22" s="44" t="n"/>
      <c r="C22" s="49" t="n"/>
      <c r="D22" s="49" t="n"/>
      <c r="E22" s="49" t="n"/>
      <c r="F22" s="8" t="n"/>
      <c r="G22" s="47" t="n"/>
      <c r="H22" s="45" t="n"/>
      <c r="I22" s="45" t="n"/>
      <c r="J22" s="48" t="n"/>
      <c r="K22" s="48" t="n"/>
      <c r="L22" s="48" t="n"/>
      <c r="M22" s="48" t="n"/>
      <c r="N22" s="49" t="n"/>
      <c r="O22" s="44" t="n"/>
      <c r="P22" s="49" t="n"/>
      <c r="Q22" s="49" t="n"/>
      <c r="R22" s="54" t="n"/>
      <c r="S22" s="48" t="n"/>
      <c r="T22" s="45" t="n"/>
      <c r="U22" s="45" t="n"/>
      <c r="V22" s="45" t="n"/>
      <c r="W22" s="45" t="n"/>
      <c r="X22" s="45" t="n"/>
      <c r="Y22" s="45" t="n"/>
      <c r="Z22" s="45" t="n"/>
      <c r="AA22" s="51" t="n"/>
      <c r="AB22" s="1" t="n"/>
    </row>
    <row r="23" ht="18" customHeight="1" s="53">
      <c r="B23" s="44" t="n"/>
      <c r="C23" s="49" t="n"/>
      <c r="D23" s="49" t="n"/>
      <c r="E23" s="49" t="n"/>
      <c r="F23" s="46" t="n"/>
      <c r="G23" s="47" t="n"/>
      <c r="H23" s="45" t="n"/>
      <c r="I23" s="45" t="n"/>
      <c r="J23" s="48" t="n"/>
      <c r="K23" s="48" t="n"/>
      <c r="L23" s="48" t="n"/>
      <c r="M23" s="48" t="n"/>
      <c r="N23" s="49" t="n"/>
      <c r="O23" s="44" t="n"/>
      <c r="P23" s="49" t="n"/>
      <c r="Q23" s="49" t="n"/>
      <c r="R23" s="54" t="n"/>
      <c r="S23" s="48" t="n"/>
      <c r="T23" s="45" t="n"/>
      <c r="U23" s="45" t="n"/>
      <c r="V23" s="45" t="n"/>
      <c r="W23" s="45" t="n"/>
      <c r="X23" s="45" t="n"/>
      <c r="Y23" s="45" t="n"/>
      <c r="Z23" s="45" t="n"/>
      <c r="AA23" s="51" t="n"/>
      <c r="AB23" s="1" t="n"/>
    </row>
    <row r="24" ht="18" customHeight="1" s="53">
      <c r="B24" s="44" t="n"/>
      <c r="C24" s="49" t="n"/>
      <c r="D24" s="49" t="n"/>
      <c r="E24" s="49" t="n"/>
      <c r="F24" s="46" t="n"/>
      <c r="G24" s="47" t="n"/>
      <c r="H24" s="45" t="n"/>
      <c r="I24" s="45" t="n"/>
      <c r="J24" s="48" t="n"/>
      <c r="K24" s="48" t="n"/>
      <c r="L24" s="48" t="n"/>
      <c r="M24" s="48" t="n"/>
      <c r="N24" s="49" t="n"/>
      <c r="O24" s="44" t="n"/>
      <c r="P24" s="49" t="n"/>
      <c r="Q24" s="49" t="n"/>
      <c r="R24" s="54" t="n"/>
      <c r="S24" s="48" t="n"/>
      <c r="T24" s="45" t="n"/>
      <c r="U24" s="45" t="n"/>
      <c r="V24" s="45" t="n"/>
      <c r="W24" s="45" t="n"/>
      <c r="X24" s="45" t="n"/>
      <c r="Y24" s="45" t="n"/>
      <c r="Z24" s="45" t="n"/>
      <c r="AA24" s="51" t="n"/>
      <c r="AB24" s="1" t="n"/>
    </row>
    <row r="25" ht="18" customHeight="1" s="53">
      <c r="B25" s="44" t="n"/>
      <c r="C25" s="49" t="n"/>
      <c r="D25" s="49" t="n"/>
      <c r="E25" s="49" t="n"/>
      <c r="F25" s="46" t="n"/>
      <c r="G25" s="47" t="n"/>
      <c r="H25" s="45" t="n"/>
      <c r="I25" s="45" t="n"/>
      <c r="J25" s="48" t="n"/>
      <c r="K25" s="48" t="n"/>
      <c r="L25" s="48" t="n"/>
      <c r="M25" s="45" t="n"/>
      <c r="N25" s="49" t="n"/>
      <c r="O25" s="44" t="n"/>
      <c r="P25" s="49" t="n"/>
      <c r="Q25" s="49" t="n"/>
      <c r="R25" s="54" t="n"/>
      <c r="S25" s="48" t="n"/>
      <c r="T25" s="45" t="n"/>
      <c r="U25" s="45" t="n"/>
      <c r="V25" s="48" t="n"/>
      <c r="W25" s="45" t="n"/>
      <c r="X25" s="45" t="n"/>
      <c r="Y25" s="45" t="n"/>
      <c r="Z25" s="45" t="n"/>
      <c r="AA25" s="51" t="n"/>
      <c r="AB25" s="1" t="n"/>
    </row>
    <row r="26" ht="18" customHeight="1" s="53">
      <c r="B26" s="44" t="n"/>
      <c r="C26" s="49" t="n"/>
      <c r="D26" s="49" t="n"/>
      <c r="E26" s="49" t="n"/>
      <c r="F26" s="46" t="n"/>
      <c r="G26" s="47" t="n"/>
      <c r="H26" s="45" t="n"/>
      <c r="I26" s="45" t="n"/>
      <c r="J26" s="48" t="n"/>
      <c r="K26" s="48" t="n"/>
      <c r="L26" s="48" t="n"/>
      <c r="M26" s="45" t="n"/>
      <c r="N26" s="49" t="n"/>
      <c r="O26" s="44" t="n"/>
      <c r="P26" s="49" t="n"/>
      <c r="Q26" s="49" t="n"/>
      <c r="R26" s="54" t="n"/>
      <c r="S26" s="48" t="n"/>
      <c r="T26" s="45" t="n"/>
      <c r="U26" s="45" t="n"/>
      <c r="V26" s="48" t="n"/>
      <c r="W26" s="45" t="n"/>
      <c r="X26" s="45" t="n"/>
      <c r="Y26" s="45" t="n"/>
      <c r="Z26" s="45" t="n"/>
      <c r="AA26" s="51" t="n"/>
      <c r="AB26" s="1" t="n"/>
    </row>
    <row r="27" ht="18" customHeight="1" s="53">
      <c r="B27" s="44" t="n"/>
      <c r="C27" s="49" t="n"/>
      <c r="D27" s="49" t="n"/>
      <c r="E27" s="49" t="n"/>
      <c r="F27" s="46" t="n"/>
      <c r="G27" s="47" t="n"/>
      <c r="H27" s="45" t="n"/>
      <c r="I27" s="45" t="n"/>
      <c r="J27" s="48" t="n"/>
      <c r="K27" s="48" t="n"/>
      <c r="L27" s="48" t="n"/>
      <c r="M27" s="45" t="n"/>
      <c r="N27" s="49" t="n"/>
      <c r="O27" s="44" t="n"/>
      <c r="P27" s="49" t="n"/>
      <c r="Q27" s="49" t="n"/>
      <c r="R27" s="54" t="n"/>
      <c r="S27" s="48" t="n"/>
      <c r="T27" s="45" t="n"/>
      <c r="U27" s="45" t="n"/>
      <c r="V27" s="48" t="n"/>
      <c r="W27" s="45" t="n"/>
      <c r="X27" s="45" t="n"/>
      <c r="Y27" s="45" t="n"/>
      <c r="Z27" s="45" t="n"/>
      <c r="AA27" s="51" t="n"/>
      <c r="AB27" s="1" t="n"/>
    </row>
    <row r="28" ht="18" customHeight="1" s="53">
      <c r="B28" s="44" t="n"/>
      <c r="C28" s="49" t="n"/>
      <c r="D28" s="49" t="n"/>
      <c r="E28" s="49" t="n"/>
      <c r="F28" s="46" t="n"/>
      <c r="G28" s="47" t="n"/>
      <c r="H28" s="45" t="n"/>
      <c r="I28" s="45" t="n"/>
      <c r="J28" s="48" t="n"/>
      <c r="K28" s="48" t="n"/>
      <c r="L28" s="48" t="n"/>
      <c r="M28" s="45" t="n"/>
      <c r="N28" s="49" t="n"/>
      <c r="O28" s="44" t="n"/>
      <c r="P28" s="49" t="n"/>
      <c r="Q28" s="49" t="n"/>
      <c r="R28" s="54" t="n"/>
      <c r="S28" s="48" t="n"/>
      <c r="T28" s="45" t="n"/>
      <c r="U28" s="45" t="n"/>
      <c r="V28" s="48" t="n"/>
      <c r="W28" s="45" t="n"/>
      <c r="X28" s="45" t="n"/>
      <c r="Y28" s="45" t="n"/>
      <c r="Z28" s="45" t="n"/>
      <c r="AA28" s="51" t="n"/>
      <c r="AB28" s="1" t="n"/>
    </row>
    <row r="29" ht="18" customHeight="1" s="53">
      <c r="B29" s="44" t="n"/>
      <c r="C29" s="49" t="n"/>
      <c r="D29" s="49" t="n"/>
      <c r="E29" s="49" t="n"/>
      <c r="F29" s="46" t="n"/>
      <c r="G29" s="47" t="n"/>
      <c r="H29" s="45" t="n"/>
      <c r="I29" s="45" t="n"/>
      <c r="J29" s="48" t="n"/>
      <c r="K29" s="48" t="n"/>
      <c r="L29" s="48" t="n"/>
      <c r="M29" s="48" t="n"/>
      <c r="N29" s="49" t="n"/>
      <c r="O29" s="44" t="n"/>
      <c r="P29" s="49" t="n"/>
      <c r="Q29" s="49" t="n"/>
      <c r="R29" s="54" t="n"/>
      <c r="S29" s="48" t="n"/>
      <c r="T29" s="45" t="n"/>
      <c r="U29" s="45" t="n"/>
      <c r="V29" s="48" t="n"/>
      <c r="W29" s="45" t="n"/>
      <c r="X29" s="45" t="n"/>
      <c r="Y29" s="45" t="n"/>
      <c r="Z29" s="45" t="n"/>
      <c r="AA29" s="51" t="n"/>
      <c r="AB29" s="1" t="n"/>
    </row>
    <row r="30" ht="18" customHeight="1" s="53">
      <c r="B30" s="44" t="n"/>
      <c r="C30" s="49" t="n"/>
      <c r="D30" s="49" t="n"/>
      <c r="E30" s="49" t="n"/>
      <c r="F30" s="46" t="n"/>
      <c r="G30" s="47" t="n"/>
      <c r="H30" s="45" t="n"/>
      <c r="I30" s="45" t="n"/>
      <c r="J30" s="48" t="n"/>
      <c r="K30" s="48" t="n"/>
      <c r="L30" s="48" t="n"/>
      <c r="M30" s="48" t="n"/>
      <c r="N30" s="49" t="n"/>
      <c r="O30" s="44" t="n"/>
      <c r="P30" s="49" t="n"/>
      <c r="Q30" s="49" t="n"/>
      <c r="R30" s="54" t="n"/>
      <c r="S30" s="48" t="n"/>
      <c r="T30" s="45" t="n"/>
      <c r="U30" s="45" t="n"/>
      <c r="V30" s="48" t="n"/>
      <c r="W30" s="45" t="n"/>
      <c r="X30" s="45" t="n"/>
      <c r="Y30" s="45" t="n"/>
      <c r="Z30" s="45" t="n"/>
      <c r="AA30" s="51" t="n"/>
      <c r="AB30" s="1" t="n"/>
    </row>
    <row r="31" ht="18" customHeight="1" s="53">
      <c r="B31" s="44" t="n"/>
      <c r="C31" s="49" t="n"/>
      <c r="D31" s="49" t="n"/>
      <c r="E31" s="49" t="n"/>
      <c r="F31" s="46" t="n"/>
      <c r="G31" s="47" t="n"/>
      <c r="H31" s="45" t="n"/>
      <c r="I31" s="45" t="n"/>
      <c r="J31" s="48" t="n"/>
      <c r="K31" s="48" t="n"/>
      <c r="L31" s="48" t="n"/>
      <c r="M31" s="48" t="n"/>
      <c r="N31" s="49" t="n"/>
      <c r="O31" s="44" t="n"/>
      <c r="P31" s="49" t="n"/>
      <c r="Q31" s="49" t="n"/>
      <c r="R31" s="54" t="n"/>
      <c r="S31" s="48" t="n"/>
      <c r="T31" s="45" t="n"/>
      <c r="U31" s="45" t="n"/>
      <c r="V31" s="48" t="n"/>
      <c r="W31" s="45" t="n"/>
      <c r="X31" s="45" t="n"/>
      <c r="Y31" s="45" t="n"/>
      <c r="Z31" s="45" t="n"/>
      <c r="AA31" s="51" t="n"/>
      <c r="AB31" s="1" t="n"/>
    </row>
    <row r="32" ht="18" customHeight="1" s="53">
      <c r="B32" s="44" t="n"/>
      <c r="C32" s="49" t="n"/>
      <c r="D32" s="49" t="n"/>
      <c r="E32" s="49" t="n"/>
      <c r="F32" s="46" t="n"/>
      <c r="G32" s="47" t="n"/>
      <c r="H32" s="45" t="n"/>
      <c r="I32" s="45" t="n"/>
      <c r="J32" s="48" t="n"/>
      <c r="K32" s="48" t="n"/>
      <c r="L32" s="48" t="n"/>
      <c r="M32" s="48" t="n"/>
      <c r="N32" s="49" t="n"/>
      <c r="O32" s="44" t="n"/>
      <c r="P32" s="49" t="n"/>
      <c r="Q32" s="49" t="n"/>
      <c r="R32" s="54" t="n"/>
      <c r="S32" s="48" t="n"/>
      <c r="T32" s="45" t="n"/>
      <c r="U32" s="45" t="n"/>
      <c r="V32" s="48" t="n"/>
      <c r="W32" s="45" t="n"/>
      <c r="X32" s="45" t="n"/>
      <c r="Y32" s="45" t="n"/>
      <c r="Z32" s="45" t="n"/>
      <c r="AA32" s="51" t="n"/>
      <c r="AB32" s="1" t="n"/>
    </row>
    <row r="33" ht="18" customHeight="1" s="53">
      <c r="B33" s="44" t="n"/>
      <c r="C33" s="49" t="n"/>
      <c r="D33" s="49" t="n"/>
      <c r="E33" s="49" t="n"/>
      <c r="F33" s="46" t="n"/>
      <c r="G33" s="47" t="n"/>
      <c r="H33" s="45" t="n"/>
      <c r="I33" s="45" t="n"/>
      <c r="J33" s="48" t="n"/>
      <c r="K33" s="48" t="n"/>
      <c r="L33" s="48" t="n"/>
      <c r="M33" s="48" t="n"/>
      <c r="N33" s="49" t="n"/>
      <c r="O33" s="44" t="n"/>
      <c r="P33" s="49" t="n"/>
      <c r="Q33" s="49" t="n"/>
      <c r="R33" s="54" t="n"/>
      <c r="S33" s="48" t="n"/>
      <c r="T33" s="45" t="n"/>
      <c r="U33" s="45" t="n"/>
      <c r="V33" s="48" t="n"/>
      <c r="W33" s="45" t="n"/>
      <c r="X33" s="45" t="n"/>
      <c r="Y33" s="45" t="n"/>
      <c r="Z33" s="45" t="n"/>
      <c r="AA33" s="51" t="n"/>
      <c r="AB33" s="1" t="n"/>
    </row>
    <row r="34" ht="18" customHeight="1" s="53">
      <c r="B34" s="44" t="n"/>
      <c r="C34" s="49" t="n"/>
      <c r="D34" s="49" t="n"/>
      <c r="E34" s="49" t="n"/>
      <c r="F34" s="46" t="n"/>
      <c r="G34" s="47" t="n"/>
      <c r="H34" s="45" t="n"/>
      <c r="I34" s="45" t="n"/>
      <c r="J34" s="48" t="n"/>
      <c r="K34" s="48" t="n"/>
      <c r="L34" s="48" t="n"/>
      <c r="M34" s="48" t="n"/>
      <c r="N34" s="49" t="n"/>
      <c r="O34" s="44" t="n"/>
      <c r="P34" s="49" t="n"/>
      <c r="Q34" s="49" t="n"/>
      <c r="R34" s="54" t="n"/>
      <c r="S34" s="48" t="n"/>
      <c r="T34" s="45" t="n"/>
      <c r="U34" s="45" t="n"/>
      <c r="V34" s="48" t="n"/>
      <c r="W34" s="45" t="n"/>
      <c r="X34" s="45" t="n"/>
      <c r="Y34" s="45" t="n"/>
      <c r="Z34" s="45" t="n"/>
      <c r="AA34" s="51" t="n"/>
      <c r="AB34" s="1" t="n"/>
    </row>
    <row r="35" ht="18" customHeight="1" s="53">
      <c r="B35" s="44" t="n"/>
      <c r="C35" s="49" t="n"/>
      <c r="D35" s="49" t="n"/>
      <c r="E35" s="49" t="n"/>
      <c r="F35" s="46" t="n"/>
      <c r="G35" s="47" t="n"/>
      <c r="H35" s="45" t="n"/>
      <c r="I35" s="45" t="n"/>
      <c r="J35" s="48" t="n"/>
      <c r="K35" s="48" t="n"/>
      <c r="L35" s="48" t="n"/>
      <c r="M35" s="48" t="n"/>
      <c r="N35" s="49" t="n"/>
      <c r="O35" s="44" t="n"/>
      <c r="P35" s="49" t="n"/>
      <c r="Q35" s="49" t="n"/>
      <c r="R35" s="54" t="n"/>
      <c r="S35" s="48" t="n"/>
      <c r="T35" s="45" t="n"/>
      <c r="U35" s="45" t="n"/>
      <c r="V35" s="48" t="n"/>
      <c r="W35" s="45" t="n"/>
      <c r="X35" s="45" t="n"/>
      <c r="Y35" s="45" t="n"/>
      <c r="Z35" s="45" t="n"/>
      <c r="AA35" s="51" t="n"/>
      <c r="AB35" s="1" t="n"/>
    </row>
    <row r="36" ht="18" customHeight="1" s="53">
      <c r="B36" s="44" t="n"/>
      <c r="C36" s="45" t="n"/>
      <c r="D36" s="45" t="n"/>
      <c r="E36" s="47" t="n"/>
      <c r="F36" s="46" t="n"/>
      <c r="G36" s="47" t="n"/>
      <c r="H36" s="45" t="n"/>
      <c r="I36" s="45" t="n"/>
      <c r="J36" s="48" t="n"/>
      <c r="K36" s="48" t="n"/>
      <c r="L36" s="48" t="n"/>
      <c r="M36" s="48" t="n"/>
      <c r="N36" s="49" t="n"/>
      <c r="O36" s="44" t="n"/>
      <c r="P36" s="49" t="n"/>
      <c r="Q36" s="49" t="n"/>
      <c r="R36" s="54" t="n"/>
      <c r="S36" s="48" t="n"/>
      <c r="T36" s="45" t="n"/>
      <c r="U36" s="45" t="n"/>
      <c r="V36" s="48" t="n"/>
      <c r="W36" s="45" t="n"/>
      <c r="X36" s="45" t="n"/>
      <c r="Y36" s="45" t="n"/>
      <c r="Z36" s="45" t="n"/>
      <c r="AA36" s="51" t="n"/>
      <c r="AB36" s="1" t="n"/>
    </row>
    <row r="37" ht="18" customHeight="1" s="53">
      <c r="B37" s="44" t="n"/>
      <c r="C37" s="45" t="n"/>
      <c r="D37" s="45" t="n"/>
      <c r="E37" s="47" t="n"/>
      <c r="F37" s="46" t="n"/>
      <c r="G37" s="47" t="n"/>
      <c r="H37" s="45" t="n"/>
      <c r="I37" s="45" t="n"/>
      <c r="J37" s="48" t="n"/>
      <c r="K37" s="48" t="n"/>
      <c r="L37" s="48" t="n"/>
      <c r="M37" s="48" t="n"/>
      <c r="N37" s="49" t="n"/>
      <c r="O37" s="44" t="n"/>
      <c r="P37" s="49" t="n"/>
      <c r="Q37" s="49" t="n"/>
      <c r="R37" s="54" t="n"/>
      <c r="S37" s="48" t="n"/>
      <c r="T37" s="45" t="n"/>
      <c r="U37" s="45" t="n"/>
      <c r="V37" s="48" t="n"/>
      <c r="W37" s="45" t="n"/>
      <c r="X37" s="45" t="n"/>
      <c r="Y37" s="45" t="n"/>
      <c r="Z37" s="45" t="n"/>
      <c r="AA37" s="51" t="n"/>
      <c r="AB37" s="1" t="n"/>
    </row>
    <row r="38" ht="18" customHeight="1" s="53">
      <c r="B38" s="44" t="n"/>
      <c r="C38" s="45" t="n"/>
      <c r="D38" s="45" t="n"/>
      <c r="E38" s="47" t="n"/>
      <c r="F38" s="8" t="n"/>
      <c r="G38" s="47" t="n"/>
      <c r="H38" s="45" t="n"/>
      <c r="I38" s="45" t="n"/>
      <c r="J38" s="48" t="n"/>
      <c r="K38" s="48" t="n"/>
      <c r="L38" s="48" t="n"/>
      <c r="M38" s="48" t="n"/>
      <c r="N38" s="49" t="n"/>
      <c r="O38" s="44" t="n"/>
      <c r="P38" s="49" t="n"/>
      <c r="Q38" s="49" t="n"/>
      <c r="R38" s="54" t="n"/>
      <c r="S38" s="48" t="n"/>
      <c r="T38" s="45" t="n"/>
      <c r="U38" s="45" t="n"/>
      <c r="V38" s="48" t="n"/>
      <c r="W38" s="45" t="n"/>
      <c r="X38" s="45" t="n"/>
      <c r="Y38" s="45" t="n"/>
      <c r="Z38" s="45" t="n"/>
      <c r="AA38" s="51" t="n"/>
      <c r="AB38" s="1" t="n"/>
    </row>
    <row r="39" ht="18" customHeight="1" s="53">
      <c r="B39" s="44" t="n"/>
      <c r="C39" s="45" t="n"/>
      <c r="D39" s="45" t="n"/>
      <c r="E39" s="47" t="n"/>
      <c r="F39" s="46" t="n"/>
      <c r="G39" s="47" t="n"/>
      <c r="H39" s="45" t="n"/>
      <c r="I39" s="45" t="n"/>
      <c r="J39" s="48" t="n"/>
      <c r="K39" s="48" t="n"/>
      <c r="L39" s="48" t="n"/>
      <c r="M39" s="48" t="n"/>
      <c r="N39" s="49" t="n"/>
      <c r="O39" s="44" t="n"/>
      <c r="P39" s="49" t="n"/>
      <c r="Q39" s="49" t="n"/>
      <c r="R39" s="54" t="n"/>
      <c r="S39" s="48" t="n"/>
      <c r="T39" s="45" t="n"/>
      <c r="U39" s="45" t="n"/>
      <c r="V39" s="48" t="n"/>
      <c r="W39" s="45" t="n"/>
      <c r="X39" s="45" t="n"/>
      <c r="Y39" s="45" t="n"/>
      <c r="Z39" s="45" t="n"/>
      <c r="AA39" s="51" t="n"/>
      <c r="AB39" s="1" t="n"/>
    </row>
    <row r="40" ht="18" customHeight="1" s="53">
      <c r="B40" s="44" t="n"/>
      <c r="C40" s="45" t="n"/>
      <c r="D40" s="45" t="n"/>
      <c r="E40" s="47" t="n"/>
      <c r="F40" s="46" t="n"/>
      <c r="G40" s="47" t="n"/>
      <c r="H40" s="45" t="n"/>
      <c r="I40" s="45" t="n"/>
      <c r="J40" s="48" t="n"/>
      <c r="K40" s="48" t="n"/>
      <c r="L40" s="48" t="n"/>
      <c r="M40" s="48" t="n"/>
      <c r="N40" s="49" t="n"/>
      <c r="O40" s="44" t="n"/>
      <c r="P40" s="49" t="n"/>
      <c r="Q40" s="49" t="n"/>
      <c r="R40" s="54" t="n"/>
      <c r="S40" s="48" t="n"/>
      <c r="T40" s="45" t="n"/>
      <c r="U40" s="45" t="n"/>
      <c r="V40" s="48" t="n"/>
      <c r="W40" s="45" t="n"/>
      <c r="X40" s="45" t="n"/>
      <c r="Y40" s="45" t="n"/>
      <c r="Z40" s="45" t="n"/>
      <c r="AA40" s="51" t="n"/>
      <c r="AB40" s="1" t="n"/>
    </row>
    <row r="41" ht="18.75" customHeight="1" s="53" thickBot="1">
      <c r="B41" s="44" t="n"/>
      <c r="C41" s="45" t="n"/>
      <c r="D41" s="45" t="n"/>
      <c r="E41" s="47" t="n"/>
      <c r="F41" s="46" t="n"/>
      <c r="G41" s="47" t="n"/>
      <c r="H41" s="45" t="n"/>
      <c r="I41" s="45" t="n"/>
      <c r="J41" s="48" t="n"/>
      <c r="K41" s="48" t="n"/>
      <c r="L41" s="48" t="n"/>
      <c r="M41" s="48" t="n"/>
      <c r="N41" s="36" t="n"/>
      <c r="O41" s="44" t="n"/>
      <c r="P41" s="49" t="n"/>
      <c r="Q41" s="49" t="n"/>
      <c r="R41" s="38" t="n"/>
      <c r="S41" s="48" t="n"/>
      <c r="T41" s="45" t="n"/>
      <c r="U41" s="45" t="n"/>
      <c r="V41" s="48" t="n"/>
      <c r="W41" s="45" t="n"/>
      <c r="X41" s="45" t="n"/>
      <c r="Y41" s="45" t="n"/>
      <c r="Z41" s="45" t="n"/>
      <c r="AA41" s="51" t="n"/>
      <c r="AB41" s="1" t="n"/>
    </row>
    <row r="42" ht="54.75" customHeight="1" s="53" thickBot="1">
      <c r="B42" s="30" t="inlineStr">
        <is>
          <t>cierre mes anterior</t>
        </is>
      </c>
      <c r="C42" s="45" t="inlineStr"/>
      <c r="D42" s="45" t="inlineStr"/>
      <c r="E42" s="45" t="inlineStr"/>
      <c r="F42" s="41" t="inlineStr"/>
      <c r="G42" s="42" t="inlineStr"/>
      <c r="H42" s="54" t="inlineStr"/>
      <c r="I42" s="45" t="inlineStr"/>
      <c r="J42" s="9" t="n"/>
      <c r="K42" s="9" t="n"/>
      <c r="L42" s="9" t="n"/>
      <c r="M42" s="37">
        <f>SUM(M12:M41)</f>
        <v/>
      </c>
      <c r="N42" s="9" t="n"/>
      <c r="O42" s="9" t="n"/>
      <c r="P42" s="9" t="n"/>
      <c r="Q42" s="9" t="n"/>
      <c r="R42" s="18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3">
        <f>AVERAGE(AA12:AA41)</f>
        <v/>
      </c>
    </row>
    <row r="43" ht="18" customHeight="1" s="53">
      <c r="B43" s="31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8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3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8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3">
      <c r="B45" s="9" t="n"/>
      <c r="C45" s="9" t="n"/>
      <c r="D45" s="34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8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2" t="n"/>
    </row>
    <row r="52" ht="18" customHeight="1" s="53">
      <c r="Z52" s="9" t="inlineStr">
        <is>
          <t>Aprobado:</t>
        </is>
      </c>
    </row>
    <row r="53" ht="18" customHeight="1" s="53">
      <c r="Z53" s="9" t="inlineStr">
        <is>
          <t>Ms.C. Jorge Luis García Santana</t>
        </is>
      </c>
      <c r="AA53" s="9" t="n"/>
    </row>
    <row r="54" ht="18" customHeight="1" s="53">
      <c r="Z54" s="9" t="inlineStr">
        <is>
          <t>Director General</t>
        </is>
      </c>
      <c r="AA54" s="9" t="n"/>
    </row>
    <row r="55" ht="18" customHeight="1" s="53">
      <c r="Z55" s="9" t="inlineStr">
        <is>
          <t>Universidad Camaguey</t>
        </is>
      </c>
      <c r="AA55" s="9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Mayra Vives Cruz</dc:creator>
  <dcterms:created xsi:type="dcterms:W3CDTF">2019-08-08T19:02:32Z</dcterms:created>
  <dcterms:modified xsi:type="dcterms:W3CDTF">2025-04-25T19:58:16Z</dcterms:modified>
  <cp:lastModifiedBy>ana</cp:lastModifiedBy>
  <cp:lastPrinted>2025-02-10T02:39:49Z</cp:lastPrinted>
</cp:coreProperties>
</file>