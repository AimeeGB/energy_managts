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JORGE LUIS\Para Jorge de Pedrito\ELECTRICIDAD CONSUMIDA UNIVERSIDAD\AÑO 2024\TOTAL RELOJES 2024\Tablas resumen 152\05 MAYO 2024\"/>
    </mc:Choice>
  </mc:AlternateContent>
  <bookViews>
    <workbookView xWindow="-120" yWindow="-120" windowWidth="20730" windowHeight="11160" tabRatio="778" activeTab="6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62913"/>
</workbook>
</file>

<file path=xl/calcChain.xml><?xml version="1.0" encoding="utf-8"?>
<calcChain xmlns="http://schemas.openxmlformats.org/spreadsheetml/2006/main">
  <c r="I12" i="26" l="1"/>
  <c r="I14" i="26"/>
  <c r="C15" i="26"/>
  <c r="C14" i="26"/>
  <c r="C13" i="26" s="1"/>
  <c r="C12" i="26" s="1"/>
  <c r="E12" i="26" l="1"/>
  <c r="D12" i="26"/>
  <c r="E19" i="23" l="1"/>
  <c r="E18" i="23" s="1"/>
  <c r="E17" i="23" s="1"/>
  <c r="E16" i="23" s="1"/>
  <c r="E15" i="23" s="1"/>
  <c r="E14" i="23" s="1"/>
  <c r="D20" i="23"/>
  <c r="D19" i="23" s="1"/>
  <c r="D18" i="23" s="1"/>
  <c r="D17" i="23" s="1"/>
  <c r="D16" i="23" s="1"/>
  <c r="D15" i="23" s="1"/>
  <c r="D14" i="23" s="1"/>
  <c r="C19" i="23"/>
  <c r="C18" i="23" s="1"/>
  <c r="C17" i="23" s="1"/>
  <c r="C16" i="23" s="1"/>
  <c r="C15" i="23" s="1"/>
  <c r="C14" i="23" s="1"/>
  <c r="I20" i="23"/>
  <c r="I19" i="23" s="1"/>
  <c r="I18" i="23" s="1"/>
  <c r="I17" i="23" s="1"/>
  <c r="I16" i="23" s="1"/>
  <c r="I15" i="23" s="1"/>
  <c r="I14" i="23" s="1"/>
  <c r="E20" i="23"/>
  <c r="C20" i="23"/>
  <c r="I17" i="22"/>
  <c r="I16" i="22" s="1"/>
  <c r="I15" i="22" s="1"/>
  <c r="I19" i="22"/>
  <c r="I18" i="22" s="1"/>
  <c r="I20" i="22"/>
  <c r="E20" i="22"/>
  <c r="E19" i="22" s="1"/>
  <c r="E18" i="22" s="1"/>
  <c r="E17" i="22" s="1"/>
  <c r="E16" i="22" s="1"/>
  <c r="E15" i="22" s="1"/>
  <c r="E14" i="22" s="1"/>
  <c r="D20" i="22"/>
  <c r="D19" i="22" s="1"/>
  <c r="D18" i="22" s="1"/>
  <c r="D17" i="22" s="1"/>
  <c r="D16" i="22" s="1"/>
  <c r="D15" i="22" s="1"/>
  <c r="D14" i="22" s="1"/>
  <c r="C19" i="22"/>
  <c r="C18" i="22" s="1"/>
  <c r="C17" i="22" s="1"/>
  <c r="C16" i="22" s="1"/>
  <c r="C15" i="22" s="1"/>
  <c r="C14" i="22" s="1"/>
  <c r="C20" i="22"/>
  <c r="I17" i="25"/>
  <c r="I19" i="25"/>
  <c r="I18" i="25" s="1"/>
  <c r="E20" i="25"/>
  <c r="E19" i="25" s="1"/>
  <c r="E18" i="25" s="1"/>
  <c r="C20" i="25"/>
  <c r="C19" i="25" s="1"/>
  <c r="C18" i="25" s="1"/>
  <c r="C17" i="25" s="1"/>
  <c r="C16" i="25" s="1"/>
  <c r="C15" i="25" s="1"/>
  <c r="C14" i="25" s="1"/>
  <c r="I20" i="25"/>
  <c r="D20" i="25"/>
  <c r="D19" i="25" s="1"/>
  <c r="D18" i="25" s="1"/>
  <c r="C19" i="21"/>
  <c r="C18" i="21" s="1"/>
  <c r="C17" i="21" s="1"/>
  <c r="C16" i="21" s="1"/>
  <c r="C15" i="21" s="1"/>
  <c r="C14" i="21" s="1"/>
  <c r="C20" i="21"/>
  <c r="I20" i="21"/>
  <c r="I19" i="21" s="1"/>
  <c r="I18" i="21" s="1"/>
  <c r="I17" i="21" s="1"/>
  <c r="I16" i="21" s="1"/>
  <c r="I15" i="21" s="1"/>
  <c r="E20" i="21"/>
  <c r="E19" i="21" s="1"/>
  <c r="E18" i="21" s="1"/>
  <c r="E17" i="21" s="1"/>
  <c r="E16" i="21" s="1"/>
  <c r="E15" i="21" s="1"/>
  <c r="E14" i="21" s="1"/>
  <c r="D20" i="21"/>
  <c r="D19" i="21" s="1"/>
  <c r="D18" i="21" s="1"/>
  <c r="D17" i="21" s="1"/>
  <c r="D16" i="21" s="1"/>
  <c r="D15" i="21" s="1"/>
  <c r="D14" i="21" s="1"/>
  <c r="I16" i="20"/>
  <c r="I15" i="20" s="1"/>
  <c r="I14" i="20" s="1"/>
  <c r="I19" i="20"/>
  <c r="I20" i="20"/>
  <c r="E17" i="20"/>
  <c r="E19" i="20"/>
  <c r="E18" i="20" s="1"/>
  <c r="D19" i="20"/>
  <c r="D18" i="20" s="1"/>
  <c r="D17" i="20" s="1"/>
  <c r="D16" i="20" s="1"/>
  <c r="D15" i="20" s="1"/>
  <c r="D14" i="20" s="1"/>
  <c r="D20" i="20"/>
  <c r="C18" i="20"/>
  <c r="C17" i="20" s="1"/>
  <c r="C16" i="20" s="1"/>
  <c r="C15" i="20" s="1"/>
  <c r="C14" i="20" s="1"/>
  <c r="I18" i="20"/>
  <c r="I17" i="20" s="1"/>
  <c r="E20" i="20"/>
  <c r="C20" i="20"/>
  <c r="C19" i="20" s="1"/>
  <c r="E19" i="24"/>
  <c r="E18" i="24" s="1"/>
  <c r="E17" i="24" s="1"/>
  <c r="E16" i="24" s="1"/>
  <c r="E15" i="24" s="1"/>
  <c r="E14" i="24" s="1"/>
  <c r="D17" i="24"/>
  <c r="D16" i="24" s="1"/>
  <c r="D15" i="24" s="1"/>
  <c r="D14" i="24" s="1"/>
  <c r="D20" i="24"/>
  <c r="D19" i="24" s="1"/>
  <c r="D18" i="24" s="1"/>
  <c r="C19" i="24"/>
  <c r="C18" i="24" s="1"/>
  <c r="C17" i="24" s="1"/>
  <c r="C16" i="24" s="1"/>
  <c r="C15" i="24" s="1"/>
  <c r="C14" i="24" s="1"/>
  <c r="I20" i="24"/>
  <c r="I19" i="24" s="1"/>
  <c r="I18" i="24" s="1"/>
  <c r="I17" i="24" s="1"/>
  <c r="I16" i="24" s="1"/>
  <c r="I15" i="24" s="1"/>
  <c r="I14" i="24" s="1"/>
  <c r="E20" i="24"/>
  <c r="C20" i="24"/>
  <c r="E20" i="26"/>
  <c r="E19" i="26" s="1"/>
  <c r="E18" i="26" s="1"/>
  <c r="E17" i="26" s="1"/>
  <c r="E16" i="26" s="1"/>
  <c r="E15" i="26" s="1"/>
  <c r="E14" i="26" s="1"/>
  <c r="D19" i="26"/>
  <c r="D18" i="26" s="1"/>
  <c r="D17" i="26" s="1"/>
  <c r="D16" i="26" s="1"/>
  <c r="D15" i="26" s="1"/>
  <c r="D14" i="26" s="1"/>
  <c r="D20" i="26"/>
  <c r="C19" i="26"/>
  <c r="C18" i="26" s="1"/>
  <c r="C17" i="26" s="1"/>
  <c r="C16" i="26" s="1"/>
  <c r="C20" i="26"/>
  <c r="D15" i="25" l="1"/>
  <c r="D14" i="25" s="1"/>
  <c r="D17" i="25"/>
  <c r="D16" i="25" s="1"/>
  <c r="E14" i="25"/>
  <c r="E17" i="25"/>
  <c r="E16" i="25" s="1"/>
  <c r="E15" i="25" s="1"/>
  <c r="E14" i="20"/>
  <c r="E16" i="20"/>
  <c r="E15" i="20" s="1"/>
  <c r="I14" i="25"/>
  <c r="I16" i="25"/>
  <c r="I15" i="25" s="1"/>
  <c r="I14" i="22"/>
  <c r="I14" i="21"/>
  <c r="I39" i="20"/>
  <c r="I38" i="20" s="1"/>
  <c r="I37" i="20" s="1"/>
  <c r="I36" i="20" s="1"/>
  <c r="I35" i="20" s="1"/>
  <c r="I34" i="20" s="1"/>
  <c r="I33" i="20" s="1"/>
  <c r="I32" i="20" s="1"/>
  <c r="I31" i="20" s="1"/>
  <c r="I30" i="20" s="1"/>
  <c r="I29" i="20" s="1"/>
  <c r="I28" i="20" s="1"/>
  <c r="I27" i="20" s="1"/>
  <c r="I26" i="20" s="1"/>
  <c r="I25" i="20" s="1"/>
  <c r="I24" i="20" s="1"/>
  <c r="I23" i="20" s="1"/>
  <c r="I22" i="20" s="1"/>
  <c r="E38" i="20"/>
  <c r="E37" i="20" s="1"/>
  <c r="E36" i="20" s="1"/>
  <c r="E35" i="20" s="1"/>
  <c r="E34" i="20" s="1"/>
  <c r="E33" i="20" s="1"/>
  <c r="E32" i="20" s="1"/>
  <c r="E31" i="20" s="1"/>
  <c r="E30" i="20" s="1"/>
  <c r="E29" i="20" s="1"/>
  <c r="E28" i="20" s="1"/>
  <c r="E27" i="20" s="1"/>
  <c r="E26" i="20" s="1"/>
  <c r="E25" i="20" s="1"/>
  <c r="E24" i="20" s="1"/>
  <c r="E23" i="20" s="1"/>
  <c r="E39" i="20"/>
  <c r="D38" i="20"/>
  <c r="D37" i="20" s="1"/>
  <c r="D36" i="20" s="1"/>
  <c r="D35" i="20" s="1"/>
  <c r="D34" i="20" s="1"/>
  <c r="D33" i="20" s="1"/>
  <c r="D32" i="20" s="1"/>
  <c r="D31" i="20" s="1"/>
  <c r="D30" i="20" s="1"/>
  <c r="D29" i="20" s="1"/>
  <c r="D39" i="20"/>
  <c r="C39" i="20"/>
  <c r="C38" i="20" s="1"/>
  <c r="C37" i="20" s="1"/>
  <c r="C36" i="20" s="1"/>
  <c r="I27" i="23"/>
  <c r="I26" i="23" s="1"/>
  <c r="I25" i="23" s="1"/>
  <c r="I24" i="23" s="1"/>
  <c r="I23" i="23" s="1"/>
  <c r="I22" i="23" s="1"/>
  <c r="E26" i="23"/>
  <c r="E25" i="23" s="1"/>
  <c r="E27" i="23"/>
  <c r="D26" i="23"/>
  <c r="D25" i="23" s="1"/>
  <c r="D24" i="23" s="1"/>
  <c r="D23" i="23" s="1"/>
  <c r="D22" i="23" s="1"/>
  <c r="D27" i="23"/>
  <c r="C27" i="23"/>
  <c r="C26" i="23" s="1"/>
  <c r="C25" i="23" s="1"/>
  <c r="C24" i="23" s="1"/>
  <c r="C23" i="23" s="1"/>
  <c r="C22" i="23" s="1"/>
  <c r="I27" i="22"/>
  <c r="I26" i="22" s="1"/>
  <c r="I25" i="22" s="1"/>
  <c r="I24" i="22" s="1"/>
  <c r="I23" i="22" s="1"/>
  <c r="I22" i="22" s="1"/>
  <c r="E26" i="22"/>
  <c r="E25" i="22" s="1"/>
  <c r="E24" i="22" s="1"/>
  <c r="E23" i="22" s="1"/>
  <c r="E22" i="22" s="1"/>
  <c r="E27" i="22"/>
  <c r="D27" i="22"/>
  <c r="D26" i="22" s="1"/>
  <c r="D25" i="22" s="1"/>
  <c r="D24" i="22" s="1"/>
  <c r="D23" i="22" s="1"/>
  <c r="D22" i="22" s="1"/>
  <c r="C27" i="22"/>
  <c r="C26" i="22" s="1"/>
  <c r="C25" i="22" s="1"/>
  <c r="C24" i="22" s="1"/>
  <c r="C23" i="22" s="1"/>
  <c r="C22" i="22" s="1"/>
  <c r="I26" i="25"/>
  <c r="I25" i="25" s="1"/>
  <c r="I24" i="25" s="1"/>
  <c r="I23" i="25" s="1"/>
  <c r="I22" i="25" s="1"/>
  <c r="I27" i="25"/>
  <c r="E27" i="25"/>
  <c r="E26" i="25" s="1"/>
  <c r="E25" i="25" s="1"/>
  <c r="E24" i="25" s="1"/>
  <c r="E23" i="25" s="1"/>
  <c r="E22" i="25" s="1"/>
  <c r="D27" i="25"/>
  <c r="D26" i="25" s="1"/>
  <c r="D25" i="25" s="1"/>
  <c r="D24" i="25" s="1"/>
  <c r="D23" i="25" s="1"/>
  <c r="D22" i="25" s="1"/>
  <c r="C38" i="25"/>
  <c r="C37" i="25" s="1"/>
  <c r="C36" i="25" s="1"/>
  <c r="C35" i="25" s="1"/>
  <c r="C34" i="25" s="1"/>
  <c r="C33" i="25" s="1"/>
  <c r="C32" i="25" s="1"/>
  <c r="C31" i="25" s="1"/>
  <c r="C30" i="25" s="1"/>
  <c r="C29" i="25" s="1"/>
  <c r="C28" i="25" s="1"/>
  <c r="C27" i="25" s="1"/>
  <c r="C26" i="25" s="1"/>
  <c r="C25" i="25" s="1"/>
  <c r="C24" i="25" s="1"/>
  <c r="C23" i="25" s="1"/>
  <c r="C22" i="25" s="1"/>
  <c r="I27" i="21"/>
  <c r="I26" i="21" s="1"/>
  <c r="I25" i="21" s="1"/>
  <c r="I24" i="21" s="1"/>
  <c r="I23" i="21" s="1"/>
  <c r="I22" i="21" s="1"/>
  <c r="E27" i="21"/>
  <c r="E26" i="21" s="1"/>
  <c r="E25" i="21" s="1"/>
  <c r="E24" i="21" s="1"/>
  <c r="E23" i="21" s="1"/>
  <c r="E22" i="21" s="1"/>
  <c r="D26" i="21"/>
  <c r="D27" i="21"/>
  <c r="D25" i="21"/>
  <c r="D24" i="21" s="1"/>
  <c r="D23" i="21" s="1"/>
  <c r="D22" i="21" s="1"/>
  <c r="C27" i="21"/>
  <c r="C26" i="21" s="1"/>
  <c r="C25" i="21" s="1"/>
  <c r="C24" i="21" s="1"/>
  <c r="C23" i="21" s="1"/>
  <c r="C22" i="21" s="1"/>
  <c r="I26" i="24"/>
  <c r="I25" i="24" s="1"/>
  <c r="I27" i="24"/>
  <c r="E26" i="24"/>
  <c r="E25" i="24" s="1"/>
  <c r="E24" i="24" s="1"/>
  <c r="E23" i="24" s="1"/>
  <c r="E22" i="24" s="1"/>
  <c r="E27" i="24"/>
  <c r="D27" i="24"/>
  <c r="C27" i="24"/>
  <c r="C26" i="24" s="1"/>
  <c r="C25" i="24" s="1"/>
  <c r="C24" i="24" s="1"/>
  <c r="C23" i="24" s="1"/>
  <c r="C22" i="24" s="1"/>
  <c r="C32" i="20" l="1"/>
  <c r="C31" i="20" s="1"/>
  <c r="C30" i="20" s="1"/>
  <c r="C29" i="20" s="1"/>
  <c r="C28" i="20" s="1"/>
  <c r="C27" i="20" s="1"/>
  <c r="C26" i="20" s="1"/>
  <c r="C25" i="20" s="1"/>
  <c r="C24" i="20" s="1"/>
  <c r="C23" i="20" s="1"/>
  <c r="C35" i="20"/>
  <c r="C34" i="20" s="1"/>
  <c r="C33" i="20" s="1"/>
  <c r="D25" i="24"/>
  <c r="D24" i="24" s="1"/>
  <c r="D23" i="24" s="1"/>
  <c r="D22" i="24" s="1"/>
  <c r="D26" i="24"/>
  <c r="E22" i="20"/>
  <c r="D28" i="20"/>
  <c r="D27" i="20" s="1"/>
  <c r="D26" i="20" s="1"/>
  <c r="D25" i="20" s="1"/>
  <c r="D24" i="20" s="1"/>
  <c r="D23" i="20" s="1"/>
  <c r="D22" i="20" s="1"/>
  <c r="C22" i="20"/>
  <c r="E24" i="23"/>
  <c r="E23" i="23" s="1"/>
  <c r="E22" i="23" s="1"/>
  <c r="I24" i="24"/>
  <c r="I23" i="24" s="1"/>
  <c r="I22" i="24" s="1"/>
  <c r="I34" i="26"/>
  <c r="I33" i="26" s="1"/>
  <c r="I32" i="26" s="1"/>
  <c r="I31" i="26" s="1"/>
  <c r="I30" i="26" s="1"/>
  <c r="I29" i="26" s="1"/>
  <c r="I28" i="26" s="1"/>
  <c r="I27" i="26" s="1"/>
  <c r="I26" i="26" s="1"/>
  <c r="I25" i="26" s="1"/>
  <c r="E33" i="26"/>
  <c r="E32" i="26" s="1"/>
  <c r="E31" i="26" s="1"/>
  <c r="E30" i="26" s="1"/>
  <c r="E29" i="26" s="1"/>
  <c r="E28" i="26" s="1"/>
  <c r="E27" i="26" s="1"/>
  <c r="E26" i="26" s="1"/>
  <c r="E25" i="26" s="1"/>
  <c r="E24" i="26" s="1"/>
  <c r="E23" i="26" s="1"/>
  <c r="E22" i="26" s="1"/>
  <c r="E34" i="26"/>
  <c r="D33" i="26"/>
  <c r="D32" i="26" s="1"/>
  <c r="D31" i="26" s="1"/>
  <c r="D30" i="26" s="1"/>
  <c r="D29" i="26" s="1"/>
  <c r="D28" i="26" s="1"/>
  <c r="D27" i="26" s="1"/>
  <c r="D26" i="26" s="1"/>
  <c r="D25" i="26" s="1"/>
  <c r="D24" i="26" s="1"/>
  <c r="D23" i="26" s="1"/>
  <c r="D22" i="26" s="1"/>
  <c r="D34" i="26"/>
  <c r="C34" i="26"/>
  <c r="C33" i="26" s="1"/>
  <c r="C32" i="26" s="1"/>
  <c r="C31" i="26" s="1"/>
  <c r="C30" i="26" s="1"/>
  <c r="C29" i="26" s="1"/>
  <c r="C28" i="26" s="1"/>
  <c r="C27" i="26" s="1"/>
  <c r="C26" i="26" s="1"/>
  <c r="C25" i="26" s="1"/>
  <c r="C24" i="26" s="1"/>
  <c r="C23" i="26" s="1"/>
  <c r="C22" i="26" s="1"/>
  <c r="C41" i="26"/>
  <c r="C40" i="26" s="1"/>
  <c r="C39" i="26" s="1"/>
  <c r="C38" i="26" s="1"/>
  <c r="I38" i="23"/>
  <c r="I37" i="23" s="1"/>
  <c r="I36" i="23" s="1"/>
  <c r="I35" i="23" s="1"/>
  <c r="I34" i="23" s="1"/>
  <c r="I33" i="23" s="1"/>
  <c r="I32" i="23" s="1"/>
  <c r="I31" i="23" s="1"/>
  <c r="I30" i="23" s="1"/>
  <c r="I29" i="23" s="1"/>
  <c r="E38" i="23"/>
  <c r="E37" i="23" s="1"/>
  <c r="E36" i="23" s="1"/>
  <c r="E35" i="23" s="1"/>
  <c r="E34" i="23" s="1"/>
  <c r="E33" i="23" s="1"/>
  <c r="E32" i="23" s="1"/>
  <c r="E31" i="23" s="1"/>
  <c r="E30" i="23" s="1"/>
  <c r="E29" i="23" s="1"/>
  <c r="D38" i="23"/>
  <c r="D37" i="23" s="1"/>
  <c r="D36" i="23" s="1"/>
  <c r="D35" i="23" s="1"/>
  <c r="D34" i="23" s="1"/>
  <c r="D33" i="23" s="1"/>
  <c r="D32" i="23" s="1"/>
  <c r="D31" i="23" s="1"/>
  <c r="D30" i="23" s="1"/>
  <c r="D29" i="23" s="1"/>
  <c r="C37" i="23"/>
  <c r="C36" i="23" s="1"/>
  <c r="C35" i="23" s="1"/>
  <c r="C34" i="23" s="1"/>
  <c r="C33" i="23" s="1"/>
  <c r="C32" i="23" s="1"/>
  <c r="C31" i="23" s="1"/>
  <c r="C38" i="23"/>
  <c r="I39" i="22"/>
  <c r="I38" i="22" s="1"/>
  <c r="I37" i="22" s="1"/>
  <c r="I36" i="22" s="1"/>
  <c r="I35" i="22" s="1"/>
  <c r="I34" i="22" s="1"/>
  <c r="I33" i="22" s="1"/>
  <c r="I32" i="22" s="1"/>
  <c r="I31" i="22" s="1"/>
  <c r="I30" i="22" s="1"/>
  <c r="I29" i="22" s="1"/>
  <c r="E38" i="22"/>
  <c r="E37" i="22" s="1"/>
  <c r="E36" i="22" s="1"/>
  <c r="E35" i="22" s="1"/>
  <c r="E34" i="22" s="1"/>
  <c r="E33" i="22" s="1"/>
  <c r="E32" i="22" s="1"/>
  <c r="E31" i="22" s="1"/>
  <c r="E30" i="22" s="1"/>
  <c r="E29" i="22" s="1"/>
  <c r="E39" i="22"/>
  <c r="D38" i="22"/>
  <c r="D37" i="22" s="1"/>
  <c r="D36" i="22" s="1"/>
  <c r="D35" i="22" s="1"/>
  <c r="D34" i="22" s="1"/>
  <c r="D39" i="22"/>
  <c r="C39" i="22"/>
  <c r="C38" i="22" s="1"/>
  <c r="C37" i="22" s="1"/>
  <c r="C36" i="22" s="1"/>
  <c r="C35" i="22" s="1"/>
  <c r="C34" i="22" s="1"/>
  <c r="C33" i="22" s="1"/>
  <c r="C32" i="22" s="1"/>
  <c r="C31" i="22" s="1"/>
  <c r="I38" i="25"/>
  <c r="I37" i="25" s="1"/>
  <c r="I36" i="25" s="1"/>
  <c r="I35" i="25" s="1"/>
  <c r="I34" i="25" s="1"/>
  <c r="I33" i="25" s="1"/>
  <c r="I32" i="25" s="1"/>
  <c r="I31" i="25" s="1"/>
  <c r="I30" i="25" s="1"/>
  <c r="I29" i="25" s="1"/>
  <c r="E38" i="25"/>
  <c r="E37" i="25" s="1"/>
  <c r="E36" i="25" s="1"/>
  <c r="E35" i="25" s="1"/>
  <c r="E34" i="25" s="1"/>
  <c r="E33" i="25" s="1"/>
  <c r="E32" i="25" s="1"/>
  <c r="E31" i="25" s="1"/>
  <c r="E30" i="25" s="1"/>
  <c r="E29" i="25" s="1"/>
  <c r="D38" i="25"/>
  <c r="D37" i="25" s="1"/>
  <c r="D36" i="25" s="1"/>
  <c r="D35" i="25" s="1"/>
  <c r="D34" i="25" s="1"/>
  <c r="D33" i="25" s="1"/>
  <c r="D32" i="25" s="1"/>
  <c r="D31" i="25" s="1"/>
  <c r="D30" i="25" s="1"/>
  <c r="D29" i="25" s="1"/>
  <c r="I39" i="21"/>
  <c r="I38" i="21"/>
  <c r="I37" i="21" s="1"/>
  <c r="I36" i="21" s="1"/>
  <c r="I35" i="21" s="1"/>
  <c r="I34" i="21" s="1"/>
  <c r="I33" i="21" s="1"/>
  <c r="I32" i="21" s="1"/>
  <c r="I31" i="21" s="1"/>
  <c r="I30" i="21" s="1"/>
  <c r="I29" i="21" s="1"/>
  <c r="E39" i="21"/>
  <c r="E38" i="21" s="1"/>
  <c r="E37" i="21" s="1"/>
  <c r="E36" i="21" s="1"/>
  <c r="E35" i="21" s="1"/>
  <c r="E34" i="21" s="1"/>
  <c r="E33" i="21" s="1"/>
  <c r="E32" i="21" s="1"/>
  <c r="E31" i="21" s="1"/>
  <c r="E30" i="21" s="1"/>
  <c r="E29" i="21" s="1"/>
  <c r="D35" i="21"/>
  <c r="D34" i="21" s="1"/>
  <c r="D33" i="21" s="1"/>
  <c r="D32" i="21" s="1"/>
  <c r="D31" i="21" s="1"/>
  <c r="D30" i="21" s="1"/>
  <c r="D29" i="21" s="1"/>
  <c r="D39" i="21"/>
  <c r="D38" i="21" s="1"/>
  <c r="D37" i="21" s="1"/>
  <c r="D36" i="21" s="1"/>
  <c r="C39" i="21"/>
  <c r="C38" i="21" s="1"/>
  <c r="C37" i="21" s="1"/>
  <c r="C36" i="21" s="1"/>
  <c r="C35" i="21" s="1"/>
  <c r="C34" i="21" s="1"/>
  <c r="C33" i="21" s="1"/>
  <c r="C32" i="21" s="1"/>
  <c r="C31" i="21" s="1"/>
  <c r="C30" i="21" s="1"/>
  <c r="C29" i="21" s="1"/>
  <c r="C29" i="22" l="1"/>
  <c r="C30" i="22"/>
  <c r="D32" i="22"/>
  <c r="D31" i="22" s="1"/>
  <c r="D30" i="22" s="1"/>
  <c r="D29" i="22" s="1"/>
  <c r="D33" i="22"/>
  <c r="C29" i="23"/>
  <c r="C30" i="23"/>
  <c r="I21" i="26"/>
  <c r="I20" i="26" s="1"/>
  <c r="I19" i="26" s="1"/>
  <c r="I18" i="26" s="1"/>
  <c r="I17" i="26" s="1"/>
  <c r="I16" i="26" s="1"/>
  <c r="I15" i="26" s="1"/>
  <c r="I24" i="26"/>
  <c r="I23" i="26" s="1"/>
  <c r="I22" i="26" s="1"/>
  <c r="I39" i="24"/>
  <c r="I38" i="24" s="1"/>
  <c r="I37" i="24" s="1"/>
  <c r="I36" i="24" s="1"/>
  <c r="I35" i="24" s="1"/>
  <c r="I34" i="24" s="1"/>
  <c r="I33" i="24" s="1"/>
  <c r="I32" i="24" s="1"/>
  <c r="I31" i="24" s="1"/>
  <c r="I30" i="24" s="1"/>
  <c r="I29" i="24" s="1"/>
  <c r="E39" i="24"/>
  <c r="E38" i="24" s="1"/>
  <c r="E37" i="24" s="1"/>
  <c r="E36" i="24" s="1"/>
  <c r="E35" i="24" s="1"/>
  <c r="D39" i="24"/>
  <c r="D38" i="24" s="1"/>
  <c r="D37" i="24" s="1"/>
  <c r="D36" i="24" s="1"/>
  <c r="D35" i="24" s="1"/>
  <c r="D34" i="24" s="1"/>
  <c r="C39" i="24"/>
  <c r="C38" i="24" s="1"/>
  <c r="C37" i="24" s="1"/>
  <c r="C36" i="24" s="1"/>
  <c r="C35" i="24" s="1"/>
  <c r="C34" i="24" s="1"/>
  <c r="C33" i="24" s="1"/>
  <c r="C32" i="24" s="1"/>
  <c r="C31" i="24" s="1"/>
  <c r="L35" i="24" l="1"/>
  <c r="E34" i="24"/>
  <c r="E33" i="24" s="1"/>
  <c r="E32" i="24" s="1"/>
  <c r="E31" i="24" s="1"/>
  <c r="E30" i="24" s="1"/>
  <c r="E29" i="24" s="1"/>
  <c r="D33" i="24"/>
  <c r="D32" i="24" s="1"/>
  <c r="D31" i="24" s="1"/>
  <c r="D30" i="24" s="1"/>
  <c r="D29" i="24" s="1"/>
  <c r="C30" i="24"/>
  <c r="C29" i="24" s="1"/>
  <c r="I41" i="26"/>
  <c r="I41" i="23"/>
  <c r="E41" i="23"/>
  <c r="D41" i="23"/>
  <c r="C41" i="23"/>
  <c r="I41" i="22"/>
  <c r="E41" i="22"/>
  <c r="D41" i="22"/>
  <c r="C41" i="22"/>
  <c r="I41" i="25"/>
  <c r="E41" i="25"/>
  <c r="D41" i="25"/>
  <c r="C41" i="25"/>
  <c r="I41" i="21"/>
  <c r="E41" i="21"/>
  <c r="D41" i="21"/>
  <c r="C41" i="21"/>
  <c r="I41" i="20"/>
  <c r="E41" i="20"/>
  <c r="D41" i="20"/>
  <c r="C41" i="20"/>
  <c r="I41" i="24"/>
  <c r="E41" i="24"/>
  <c r="D41" i="24"/>
  <c r="C41" i="24"/>
  <c r="R41" i="26"/>
  <c r="R41" i="23"/>
  <c r="R41" i="22"/>
  <c r="R41" i="25"/>
  <c r="R41" i="21"/>
  <c r="R41" i="20"/>
  <c r="R41" i="24"/>
  <c r="I40" i="26"/>
  <c r="I39" i="26" s="1"/>
  <c r="I38" i="26" s="1"/>
  <c r="E41" i="26"/>
  <c r="E40" i="26" s="1"/>
  <c r="E39" i="26" s="1"/>
  <c r="E38" i="26" s="1"/>
  <c r="D41" i="26"/>
  <c r="D40" i="26" s="1"/>
  <c r="D39" i="26" s="1"/>
  <c r="D38" i="26" s="1"/>
  <c r="M11" i="24" l="1"/>
  <c r="L11" i="24"/>
  <c r="O11" i="24" s="1"/>
  <c r="K11" i="24"/>
  <c r="J11" i="24"/>
  <c r="F11" i="24"/>
  <c r="F42" i="24"/>
  <c r="M11" i="20"/>
  <c r="L11" i="20"/>
  <c r="O11" i="20" s="1"/>
  <c r="K11" i="20"/>
  <c r="J11" i="20"/>
  <c r="F11" i="20"/>
  <c r="F42" i="20"/>
  <c r="M11" i="21"/>
  <c r="L11" i="21"/>
  <c r="O11" i="21" s="1"/>
  <c r="K11" i="21"/>
  <c r="J11" i="21"/>
  <c r="F11" i="21"/>
  <c r="F42" i="21"/>
  <c r="M11" i="25"/>
  <c r="L11" i="25"/>
  <c r="O11" i="25" s="1"/>
  <c r="K11" i="25"/>
  <c r="J11" i="25"/>
  <c r="F11" i="25"/>
  <c r="F42" i="25"/>
  <c r="M11" i="22"/>
  <c r="L11" i="22"/>
  <c r="O11" i="22" s="1"/>
  <c r="K11" i="22"/>
  <c r="J11" i="22"/>
  <c r="F11" i="22"/>
  <c r="M11" i="23"/>
  <c r="L11" i="23"/>
  <c r="O11" i="23" s="1"/>
  <c r="K11" i="23"/>
  <c r="J11" i="23"/>
  <c r="F11" i="23"/>
  <c r="M11" i="26"/>
  <c r="L11" i="26"/>
  <c r="O11" i="26" s="1"/>
  <c r="K11" i="26"/>
  <c r="J11" i="26"/>
  <c r="F11" i="26"/>
  <c r="S11" i="26" l="1"/>
  <c r="AA11" i="26" s="1"/>
  <c r="S11" i="22"/>
  <c r="G11" i="22" s="1"/>
  <c r="H11" i="22" s="1"/>
  <c r="Q11" i="22" s="1"/>
  <c r="S11" i="21"/>
  <c r="G11" i="21" s="1"/>
  <c r="H11" i="21" s="1"/>
  <c r="Q11" i="21" s="1"/>
  <c r="S11" i="24"/>
  <c r="G11" i="24" s="1"/>
  <c r="H11" i="24" s="1"/>
  <c r="Q11" i="24" s="1"/>
  <c r="S11" i="23"/>
  <c r="G11" i="23" s="1"/>
  <c r="H11" i="23" s="1"/>
  <c r="Q11" i="23" s="1"/>
  <c r="S11" i="25"/>
  <c r="G11" i="25" s="1"/>
  <c r="H11" i="25" s="1"/>
  <c r="Q11" i="25" s="1"/>
  <c r="S11" i="20"/>
  <c r="G11" i="20" s="1"/>
  <c r="H11" i="20" s="1"/>
  <c r="Q11" i="20" s="1"/>
  <c r="AA11" i="24"/>
  <c r="AA11" i="20"/>
  <c r="AA11" i="22"/>
  <c r="AA11" i="21" l="1"/>
  <c r="AA11" i="23"/>
  <c r="AA11" i="25"/>
  <c r="F38" i="24"/>
  <c r="F12" i="26" l="1"/>
  <c r="J12" i="26"/>
  <c r="K12" i="26"/>
  <c r="L12" i="26"/>
  <c r="O12" i="26" s="1"/>
  <c r="M12" i="26"/>
  <c r="F12" i="23"/>
  <c r="J12" i="23"/>
  <c r="K12" i="23"/>
  <c r="L12" i="23"/>
  <c r="M12" i="23"/>
  <c r="O12" i="23"/>
  <c r="V6" i="23"/>
  <c r="F12" i="22"/>
  <c r="J12" i="22"/>
  <c r="K12" i="22"/>
  <c r="L12" i="22"/>
  <c r="M12" i="22"/>
  <c r="O12" i="22"/>
  <c r="V6" i="22"/>
  <c r="F12" i="25"/>
  <c r="J12" i="25"/>
  <c r="K12" i="25"/>
  <c r="L12" i="25"/>
  <c r="M12" i="25"/>
  <c r="O12" i="25"/>
  <c r="V6" i="25"/>
  <c r="F12" i="21"/>
  <c r="J12" i="21"/>
  <c r="K12" i="21"/>
  <c r="L12" i="21"/>
  <c r="O12" i="21" s="1"/>
  <c r="M12" i="21"/>
  <c r="V6" i="21"/>
  <c r="V6" i="20"/>
  <c r="F12" i="24"/>
  <c r="J12" i="24"/>
  <c r="K12" i="24"/>
  <c r="L12" i="24"/>
  <c r="O12" i="24" s="1"/>
  <c r="M12" i="24"/>
  <c r="J12" i="20"/>
  <c r="K12" i="20"/>
  <c r="L12" i="20"/>
  <c r="O12" i="20" s="1"/>
  <c r="M12" i="20"/>
  <c r="F12" i="20"/>
  <c r="V6" i="24"/>
  <c r="S12" i="22" l="1"/>
  <c r="G12" i="22" s="1"/>
  <c r="H12" i="22" s="1"/>
  <c r="Q12" i="22" s="1"/>
  <c r="S12" i="26"/>
  <c r="S12" i="23"/>
  <c r="G12" i="23" s="1"/>
  <c r="H12" i="23" s="1"/>
  <c r="Q12" i="23" s="1"/>
  <c r="S12" i="25"/>
  <c r="G12" i="25" s="1"/>
  <c r="H12" i="25" s="1"/>
  <c r="Q12" i="25" s="1"/>
  <c r="S12" i="21"/>
  <c r="S12" i="20"/>
  <c r="G12" i="20" s="1"/>
  <c r="H12" i="20" s="1"/>
  <c r="Q12" i="20" s="1"/>
  <c r="S12" i="24"/>
  <c r="AA12" i="20"/>
  <c r="AA12" i="22" l="1"/>
  <c r="AA12" i="26"/>
  <c r="G11" i="26"/>
  <c r="H11" i="26" s="1"/>
  <c r="Q11" i="26" s="1"/>
  <c r="AA12" i="24"/>
  <c r="G12" i="21"/>
  <c r="AA12" i="23"/>
  <c r="AA12" i="21"/>
  <c r="G12" i="24"/>
  <c r="AA12" i="25"/>
  <c r="F23" i="22"/>
  <c r="F23" i="24"/>
  <c r="H12" i="24" l="1"/>
  <c r="H12" i="21"/>
  <c r="F26" i="24"/>
  <c r="Q12" i="24" l="1"/>
  <c r="Q12" i="21"/>
  <c r="F38" i="26"/>
  <c r="M38" i="22"/>
  <c r="F35" i="22" l="1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V6" i="26" l="1"/>
  <c r="F37" i="24" l="1"/>
  <c r="F39" i="24"/>
  <c r="F40" i="24"/>
  <c r="F41" i="24"/>
  <c r="F17" i="22" l="1"/>
  <c r="F27" i="20" l="1"/>
  <c r="M15" i="20" l="1"/>
  <c r="F13" i="20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AA18" i="25" s="1"/>
  <c r="S19" i="25"/>
  <c r="AA19" i="25" s="1"/>
  <c r="S16" i="25"/>
  <c r="AA16" i="25" l="1"/>
  <c r="G16" i="25"/>
  <c r="AA17" i="25"/>
  <c r="G17" i="25"/>
  <c r="F17" i="25"/>
  <c r="F13" i="25"/>
  <c r="F14" i="25"/>
  <c r="F15" i="25"/>
  <c r="F19" i="25"/>
  <c r="H17" i="25" l="1"/>
  <c r="H16" i="25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G25" i="22" s="1"/>
  <c r="H25" i="22" s="1"/>
  <c r="S24" i="22"/>
  <c r="G24" i="22" s="1"/>
  <c r="H24" i="22" s="1"/>
  <c r="R40" i="26" l="1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R13" i="26" s="1"/>
  <c r="R12" i="26" s="1"/>
  <c r="R11" i="26" s="1"/>
  <c r="T11" i="26" s="1"/>
  <c r="T12" i="26" l="1"/>
  <c r="Q6" i="2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13" i="23" s="1"/>
  <c r="R12" i="23" s="1"/>
  <c r="R11" i="23" s="1"/>
  <c r="T11" i="23" s="1"/>
  <c r="T12" i="23" l="1"/>
  <c r="R40" i="20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R13" i="20" s="1"/>
  <c r="R12" i="20" s="1"/>
  <c r="R11" i="20" s="1"/>
  <c r="T11" i="20" s="1"/>
  <c r="N4" i="20"/>
  <c r="T12" i="20" l="1"/>
  <c r="F24" i="2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3" i="21" l="1"/>
  <c r="F14" i="2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15" i="24" s="1"/>
  <c r="R14" i="24" s="1"/>
  <c r="R13" i="24" s="1"/>
  <c r="R12" i="24" s="1"/>
  <c r="R11" i="24" s="1"/>
  <c r="T11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s="1"/>
  <c r="R15" i="21" s="1"/>
  <c r="R14" i="21" s="1"/>
  <c r="R13" i="21" s="1"/>
  <c r="R12" i="21" s="1"/>
  <c r="R11" i="21" s="1"/>
  <c r="T11" i="21" s="1"/>
  <c r="T12" i="21" l="1"/>
  <c r="T12" i="24"/>
  <c r="R19" i="25"/>
  <c r="R25" i="22"/>
  <c r="L22" i="22"/>
  <c r="F29" i="26"/>
  <c r="R18" i="25" l="1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R13" i="22" s="1"/>
  <c r="R12" i="22" s="1"/>
  <c r="R11" i="22" s="1"/>
  <c r="T11" i="22" s="1"/>
  <c r="O6" i="26"/>
  <c r="N41" i="26" s="1"/>
  <c r="O6" i="25"/>
  <c r="N41" i="25" s="1"/>
  <c r="O6" i="24"/>
  <c r="N41" i="24" s="1"/>
  <c r="O6" i="23"/>
  <c r="N41" i="23" s="1"/>
  <c r="O6" i="22"/>
  <c r="N41" i="22" s="1"/>
  <c r="O6" i="21"/>
  <c r="N41" i="21" s="1"/>
  <c r="O6" i="20"/>
  <c r="N41" i="20" s="1"/>
  <c r="U41" i="24" l="1"/>
  <c r="T12" i="22"/>
  <c r="T16" i="25"/>
  <c r="R15" i="25"/>
  <c r="R14" i="25" s="1"/>
  <c r="R13" i="25" s="1"/>
  <c r="R12" i="25" s="1"/>
  <c r="R11" i="25" s="1"/>
  <c r="T11" i="25" s="1"/>
  <c r="F33" i="22"/>
  <c r="T12" i="25" l="1"/>
  <c r="F22" i="20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M13" i="26"/>
  <c r="L13" i="26"/>
  <c r="O13" i="26" s="1"/>
  <c r="K13" i="26"/>
  <c r="J13" i="26"/>
  <c r="F13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M21" i="25"/>
  <c r="L21" i="25"/>
  <c r="O21" i="25" s="1"/>
  <c r="K21" i="25"/>
  <c r="J21" i="25"/>
  <c r="F21" i="25"/>
  <c r="M20" i="25"/>
  <c r="L20" i="25"/>
  <c r="O20" i="25" s="1"/>
  <c r="K20" i="25"/>
  <c r="J20" i="25"/>
  <c r="F20" i="25"/>
  <c r="M15" i="25"/>
  <c r="L15" i="25"/>
  <c r="O15" i="25" s="1"/>
  <c r="K15" i="25"/>
  <c r="J15" i="25"/>
  <c r="M14" i="25"/>
  <c r="L14" i="25"/>
  <c r="O14" i="25" s="1"/>
  <c r="K14" i="25"/>
  <c r="J14" i="25"/>
  <c r="M13" i="25"/>
  <c r="L13" i="25"/>
  <c r="O13" i="25" s="1"/>
  <c r="K13" i="25"/>
  <c r="J13" i="25"/>
  <c r="Q6" i="25"/>
  <c r="L41" i="24"/>
  <c r="O41" i="24" s="1"/>
  <c r="V41" i="24" s="1"/>
  <c r="K41" i="24"/>
  <c r="J41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M13" i="24"/>
  <c r="L13" i="24"/>
  <c r="O13" i="24" s="1"/>
  <c r="K13" i="24"/>
  <c r="J13" i="24"/>
  <c r="F13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M13" i="23"/>
  <c r="L13" i="23"/>
  <c r="O13" i="23" s="1"/>
  <c r="K13" i="23"/>
  <c r="J13" i="23"/>
  <c r="F13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M24" i="22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13" i="22"/>
  <c r="L13" i="22"/>
  <c r="O13" i="22" s="1"/>
  <c r="J13" i="22"/>
  <c r="F13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13" i="21"/>
  <c r="L13" i="21"/>
  <c r="O13" i="21" s="1"/>
  <c r="K13" i="21"/>
  <c r="J13" i="21"/>
  <c r="M42" i="21" l="1"/>
  <c r="M42" i="23"/>
  <c r="M42" i="22"/>
  <c r="M42" i="26"/>
  <c r="M42" i="25"/>
  <c r="S20" i="24"/>
  <c r="G20" i="24" s="1"/>
  <c r="S16" i="24"/>
  <c r="G16" i="24" s="1"/>
  <c r="S24" i="24"/>
  <c r="G24" i="24" s="1"/>
  <c r="S28" i="24"/>
  <c r="S13" i="24"/>
  <c r="G13" i="24" s="1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G23" i="24" s="1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G23" i="22" s="1"/>
  <c r="H23" i="22" s="1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V11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V13" i="22" s="1"/>
  <c r="V12" i="22" s="1"/>
  <c r="V11" i="22" s="1"/>
  <c r="S36" i="22"/>
  <c r="S19" i="21"/>
  <c r="G19" i="21" s="1"/>
  <c r="S27" i="21"/>
  <c r="S37" i="21"/>
  <c r="G37" i="21" s="1"/>
  <c r="S13" i="21"/>
  <c r="G13" i="21" s="1"/>
  <c r="S35" i="21"/>
  <c r="G35" i="21" s="1"/>
  <c r="S14" i="23"/>
  <c r="G14" i="23" s="1"/>
  <c r="H14" i="23" s="1"/>
  <c r="S13" i="26"/>
  <c r="G12" i="26" s="1"/>
  <c r="H12" i="26" s="1"/>
  <c r="Q12" i="26" s="1"/>
  <c r="S13" i="25"/>
  <c r="S13" i="23"/>
  <c r="G13" i="23" s="1"/>
  <c r="H13" i="23" s="1"/>
  <c r="S14" i="26"/>
  <c r="S15" i="26"/>
  <c r="G14" i="26" s="1"/>
  <c r="S15" i="25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S20" i="22"/>
  <c r="S21" i="22"/>
  <c r="G21" i="22" s="1"/>
  <c r="S20" i="23"/>
  <c r="S20" i="26"/>
  <c r="G19" i="26" s="1"/>
  <c r="S18" i="22"/>
  <c r="G18" i="22" s="1"/>
  <c r="S18" i="2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G23" i="26" s="1"/>
  <c r="S23" i="25"/>
  <c r="G23" i="25" s="1"/>
  <c r="H23" i="25" s="1"/>
  <c r="S23" i="23"/>
  <c r="G23" i="23" s="1"/>
  <c r="S24" i="21"/>
  <c r="G24" i="21" s="1"/>
  <c r="H24" i="21" s="1"/>
  <c r="S23" i="21"/>
  <c r="G23" i="21" s="1"/>
  <c r="H23" i="21" s="1"/>
  <c r="S24" i="25"/>
  <c r="G24" i="25" s="1"/>
  <c r="H24" i="25" s="1"/>
  <c r="S25" i="26"/>
  <c r="G24" i="26" s="1"/>
  <c r="H24" i="26" s="1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S31" i="25"/>
  <c r="G31" i="25" s="1"/>
  <c r="H31" i="25" s="1"/>
  <c r="S36" i="25"/>
  <c r="S20" i="25"/>
  <c r="S26" i="25"/>
  <c r="G26" i="25" s="1"/>
  <c r="H26" i="25" s="1"/>
  <c r="G19" i="25"/>
  <c r="S25" i="25"/>
  <c r="G25" i="25" s="1"/>
  <c r="H25" i="25" s="1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V13" i="24" s="1"/>
  <c r="V12" i="24" s="1"/>
  <c r="V11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V13" i="23" s="1"/>
  <c r="V12" i="23" s="1"/>
  <c r="V11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G24" i="23" s="1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O16" i="2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J13" i="20"/>
  <c r="K13" i="20"/>
  <c r="L13" i="20"/>
  <c r="O13" i="20" s="1"/>
  <c r="M13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H14" i="21" l="1"/>
  <c r="H13" i="21"/>
  <c r="H17" i="21"/>
  <c r="G18" i="21"/>
  <c r="H19" i="21"/>
  <c r="M42" i="20"/>
  <c r="G13" i="25"/>
  <c r="H13" i="25" s="1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4" i="24"/>
  <c r="Q24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13" i="24"/>
  <c r="H39" i="24"/>
  <c r="H40" i="24"/>
  <c r="H41" i="24"/>
  <c r="H14" i="25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G15" i="25"/>
  <c r="V19" i="25"/>
  <c r="H18" i="25"/>
  <c r="H19" i="25"/>
  <c r="H23" i="23"/>
  <c r="Q23" i="23" s="1"/>
  <c r="H24" i="23"/>
  <c r="Q24" i="23" s="1"/>
  <c r="H30" i="23"/>
  <c r="H33" i="23"/>
  <c r="H31" i="23"/>
  <c r="Q31" i="23" s="1"/>
  <c r="H29" i="23"/>
  <c r="H28" i="23"/>
  <c r="H26" i="23"/>
  <c r="H41" i="25"/>
  <c r="G13" i="26"/>
  <c r="G21" i="26"/>
  <c r="H20" i="26"/>
  <c r="H22" i="26"/>
  <c r="H23" i="26"/>
  <c r="T23" i="22"/>
  <c r="Q26" i="25"/>
  <c r="Q31" i="25"/>
  <c r="Q35" i="25"/>
  <c r="Q38" i="25"/>
  <c r="Q39" i="25"/>
  <c r="T26" i="22"/>
  <c r="Q13" i="23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25" i="26"/>
  <c r="AA34" i="26"/>
  <c r="AA35" i="26"/>
  <c r="AA29" i="26"/>
  <c r="AA26" i="26"/>
  <c r="AA24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5" i="25"/>
  <c r="AA26" i="25"/>
  <c r="AA36" i="25"/>
  <c r="AA34" i="25"/>
  <c r="AA30" i="25"/>
  <c r="AA24" i="25"/>
  <c r="T40" i="25"/>
  <c r="AA40" i="25"/>
  <c r="AA33" i="25"/>
  <c r="AA41" i="25"/>
  <c r="AA38" i="24"/>
  <c r="AA35" i="24"/>
  <c r="AA32" i="24"/>
  <c r="AA28" i="24"/>
  <c r="AA24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4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24" i="22"/>
  <c r="AA35" i="22"/>
  <c r="AA26" i="22"/>
  <c r="AA25" i="22"/>
  <c r="AA39" i="22"/>
  <c r="AA37" i="22"/>
  <c r="AA29" i="22"/>
  <c r="AA36" i="22"/>
  <c r="AA40" i="22"/>
  <c r="AA41" i="22"/>
  <c r="AA34" i="21"/>
  <c r="AA30" i="21"/>
  <c r="AA32" i="21"/>
  <c r="AA28" i="21"/>
  <c r="AA24" i="21"/>
  <c r="AA27" i="21"/>
  <c r="AA36" i="21"/>
  <c r="AA26" i="21"/>
  <c r="AA39" i="21"/>
  <c r="AA38" i="21"/>
  <c r="AA31" i="21"/>
  <c r="AA29" i="21"/>
  <c r="AA25" i="21"/>
  <c r="AA37" i="21"/>
  <c r="AA40" i="21"/>
  <c r="AA33" i="21"/>
  <c r="AA13" i="26"/>
  <c r="AA14" i="25"/>
  <c r="AA13" i="25"/>
  <c r="AA13" i="24"/>
  <c r="AA14" i="24"/>
  <c r="AA13" i="23"/>
  <c r="AA14" i="23"/>
  <c r="AA15" i="26"/>
  <c r="AA15" i="25"/>
  <c r="AA15" i="24"/>
  <c r="AA15" i="23"/>
  <c r="AA15" i="22"/>
  <c r="AA16" i="26"/>
  <c r="AA14" i="21"/>
  <c r="AA13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5"/>
  <c r="AA20" i="24"/>
  <c r="AA20" i="23"/>
  <c r="AA20" i="22"/>
  <c r="AA20" i="21"/>
  <c r="AA21" i="25"/>
  <c r="AA21" i="23"/>
  <c r="AA21" i="22"/>
  <c r="AA21" i="21"/>
  <c r="AA23" i="26"/>
  <c r="AA22" i="26"/>
  <c r="AA23" i="25"/>
  <c r="AA22" i="25"/>
  <c r="AA23" i="24"/>
  <c r="AA22" i="24"/>
  <c r="AA22" i="23"/>
  <c r="AA23" i="23"/>
  <c r="AA23" i="22"/>
  <c r="AA22" i="22"/>
  <c r="AA23" i="21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S22" i="20"/>
  <c r="G22" i="20" s="1"/>
  <c r="S23" i="20"/>
  <c r="G23" i="20" s="1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V13" i="20" s="1"/>
  <c r="V12" i="20" s="1"/>
  <c r="V11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V13" i="21" s="1"/>
  <c r="V12" i="21" s="1"/>
  <c r="V11" i="21" s="1"/>
  <c r="T39" i="21"/>
  <c r="X40" i="21"/>
  <c r="N40" i="20"/>
  <c r="N39" i="20" s="1"/>
  <c r="N38" i="20" s="1"/>
  <c r="P38" i="20" s="1"/>
  <c r="W41" i="20"/>
  <c r="X41" i="20"/>
  <c r="S24" i="20"/>
  <c r="G24" i="20" s="1"/>
  <c r="S18" i="20"/>
  <c r="G18" i="20" s="1"/>
  <c r="H18" i="20" s="1"/>
  <c r="S15" i="20"/>
  <c r="G15" i="20" s="1"/>
  <c r="H15" i="20" s="1"/>
  <c r="S39" i="20"/>
  <c r="G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S13" i="20"/>
  <c r="G13" i="20" s="1"/>
  <c r="H24" i="20" l="1"/>
  <c r="G21" i="20"/>
  <c r="H39" i="20"/>
  <c r="H18" i="21"/>
  <c r="Q18" i="21" s="1"/>
  <c r="H15" i="25"/>
  <c r="H27" i="22"/>
  <c r="Q29" i="21"/>
  <c r="H27" i="21"/>
  <c r="Q27" i="21" s="1"/>
  <c r="H34" i="23"/>
  <c r="Q38" i="23"/>
  <c r="Q37" i="23"/>
  <c r="Q35" i="23"/>
  <c r="H34" i="21"/>
  <c r="H38" i="20"/>
  <c r="H35" i="20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13" i="20"/>
  <c r="H19" i="23"/>
  <c r="Q20" i="24"/>
  <c r="H19" i="24"/>
  <c r="H19" i="22"/>
  <c r="H20" i="23"/>
  <c r="H20" i="22"/>
  <c r="H22" i="20"/>
  <c r="H23" i="20"/>
  <c r="H27" i="20"/>
  <c r="H26" i="20"/>
  <c r="G25" i="20"/>
  <c r="H25" i="21"/>
  <c r="Q25" i="21" s="1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13" i="26"/>
  <c r="H21" i="26"/>
  <c r="Q17" i="20"/>
  <c r="Q18" i="20"/>
  <c r="Q19" i="20"/>
  <c r="Q14" i="20"/>
  <c r="Q15" i="20"/>
  <c r="Q16" i="20"/>
  <c r="Q16" i="23"/>
  <c r="Q14" i="25"/>
  <c r="Q13" i="25"/>
  <c r="Q39" i="20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22" i="21"/>
  <c r="Q35" i="21"/>
  <c r="AA35" i="20"/>
  <c r="AA37" i="20"/>
  <c r="AA38" i="20"/>
  <c r="Y39" i="22"/>
  <c r="AA39" i="20"/>
  <c r="Q14" i="21"/>
  <c r="AA14" i="20"/>
  <c r="Q41" i="23"/>
  <c r="AA24" i="20"/>
  <c r="AA28" i="20"/>
  <c r="AA27" i="20"/>
  <c r="AA26" i="20"/>
  <c r="AA29" i="20"/>
  <c r="AA40" i="20"/>
  <c r="AA13" i="20"/>
  <c r="AA15" i="20"/>
  <c r="AA16" i="20"/>
  <c r="AA17" i="20"/>
  <c r="AA18" i="20"/>
  <c r="AA19" i="20"/>
  <c r="AA21" i="20"/>
  <c r="AA23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Q24" i="20" l="1"/>
  <c r="H21" i="20"/>
  <c r="Q23" i="20"/>
  <c r="Q38" i="20"/>
  <c r="H31" i="20"/>
  <c r="Q35" i="20"/>
  <c r="Q34" i="23"/>
  <c r="Q15" i="25"/>
  <c r="Q23" i="25"/>
  <c r="H34" i="20"/>
  <c r="Q33" i="20"/>
  <c r="H32" i="20"/>
  <c r="Q32" i="24"/>
  <c r="Q30" i="24"/>
  <c r="Q19" i="23"/>
  <c r="Q19" i="24"/>
  <c r="Q20" i="23"/>
  <c r="H25" i="20"/>
  <c r="Q26" i="20"/>
  <c r="H20" i="20"/>
  <c r="Q20" i="25"/>
  <c r="H28" i="20"/>
  <c r="Q28" i="24"/>
  <c r="Q28" i="21"/>
  <c r="Q36" i="24"/>
  <c r="V17" i="25"/>
  <c r="Q22" i="25"/>
  <c r="Q36" i="20"/>
  <c r="H37" i="20"/>
  <c r="Q13" i="24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13" i="21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13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21" i="20" l="1"/>
  <c r="Q31" i="20"/>
  <c r="Q34" i="20"/>
  <c r="Q32" i="20"/>
  <c r="Q25" i="20"/>
  <c r="Q20" i="20"/>
  <c r="V16" i="25"/>
  <c r="Q37" i="20"/>
  <c r="Q13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V13" i="25" s="1"/>
  <c r="V12" i="25" s="1"/>
  <c r="V11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3" i="23" s="1"/>
  <c r="Y12" i="23" s="1"/>
  <c r="Y11" i="23" s="1"/>
  <c r="Y18" i="24"/>
  <c r="Y17" i="24" s="1"/>
  <c r="Y16" i="24" s="1"/>
  <c r="Y15" i="24" s="1"/>
  <c r="Y14" i="24" s="1"/>
  <c r="Y13" i="24" s="1"/>
  <c r="Y12" i="24" s="1"/>
  <c r="Y11" i="24" s="1"/>
  <c r="Y19" i="21"/>
  <c r="Y18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17" i="21" l="1"/>
  <c r="Y16" i="21" s="1"/>
  <c r="Y15" i="21" s="1"/>
  <c r="Y14" i="21" s="1"/>
  <c r="Y13" i="21" s="1"/>
  <c r="Y12" i="21" s="1"/>
  <c r="Y11" i="21" s="1"/>
  <c r="Y26" i="26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20" i="20" l="1"/>
  <c r="Y19" i="20" s="1"/>
  <c r="Y18" i="20" s="1"/>
  <c r="Y17" i="20" s="1"/>
  <c r="Y16" i="20" s="1"/>
  <c r="Y15" i="20" s="1"/>
  <c r="Y14" i="20" s="1"/>
  <c r="Y13" i="20" s="1"/>
  <c r="Y12" i="20" s="1"/>
  <c r="Y11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13" i="26" l="1"/>
  <c r="Y12" i="26" s="1"/>
  <c r="Y11" i="26" s="1"/>
  <c r="Y25" i="25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24" i="25" l="1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P17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P17" i="21" s="1"/>
  <c r="W19" i="21"/>
  <c r="U18" i="21"/>
  <c r="T17" i="21"/>
  <c r="Z19" i="21"/>
  <c r="X18" i="21"/>
  <c r="W19" i="20"/>
  <c r="U18" i="20"/>
  <c r="N15" i="20"/>
  <c r="P15" i="20" s="1"/>
  <c r="Z19" i="25" l="1"/>
  <c r="U17" i="25"/>
  <c r="W18" i="25"/>
  <c r="P17" i="25"/>
  <c r="N16" i="25"/>
  <c r="P16" i="25" s="1"/>
  <c r="Y17" i="25"/>
  <c r="Z18" i="25"/>
  <c r="T13" i="23"/>
  <c r="X17" i="26"/>
  <c r="Z18" i="26"/>
  <c r="U16" i="26"/>
  <c r="W17" i="26"/>
  <c r="N15" i="26"/>
  <c r="P15" i="26" s="1"/>
  <c r="T16" i="26"/>
  <c r="N16" i="24"/>
  <c r="P16" i="24" s="1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N16" i="21"/>
  <c r="P16" i="21" s="1"/>
  <c r="T16" i="21"/>
  <c r="N14" i="20"/>
  <c r="P14" i="20" s="1"/>
  <c r="W18" i="20"/>
  <c r="U17" i="20"/>
  <c r="U16" i="25" l="1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N15" i="24"/>
  <c r="P15" i="24" s="1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N15" i="21"/>
  <c r="P15" i="21" s="1"/>
  <c r="X16" i="21"/>
  <c r="Z17" i="21"/>
  <c r="W17" i="20"/>
  <c r="U16" i="20"/>
  <c r="N13" i="20"/>
  <c r="N12" i="20" s="1"/>
  <c r="N11" i="20" s="1"/>
  <c r="P11" i="20" s="1"/>
  <c r="P12" i="20" l="1"/>
  <c r="P13" i="20"/>
  <c r="T14" i="26"/>
  <c r="N13" i="26"/>
  <c r="N12" i="26" s="1"/>
  <c r="N11" i="26" s="1"/>
  <c r="P11" i="26" s="1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N14" i="24"/>
  <c r="P14" i="24" s="1"/>
  <c r="W16" i="24"/>
  <c r="U15" i="24"/>
  <c r="N14" i="23"/>
  <c r="P14" i="23" s="1"/>
  <c r="X13" i="23"/>
  <c r="X12" i="23" s="1"/>
  <c r="X11" i="23" s="1"/>
  <c r="Z11" i="23" s="1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N14" i="21"/>
  <c r="P14" i="21" s="1"/>
  <c r="T14" i="21"/>
  <c r="U15" i="20"/>
  <c r="W16" i="20"/>
  <c r="Z12" i="23" l="1"/>
  <c r="P12" i="26"/>
  <c r="T13" i="26"/>
  <c r="P13" i="26"/>
  <c r="T13" i="25"/>
  <c r="T13" i="24"/>
  <c r="Z13" i="23"/>
  <c r="T13" i="21"/>
  <c r="Y15" i="25"/>
  <c r="W14" i="26"/>
  <c r="U13" i="26"/>
  <c r="U12" i="26" s="1"/>
  <c r="U11" i="26" s="1"/>
  <c r="W11" i="26" s="1"/>
  <c r="Z15" i="26"/>
  <c r="X14" i="26"/>
  <c r="U14" i="25"/>
  <c r="W15" i="25"/>
  <c r="N13" i="25"/>
  <c r="N12" i="25" s="1"/>
  <c r="N11" i="25" s="1"/>
  <c r="P11" i="25" s="1"/>
  <c r="X13" i="25"/>
  <c r="X12" i="25" s="1"/>
  <c r="X11" i="25" s="1"/>
  <c r="W15" i="24"/>
  <c r="U14" i="24"/>
  <c r="X14" i="24"/>
  <c r="Z15" i="24"/>
  <c r="N13" i="24"/>
  <c r="N12" i="24" s="1"/>
  <c r="N11" i="24" s="1"/>
  <c r="P11" i="24" s="1"/>
  <c r="U14" i="23"/>
  <c r="W15" i="23"/>
  <c r="N13" i="23"/>
  <c r="N12" i="23" s="1"/>
  <c r="N11" i="23" s="1"/>
  <c r="P11" i="23" s="1"/>
  <c r="X14" i="22"/>
  <c r="N13" i="22"/>
  <c r="N12" i="22" s="1"/>
  <c r="N11" i="22" s="1"/>
  <c r="P11" i="22" s="1"/>
  <c r="W15" i="22"/>
  <c r="U14" i="22"/>
  <c r="W15" i="21"/>
  <c r="U14" i="21"/>
  <c r="X14" i="21"/>
  <c r="Z15" i="21"/>
  <c r="N13" i="21"/>
  <c r="N12" i="21" s="1"/>
  <c r="N11" i="21" s="1"/>
  <c r="P11" i="21" s="1"/>
  <c r="W15" i="20"/>
  <c r="U14" i="20"/>
  <c r="P12" i="21" l="1"/>
  <c r="P12" i="22"/>
  <c r="P12" i="23"/>
  <c r="P12" i="24"/>
  <c r="P12" i="25"/>
  <c r="W12" i="26"/>
  <c r="W13" i="26"/>
  <c r="P13" i="25"/>
  <c r="P13" i="24"/>
  <c r="P13" i="23"/>
  <c r="P13" i="21"/>
  <c r="P13" i="22"/>
  <c r="Y14" i="25"/>
  <c r="Z15" i="25"/>
  <c r="Z14" i="26"/>
  <c r="X13" i="26"/>
  <c r="X12" i="26" s="1"/>
  <c r="X11" i="26" s="1"/>
  <c r="Z11" i="26" s="1"/>
  <c r="W14" i="25"/>
  <c r="U13" i="25"/>
  <c r="U12" i="25" s="1"/>
  <c r="U11" i="25" s="1"/>
  <c r="W11" i="25" s="1"/>
  <c r="X13" i="24"/>
  <c r="X12" i="24" s="1"/>
  <c r="X11" i="24" s="1"/>
  <c r="Z11" i="24" s="1"/>
  <c r="Z14" i="24"/>
  <c r="U13" i="24"/>
  <c r="U12" i="24" s="1"/>
  <c r="U11" i="24" s="1"/>
  <c r="W11" i="24" s="1"/>
  <c r="W14" i="24"/>
  <c r="W14" i="23"/>
  <c r="U13" i="23"/>
  <c r="U12" i="23" s="1"/>
  <c r="U11" i="23" s="1"/>
  <c r="W11" i="23" s="1"/>
  <c r="U13" i="22"/>
  <c r="U12" i="22" s="1"/>
  <c r="U11" i="22" s="1"/>
  <c r="W11" i="22" s="1"/>
  <c r="W14" i="22"/>
  <c r="X13" i="22"/>
  <c r="X12" i="22" s="1"/>
  <c r="X11" i="22" s="1"/>
  <c r="X13" i="21"/>
  <c r="X12" i="21" s="1"/>
  <c r="X11" i="21" s="1"/>
  <c r="Z11" i="21" s="1"/>
  <c r="Z14" i="21"/>
  <c r="U13" i="21"/>
  <c r="U12" i="21" s="1"/>
  <c r="U11" i="21" s="1"/>
  <c r="W11" i="21" s="1"/>
  <c r="W14" i="21"/>
  <c r="U13" i="20"/>
  <c r="U12" i="20" s="1"/>
  <c r="U11" i="20" s="1"/>
  <c r="W11" i="20" s="1"/>
  <c r="W14" i="20"/>
  <c r="W12" i="21" l="1"/>
  <c r="Z12" i="21"/>
  <c r="W12" i="22"/>
  <c r="W12" i="23"/>
  <c r="W12" i="24"/>
  <c r="Z12" i="24"/>
  <c r="W12" i="25"/>
  <c r="Z12" i="26"/>
  <c r="W12" i="20"/>
  <c r="Z13" i="26"/>
  <c r="W13" i="25"/>
  <c r="Z13" i="24"/>
  <c r="W13" i="24"/>
  <c r="W13" i="23"/>
  <c r="Z13" i="21"/>
  <c r="W13" i="21"/>
  <c r="W13" i="22"/>
  <c r="Y13" i="25"/>
  <c r="Y12" i="25" s="1"/>
  <c r="Y11" i="25" s="1"/>
  <c r="Z11" i="25" s="1"/>
  <c r="Z14" i="25"/>
  <c r="W13" i="20"/>
  <c r="Z12" i="25" l="1"/>
  <c r="Z13" i="25"/>
  <c r="T30" i="20" l="1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T13" i="20" l="1"/>
  <c r="Z14" i="20"/>
  <c r="X13" i="20"/>
  <c r="X12" i="20" s="1"/>
  <c r="X11" i="20" s="1"/>
  <c r="Z11" i="20" s="1"/>
  <c r="Z12" i="20" l="1"/>
  <c r="Z13" i="20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F14" i="22"/>
  <c r="K13" i="22"/>
  <c r="S13" i="22" s="1"/>
  <c r="K14" i="22"/>
  <c r="S14" i="22" s="1"/>
  <c r="T14" i="22" l="1"/>
  <c r="AA14" i="22"/>
  <c r="G14" i="22"/>
  <c r="H14" i="22" s="1"/>
  <c r="Q14" i="22" s="1"/>
  <c r="Y14" i="22"/>
  <c r="T13" i="22"/>
  <c r="AA13" i="22"/>
  <c r="G13" i="22"/>
  <c r="H13" i="22" s="1"/>
  <c r="Q13" i="22" s="1"/>
  <c r="Y13" i="22" l="1"/>
  <c r="Y12" i="22" s="1"/>
  <c r="Y11" i="22" s="1"/>
  <c r="Z11" i="22" s="1"/>
  <c r="Z14" i="22"/>
  <c r="Z12" i="22" l="1"/>
  <c r="Z13" i="22"/>
  <c r="M40" i="24" l="1"/>
  <c r="AA40" i="24" s="1"/>
  <c r="M41" i="24"/>
  <c r="AA41" i="24" s="1"/>
  <c r="M42" i="24" l="1"/>
</calcChain>
</file>

<file path=xl/comments1.xml><?xml version="1.0" encoding="utf-8"?>
<comments xmlns="http://schemas.openxmlformats.org/spreadsheetml/2006/main">
  <authors>
    <author>Jorge Gomez Fernandez</author>
  </authors>
  <commentList>
    <comment ref="M42" authorId="0" shapeId="0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<sst xmlns="http://schemas.openxmlformats.org/spreadsheetml/2006/main" count="338" uniqueCount="46">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</sst>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B2:AB50"/>
  <sheetViews>
    <sheetView topLeftCell="E1" zoomScale="70" zoomScaleNormal="70" zoomScaleSheetLayoutView="93" workbookViewId="0">
      <pane ySplit="8" topLeftCell="A9" activePane="bottomLeft" state="frozen"/>
      <selection pane="bottomLeft" activeCell="N25" sqref="N25"/>
    </sheetView>
  </sheetViews>
  <sheetFormatPr baseColWidth="10" defaultColWidth="11.42578125" defaultRowHeight="15" x14ac:dyDescent="0.25"/>
  <cols>
    <col min="1" max="2" width="11.42578125" customWidth="1"/>
    <col min="3" max="3" width="13.85546875" bestFit="1" customWidth="1"/>
    <col min="4" max="4" width="12.28515625" bestFit="1" customWidth="1"/>
    <col min="5" max="5" width="11.42578125" customWidth="1"/>
    <col min="8" max="9" width="12.28515625" bestFit="1" customWidth="1"/>
    <col min="13" max="13" width="14.28515625" customWidth="1"/>
    <col min="16" max="16" width="13.42578125" bestFit="1" customWidth="1"/>
    <col min="17" max="17" width="13.140625" customWidth="1"/>
    <col min="19" max="19" width="11.5703125" bestFit="1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v>45413</v>
      </c>
    </row>
    <row r="5" spans="2:28" x14ac:dyDescent="0.25">
      <c r="C5" s="56" t="s">
        <v>35</v>
      </c>
      <c r="D5" s="56"/>
      <c r="E5" s="56"/>
      <c r="U5" t="s">
        <v>42</v>
      </c>
      <c r="V5" t="s">
        <v>43</v>
      </c>
    </row>
    <row r="6" spans="2:28" ht="15.75" x14ac:dyDescent="0.25">
      <c r="N6" s="13" t="s">
        <v>27</v>
      </c>
      <c r="O6" s="29">
        <f>S6*16.5%</f>
        <v>4125</v>
      </c>
      <c r="P6" s="30" t="s">
        <v>26</v>
      </c>
      <c r="Q6" s="11">
        <f>(S6*8)/100</f>
        <v>2000</v>
      </c>
      <c r="R6" s="13" t="s">
        <v>25</v>
      </c>
      <c r="S6" s="11">
        <v>25000</v>
      </c>
      <c r="T6" t="s">
        <v>41</v>
      </c>
      <c r="U6">
        <v>454.3</v>
      </c>
      <c r="V6">
        <f>U6/31</f>
        <v>14.654838709677419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241066</v>
      </c>
      <c r="D11" s="7">
        <v>548092</v>
      </c>
      <c r="E11" s="7">
        <v>129160</v>
      </c>
      <c r="F11" s="8">
        <f t="shared" ref="F11" si="0">C11+D11+E11</f>
        <v>918318</v>
      </c>
      <c r="G11" s="22">
        <f t="shared" ref="G11" si="1">(C12+D12+E12)+((S11/24)*9.5)</f>
        <v>918076.9375</v>
      </c>
      <c r="H11" s="7">
        <f t="shared" ref="H11" si="2">G11+((K11/12)*2.5)</f>
        <v>918117.35416666663</v>
      </c>
      <c r="I11" s="7">
        <v>646471</v>
      </c>
      <c r="J11" s="6">
        <f t="shared" ref="J11:L11" si="3">C11-C12</f>
        <v>201</v>
      </c>
      <c r="K11" s="6">
        <f t="shared" si="3"/>
        <v>194</v>
      </c>
      <c r="L11" s="6">
        <f t="shared" si="3"/>
        <v>4</v>
      </c>
      <c r="M11" s="6">
        <f t="shared" ref="M11" si="4">I11-I12</f>
        <v>299</v>
      </c>
      <c r="N11" s="5">
        <f t="shared" ref="N11" si="5">N12</f>
        <v>133.06451612903226</v>
      </c>
      <c r="O11" s="23">
        <f t="shared" ref="O11" si="6">L11</f>
        <v>4</v>
      </c>
      <c r="P11" s="5">
        <f t="shared" ref="P11" si="7">N11-O11</f>
        <v>129.06451612903226</v>
      </c>
      <c r="Q11" s="5">
        <f t="shared" ref="Q11" si="8">H11-G11</f>
        <v>40.416666666627862</v>
      </c>
      <c r="R11" s="7">
        <f t="shared" ref="R11" si="9">R12</f>
        <v>806.45161290322585</v>
      </c>
      <c r="S11" s="6">
        <f t="shared" ref="S11" si="10">J11+K11+L11</f>
        <v>399</v>
      </c>
      <c r="T11" s="7">
        <f t="shared" ref="T11" si="11">R11-S11</f>
        <v>407.45161290322585</v>
      </c>
      <c r="U11" s="7">
        <f t="shared" ref="U11:V11" si="12">U12+N11</f>
        <v>4124.9999999999991</v>
      </c>
      <c r="V11" s="7">
        <f t="shared" si="12"/>
        <v>2253</v>
      </c>
      <c r="W11" s="7">
        <f t="shared" ref="W11" si="13">U11-V11</f>
        <v>1871.9999999999991</v>
      </c>
      <c r="X11" s="7">
        <f t="shared" ref="X11:Y11" si="14">X12+R11</f>
        <v>25000.000000000011</v>
      </c>
      <c r="Y11" s="7">
        <f t="shared" si="14"/>
        <v>11382.654838709677</v>
      </c>
      <c r="Z11" s="7">
        <f t="shared" ref="Z11" si="15">X11-Y11</f>
        <v>13617.345161290334</v>
      </c>
      <c r="AA11" s="24">
        <f t="shared" ref="AA11" si="16">COS(ATAN(M11/S11))</f>
        <v>0.80024060950761788</v>
      </c>
      <c r="AB11" s="25"/>
    </row>
    <row r="12" spans="2:28" ht="18" x14ac:dyDescent="0.25">
      <c r="B12" s="3">
        <v>30</v>
      </c>
      <c r="C12" s="3">
        <v>240865</v>
      </c>
      <c r="D12" s="3">
        <v>547898</v>
      </c>
      <c r="E12" s="3">
        <v>129156</v>
      </c>
      <c r="F12" s="8">
        <f t="shared" ref="F12" si="17">C12+D12+E12</f>
        <v>917919</v>
      </c>
      <c r="G12" s="22">
        <f t="shared" ref="G12" si="18">(C13+D13+E13)+((S12/24)*7.5)</f>
        <v>917655.6875</v>
      </c>
      <c r="H12" s="7">
        <f t="shared" ref="H12" si="19">G12+((K12/12)*2.5)</f>
        <v>917695.27083333337</v>
      </c>
      <c r="I12" s="3">
        <v>646172</v>
      </c>
      <c r="J12" s="6">
        <f t="shared" ref="J12" si="20">C12-C13</f>
        <v>188</v>
      </c>
      <c r="K12" s="6">
        <f t="shared" ref="K12" si="21">D12-D13</f>
        <v>190</v>
      </c>
      <c r="L12" s="6">
        <f t="shared" ref="L12" si="22">E12-E13</f>
        <v>5</v>
      </c>
      <c r="M12" s="6">
        <f t="shared" ref="M12" si="23">I12-I13</f>
        <v>263</v>
      </c>
      <c r="N12" s="5">
        <f t="shared" ref="N12:N40" si="24">N13</f>
        <v>133.06451612903226</v>
      </c>
      <c r="O12" s="23">
        <f t="shared" ref="O12" si="25">L12</f>
        <v>5</v>
      </c>
      <c r="P12" s="5">
        <f t="shared" ref="P12" si="26">N12-O12</f>
        <v>128.06451612903226</v>
      </c>
      <c r="Q12" s="5">
        <f t="shared" ref="Q12" si="27">H12-G12</f>
        <v>39.583333333372138</v>
      </c>
      <c r="R12" s="7">
        <f t="shared" ref="R12:R39" si="28">R13</f>
        <v>806.45161290322585</v>
      </c>
      <c r="S12" s="6">
        <f t="shared" ref="S12" si="29">J12+K12+L12</f>
        <v>383</v>
      </c>
      <c r="T12" s="7">
        <f t="shared" ref="T12" si="30">R12-S12</f>
        <v>423.45161290322585</v>
      </c>
      <c r="U12" s="7">
        <f t="shared" ref="U12" si="31">U13+N12</f>
        <v>3991.9354838709664</v>
      </c>
      <c r="V12" s="7">
        <f t="shared" ref="V12" si="32">V13+O12</f>
        <v>2249</v>
      </c>
      <c r="W12" s="7">
        <f t="shared" ref="W12" si="33">U12-V12</f>
        <v>1742.9354838709664</v>
      </c>
      <c r="X12" s="7">
        <f t="shared" ref="X12" si="34">X13+R12</f>
        <v>24193.548387096784</v>
      </c>
      <c r="Y12" s="7">
        <f t="shared" ref="Y12" si="35">Y13+S12</f>
        <v>10983.654838709677</v>
      </c>
      <c r="Z12" s="7">
        <f t="shared" ref="Z12" si="36">X12-Y12</f>
        <v>13209.893548387106</v>
      </c>
      <c r="AA12" s="24">
        <f t="shared" ref="AA12" si="37">COS(ATAN(M12/S12))</f>
        <v>0.8243558031308843</v>
      </c>
      <c r="AB12" s="25"/>
    </row>
    <row r="13" spans="2:28" ht="18" x14ac:dyDescent="0.25">
      <c r="B13" s="3">
        <v>29</v>
      </c>
      <c r="C13" s="3">
        <v>240677</v>
      </c>
      <c r="D13" s="3">
        <v>547708</v>
      </c>
      <c r="E13" s="3">
        <v>129151</v>
      </c>
      <c r="F13" s="8">
        <f>C13+D13+E13</f>
        <v>917536</v>
      </c>
      <c r="G13" s="22">
        <f t="shared" ref="G13:G41" si="38">(C14+D14+E14)+((S13/24)*7.5)</f>
        <v>917296.75</v>
      </c>
      <c r="H13" s="7">
        <f t="shared" ref="H13:H41" si="39">G13+((K13/12)*2.5)</f>
        <v>917316.75</v>
      </c>
      <c r="I13" s="3">
        <v>645909</v>
      </c>
      <c r="J13" s="6">
        <f t="shared" ref="J13:L13" si="40">C13-C14</f>
        <v>177</v>
      </c>
      <c r="K13" s="6">
        <f t="shared" si="40"/>
        <v>96</v>
      </c>
      <c r="L13" s="6">
        <f t="shared" si="40"/>
        <v>75</v>
      </c>
      <c r="M13" s="6">
        <f t="shared" ref="M13:M41" si="41">I13-I14</f>
        <v>269</v>
      </c>
      <c r="N13" s="5">
        <f t="shared" si="24"/>
        <v>133.06451612903226</v>
      </c>
      <c r="O13" s="23">
        <f t="shared" ref="O13:O41" si="42">L13</f>
        <v>75</v>
      </c>
      <c r="P13" s="5">
        <f t="shared" ref="P13:P41" si="43">N13-O13</f>
        <v>58.064516129032256</v>
      </c>
      <c r="Q13" s="5">
        <f t="shared" ref="Q13:Q41" si="44">H13-G13</f>
        <v>20</v>
      </c>
      <c r="R13" s="7">
        <f t="shared" si="28"/>
        <v>806.45161290322585</v>
      </c>
      <c r="S13" s="6">
        <f t="shared" ref="S13:S39" si="45">J13+K13+L13</f>
        <v>348</v>
      </c>
      <c r="T13" s="7">
        <f t="shared" ref="T13:T41" si="46">R13-S13</f>
        <v>458.45161290322585</v>
      </c>
      <c r="U13" s="7">
        <f t="shared" ref="U13:V40" si="47">U14+N13</f>
        <v>3858.8709677419342</v>
      </c>
      <c r="V13" s="7">
        <f t="shared" si="47"/>
        <v>2244</v>
      </c>
      <c r="W13" s="7">
        <f t="shared" ref="W13:W41" si="48">U13-V13</f>
        <v>1614.8709677419342</v>
      </c>
      <c r="X13" s="7">
        <f t="shared" ref="X13:Y40" si="49">X14+R13</f>
        <v>23387.096774193556</v>
      </c>
      <c r="Y13" s="7">
        <f t="shared" si="49"/>
        <v>10600.654838709677</v>
      </c>
      <c r="Z13" s="7">
        <f t="shared" ref="Z13:Z41" si="50">X13-Y13</f>
        <v>12786.441935483879</v>
      </c>
      <c r="AA13" s="24">
        <f t="shared" ref="AA13:AA41" si="51">COS(ATAN(M13/S13))</f>
        <v>0.79118499121986918</v>
      </c>
      <c r="AB13" s="25"/>
    </row>
    <row r="14" spans="2:28" ht="18" x14ac:dyDescent="0.25">
      <c r="B14" s="3">
        <v>28</v>
      </c>
      <c r="C14" s="3">
        <f>C15+172</f>
        <v>240500</v>
      </c>
      <c r="D14" s="3">
        <f>D15+95</f>
        <v>547612</v>
      </c>
      <c r="E14" s="3">
        <f>E15+73</f>
        <v>129076</v>
      </c>
      <c r="F14" s="8">
        <f t="shared" ref="F14:F42" si="52">C14+D14+E14</f>
        <v>917188</v>
      </c>
      <c r="G14" s="22">
        <f t="shared" si="38"/>
        <v>916954.25</v>
      </c>
      <c r="H14" s="7">
        <f t="shared" si="39"/>
        <v>916974.04166666663</v>
      </c>
      <c r="I14" s="3">
        <f t="shared" ref="I14:I19" si="53">I15+262</f>
        <v>645640</v>
      </c>
      <c r="J14" s="6">
        <f t="shared" ref="J14:L41" si="54">C14-C15</f>
        <v>172</v>
      </c>
      <c r="K14" s="6">
        <f t="shared" si="54"/>
        <v>95</v>
      </c>
      <c r="L14" s="6">
        <f t="shared" si="54"/>
        <v>73</v>
      </c>
      <c r="M14" s="6">
        <f t="shared" si="41"/>
        <v>262</v>
      </c>
      <c r="N14" s="5">
        <f t="shared" si="24"/>
        <v>133.06451612903226</v>
      </c>
      <c r="O14" s="23">
        <f t="shared" si="42"/>
        <v>73</v>
      </c>
      <c r="P14" s="5">
        <f t="shared" si="43"/>
        <v>60.064516129032256</v>
      </c>
      <c r="Q14" s="5">
        <f t="shared" si="44"/>
        <v>19.791666666627862</v>
      </c>
      <c r="R14" s="7">
        <f t="shared" si="28"/>
        <v>806.45161290322585</v>
      </c>
      <c r="S14" s="6">
        <f t="shared" si="45"/>
        <v>340</v>
      </c>
      <c r="T14" s="7">
        <f t="shared" si="46"/>
        <v>466.45161290322585</v>
      </c>
      <c r="U14" s="7">
        <f t="shared" si="47"/>
        <v>3725.806451612902</v>
      </c>
      <c r="V14" s="7">
        <f t="shared" si="47"/>
        <v>2169</v>
      </c>
      <c r="W14" s="7">
        <f t="shared" si="48"/>
        <v>1556.806451612902</v>
      </c>
      <c r="X14" s="7">
        <f t="shared" si="49"/>
        <v>22580.645161290329</v>
      </c>
      <c r="Y14" s="7">
        <f t="shared" si="49"/>
        <v>10252.654838709677</v>
      </c>
      <c r="Z14" s="7">
        <f t="shared" si="50"/>
        <v>12327.990322580652</v>
      </c>
      <c r="AA14" s="24">
        <f t="shared" si="51"/>
        <v>0.79210406157181645</v>
      </c>
      <c r="AB14" s="25"/>
    </row>
    <row r="15" spans="2:28" ht="18" x14ac:dyDescent="0.25">
      <c r="B15" s="3">
        <v>27</v>
      </c>
      <c r="C15" s="3">
        <f>C16+166</f>
        <v>240328</v>
      </c>
      <c r="D15" s="3">
        <f>D16+149</f>
        <v>547517</v>
      </c>
      <c r="E15" s="3">
        <f>E16+84</f>
        <v>129003</v>
      </c>
      <c r="F15" s="8">
        <f t="shared" si="52"/>
        <v>916848</v>
      </c>
      <c r="G15" s="22">
        <f t="shared" si="38"/>
        <v>916573.6875</v>
      </c>
      <c r="H15" s="7">
        <f t="shared" si="39"/>
        <v>916604.72916666663</v>
      </c>
      <c r="I15" s="3">
        <f t="shared" si="53"/>
        <v>645378</v>
      </c>
      <c r="J15" s="6">
        <f t="shared" si="54"/>
        <v>166</v>
      </c>
      <c r="K15" s="6">
        <f t="shared" si="54"/>
        <v>149</v>
      </c>
      <c r="L15" s="6">
        <f t="shared" si="54"/>
        <v>84</v>
      </c>
      <c r="M15" s="6">
        <f t="shared" si="41"/>
        <v>262</v>
      </c>
      <c r="N15" s="5">
        <f t="shared" si="24"/>
        <v>133.06451612903226</v>
      </c>
      <c r="O15" s="23">
        <f t="shared" si="42"/>
        <v>84</v>
      </c>
      <c r="P15" s="5">
        <f t="shared" si="43"/>
        <v>49.064516129032256</v>
      </c>
      <c r="Q15" s="5">
        <f t="shared" si="44"/>
        <v>31.041666666627862</v>
      </c>
      <c r="R15" s="7">
        <f t="shared" si="28"/>
        <v>806.45161290322585</v>
      </c>
      <c r="S15" s="6">
        <f t="shared" si="45"/>
        <v>399</v>
      </c>
      <c r="T15" s="7">
        <f t="shared" si="46"/>
        <v>407.45161290322585</v>
      </c>
      <c r="U15" s="7">
        <f t="shared" si="47"/>
        <v>3592.7419354838698</v>
      </c>
      <c r="V15" s="7">
        <f t="shared" si="47"/>
        <v>2096</v>
      </c>
      <c r="W15" s="7">
        <f t="shared" si="48"/>
        <v>1496.7419354838698</v>
      </c>
      <c r="X15" s="7">
        <f t="shared" si="49"/>
        <v>21774.193548387102</v>
      </c>
      <c r="Y15" s="7">
        <f t="shared" si="49"/>
        <v>9912.6548387096773</v>
      </c>
      <c r="Z15" s="7">
        <f t="shared" si="50"/>
        <v>11861.538709677425</v>
      </c>
      <c r="AA15" s="24">
        <f t="shared" si="51"/>
        <v>0.8358977272512188</v>
      </c>
      <c r="AB15" s="25"/>
    </row>
    <row r="16" spans="2:28" ht="18" x14ac:dyDescent="0.25">
      <c r="B16" s="3">
        <v>26</v>
      </c>
      <c r="C16" s="3">
        <f>C17+181</f>
        <v>240162</v>
      </c>
      <c r="D16" s="3">
        <f>D17+154</f>
        <v>547368</v>
      </c>
      <c r="E16" s="3">
        <f>E17+92</f>
        <v>128919</v>
      </c>
      <c r="F16" s="8">
        <f t="shared" si="52"/>
        <v>916449</v>
      </c>
      <c r="G16" s="22">
        <f t="shared" si="38"/>
        <v>916155.4375</v>
      </c>
      <c r="H16" s="7">
        <f t="shared" si="39"/>
        <v>916187.52083333337</v>
      </c>
      <c r="I16" s="3">
        <f t="shared" si="53"/>
        <v>645116</v>
      </c>
      <c r="J16" s="6">
        <f t="shared" si="54"/>
        <v>181</v>
      </c>
      <c r="K16" s="6">
        <f t="shared" si="54"/>
        <v>154</v>
      </c>
      <c r="L16" s="6">
        <f t="shared" si="54"/>
        <v>92</v>
      </c>
      <c r="M16" s="6">
        <f t="shared" si="41"/>
        <v>262</v>
      </c>
      <c r="N16" s="5">
        <f t="shared" si="24"/>
        <v>133.06451612903226</v>
      </c>
      <c r="O16" s="23">
        <f t="shared" si="42"/>
        <v>92</v>
      </c>
      <c r="P16" s="5">
        <f t="shared" si="43"/>
        <v>41.064516129032256</v>
      </c>
      <c r="Q16" s="5">
        <f t="shared" si="44"/>
        <v>32.083333333372138</v>
      </c>
      <c r="R16" s="7">
        <f t="shared" si="28"/>
        <v>806.45161290322585</v>
      </c>
      <c r="S16" s="6">
        <f t="shared" si="45"/>
        <v>427</v>
      </c>
      <c r="T16" s="7">
        <f t="shared" si="46"/>
        <v>379.45161290322585</v>
      </c>
      <c r="U16" s="7">
        <f t="shared" si="47"/>
        <v>3459.6774193548376</v>
      </c>
      <c r="V16" s="7">
        <f t="shared" si="47"/>
        <v>2012</v>
      </c>
      <c r="W16" s="7">
        <f t="shared" si="48"/>
        <v>1447.6774193548376</v>
      </c>
      <c r="X16" s="7">
        <f t="shared" si="49"/>
        <v>20967.741935483875</v>
      </c>
      <c r="Y16" s="7">
        <f t="shared" si="49"/>
        <v>9513.6548387096773</v>
      </c>
      <c r="Z16" s="7">
        <f t="shared" si="50"/>
        <v>11454.087096774198</v>
      </c>
      <c r="AA16" s="24">
        <f t="shared" si="51"/>
        <v>0.85234295135925175</v>
      </c>
      <c r="AB16" s="25"/>
    </row>
    <row r="17" spans="2:28" ht="18" x14ac:dyDescent="0.25">
      <c r="B17" s="3">
        <v>25</v>
      </c>
      <c r="C17" s="3">
        <f>C18+170</f>
        <v>239981</v>
      </c>
      <c r="D17" s="3">
        <f>D18+96</f>
        <v>547214</v>
      </c>
      <c r="E17" s="3">
        <f>E18+80</f>
        <v>128827</v>
      </c>
      <c r="F17" s="8">
        <f t="shared" si="52"/>
        <v>916022</v>
      </c>
      <c r="G17" s="22">
        <f t="shared" si="38"/>
        <v>915784.125</v>
      </c>
      <c r="H17" s="7">
        <f t="shared" si="39"/>
        <v>915804.125</v>
      </c>
      <c r="I17" s="3">
        <f t="shared" si="53"/>
        <v>644854</v>
      </c>
      <c r="J17" s="6">
        <f t="shared" si="54"/>
        <v>170</v>
      </c>
      <c r="K17" s="6">
        <f t="shared" si="54"/>
        <v>96</v>
      </c>
      <c r="L17" s="6">
        <f t="shared" si="54"/>
        <v>80</v>
      </c>
      <c r="M17" s="6">
        <f t="shared" si="41"/>
        <v>262</v>
      </c>
      <c r="N17" s="5">
        <f t="shared" si="24"/>
        <v>133.06451612903226</v>
      </c>
      <c r="O17" s="23">
        <f t="shared" si="42"/>
        <v>80</v>
      </c>
      <c r="P17" s="5">
        <f t="shared" si="43"/>
        <v>53.064516129032256</v>
      </c>
      <c r="Q17" s="5">
        <f t="shared" si="44"/>
        <v>20</v>
      </c>
      <c r="R17" s="7">
        <f t="shared" si="28"/>
        <v>806.45161290322585</v>
      </c>
      <c r="S17" s="6">
        <f t="shared" si="45"/>
        <v>346</v>
      </c>
      <c r="T17" s="7">
        <f t="shared" si="46"/>
        <v>460.45161290322585</v>
      </c>
      <c r="U17" s="7">
        <f t="shared" si="47"/>
        <v>3326.6129032258054</v>
      </c>
      <c r="V17" s="7">
        <f t="shared" si="47"/>
        <v>1920</v>
      </c>
      <c r="W17" s="7">
        <f t="shared" si="48"/>
        <v>1406.6129032258054</v>
      </c>
      <c r="X17" s="7">
        <f t="shared" si="49"/>
        <v>20161.290322580648</v>
      </c>
      <c r="Y17" s="7">
        <f t="shared" si="49"/>
        <v>9086.6548387096773</v>
      </c>
      <c r="Z17" s="7">
        <f t="shared" si="50"/>
        <v>11074.63548387097</v>
      </c>
      <c r="AA17" s="24">
        <f t="shared" si="51"/>
        <v>0.79722655798248554</v>
      </c>
      <c r="AB17" s="25"/>
    </row>
    <row r="18" spans="2:28" ht="18" x14ac:dyDescent="0.25">
      <c r="B18" s="3">
        <v>24</v>
      </c>
      <c r="C18" s="3">
        <f>C19+175</f>
        <v>239811</v>
      </c>
      <c r="D18" s="3">
        <f>D19+82</f>
        <v>547118</v>
      </c>
      <c r="E18" s="3">
        <f>E19+79</f>
        <v>128747</v>
      </c>
      <c r="F18" s="8">
        <f t="shared" si="52"/>
        <v>915676</v>
      </c>
      <c r="G18" s="22">
        <f t="shared" si="38"/>
        <v>915445</v>
      </c>
      <c r="H18" s="7">
        <f t="shared" si="39"/>
        <v>915462.08333333337</v>
      </c>
      <c r="I18" s="3">
        <f t="shared" si="53"/>
        <v>644592</v>
      </c>
      <c r="J18" s="6">
        <f t="shared" si="54"/>
        <v>175</v>
      </c>
      <c r="K18" s="6">
        <f t="shared" si="54"/>
        <v>82</v>
      </c>
      <c r="L18" s="6">
        <f t="shared" si="54"/>
        <v>79</v>
      </c>
      <c r="M18" s="6">
        <f t="shared" si="41"/>
        <v>262</v>
      </c>
      <c r="N18" s="5">
        <f t="shared" si="24"/>
        <v>133.06451612903226</v>
      </c>
      <c r="O18" s="23">
        <f t="shared" si="42"/>
        <v>79</v>
      </c>
      <c r="P18" s="5">
        <f t="shared" si="43"/>
        <v>54.064516129032256</v>
      </c>
      <c r="Q18" s="5">
        <f t="shared" si="44"/>
        <v>17.083333333372138</v>
      </c>
      <c r="R18" s="7">
        <f t="shared" si="28"/>
        <v>806.45161290322585</v>
      </c>
      <c r="S18" s="6">
        <f t="shared" si="45"/>
        <v>336</v>
      </c>
      <c r="T18" s="7">
        <f t="shared" si="46"/>
        <v>470.45161290322585</v>
      </c>
      <c r="U18" s="7">
        <f t="shared" si="47"/>
        <v>3193.5483870967732</v>
      </c>
      <c r="V18" s="7">
        <f t="shared" si="47"/>
        <v>1840</v>
      </c>
      <c r="W18" s="7">
        <f t="shared" si="48"/>
        <v>1353.5483870967732</v>
      </c>
      <c r="X18" s="7">
        <f t="shared" si="49"/>
        <v>19354.83870967742</v>
      </c>
      <c r="Y18" s="7">
        <f t="shared" si="49"/>
        <v>8740.6548387096773</v>
      </c>
      <c r="Z18" s="7">
        <f t="shared" si="50"/>
        <v>10614.183870967743</v>
      </c>
      <c r="AA18" s="24">
        <f t="shared" si="51"/>
        <v>0.7885933524939609</v>
      </c>
      <c r="AB18" s="25"/>
    </row>
    <row r="19" spans="2:28" ht="18" x14ac:dyDescent="0.25">
      <c r="B19" s="3">
        <v>23</v>
      </c>
      <c r="C19" s="3">
        <f>C20+162</f>
        <v>239636</v>
      </c>
      <c r="D19" s="3">
        <f t="shared" ref="D19" si="55">D20+110</f>
        <v>547036</v>
      </c>
      <c r="E19" s="3">
        <f>E20+84</f>
        <v>128668</v>
      </c>
      <c r="F19" s="8">
        <f t="shared" si="52"/>
        <v>915340</v>
      </c>
      <c r="G19" s="22">
        <f t="shared" si="38"/>
        <v>915095.25</v>
      </c>
      <c r="H19" s="7">
        <f t="shared" si="39"/>
        <v>915118.16666666663</v>
      </c>
      <c r="I19" s="3">
        <f t="shared" si="53"/>
        <v>644330</v>
      </c>
      <c r="J19" s="6">
        <f t="shared" si="54"/>
        <v>162</v>
      </c>
      <c r="K19" s="6">
        <f t="shared" si="54"/>
        <v>110</v>
      </c>
      <c r="L19" s="6">
        <f t="shared" si="54"/>
        <v>84</v>
      </c>
      <c r="M19" s="6">
        <f t="shared" si="41"/>
        <v>262</v>
      </c>
      <c r="N19" s="5">
        <f t="shared" si="24"/>
        <v>133.06451612903226</v>
      </c>
      <c r="O19" s="3">
        <f t="shared" si="42"/>
        <v>84</v>
      </c>
      <c r="P19" s="5">
        <f t="shared" si="43"/>
        <v>49.064516129032256</v>
      </c>
      <c r="Q19" s="5">
        <f t="shared" si="44"/>
        <v>22.916666666627862</v>
      </c>
      <c r="R19" s="7">
        <f t="shared" si="28"/>
        <v>806.45161290322585</v>
      </c>
      <c r="S19" s="6">
        <f t="shared" si="45"/>
        <v>356</v>
      </c>
      <c r="T19" s="7">
        <f t="shared" si="46"/>
        <v>450.45161290322585</v>
      </c>
      <c r="U19" s="7">
        <f t="shared" si="47"/>
        <v>3060.483870967741</v>
      </c>
      <c r="V19" s="7">
        <f t="shared" si="47"/>
        <v>1761</v>
      </c>
      <c r="W19" s="7">
        <f t="shared" si="48"/>
        <v>1299.483870967741</v>
      </c>
      <c r="X19" s="7">
        <f t="shared" si="49"/>
        <v>18548.387096774193</v>
      </c>
      <c r="Y19" s="7">
        <f t="shared" si="49"/>
        <v>8404.6548387096773</v>
      </c>
      <c r="Z19" s="7">
        <f t="shared" si="50"/>
        <v>10143.732258064516</v>
      </c>
      <c r="AA19" s="24">
        <f t="shared" si="51"/>
        <v>0.80539688456849512</v>
      </c>
      <c r="AB19" s="1"/>
    </row>
    <row r="20" spans="2:28" ht="18" x14ac:dyDescent="0.25">
      <c r="B20" s="3">
        <v>22</v>
      </c>
      <c r="C20" s="3">
        <f>C21+171</f>
        <v>239474</v>
      </c>
      <c r="D20" s="3">
        <f>D21+92</f>
        <v>546926</v>
      </c>
      <c r="E20" s="3">
        <f>E21+81</f>
        <v>128584</v>
      </c>
      <c r="F20" s="8">
        <f t="shared" si="52"/>
        <v>914984</v>
      </c>
      <c r="G20" s="22">
        <f t="shared" si="38"/>
        <v>914747.5</v>
      </c>
      <c r="H20" s="7">
        <f t="shared" si="39"/>
        <v>914766.66666666663</v>
      </c>
      <c r="I20" s="3">
        <f>I21+262</f>
        <v>644068</v>
      </c>
      <c r="J20" s="6">
        <f t="shared" si="54"/>
        <v>171</v>
      </c>
      <c r="K20" s="6">
        <f t="shared" si="54"/>
        <v>92</v>
      </c>
      <c r="L20" s="6">
        <f t="shared" si="54"/>
        <v>81</v>
      </c>
      <c r="M20" s="6">
        <f t="shared" si="41"/>
        <v>262</v>
      </c>
      <c r="N20" s="5">
        <f t="shared" si="24"/>
        <v>133.06451612903226</v>
      </c>
      <c r="O20" s="3">
        <f t="shared" si="42"/>
        <v>81</v>
      </c>
      <c r="P20" s="5">
        <f t="shared" si="43"/>
        <v>52.064516129032256</v>
      </c>
      <c r="Q20" s="5">
        <f t="shared" si="44"/>
        <v>19.166666666627862</v>
      </c>
      <c r="R20" s="7">
        <f t="shared" si="28"/>
        <v>806.45161290322585</v>
      </c>
      <c r="S20" s="6">
        <f t="shared" si="45"/>
        <v>344</v>
      </c>
      <c r="T20" s="7">
        <f t="shared" si="46"/>
        <v>462.45161290322585</v>
      </c>
      <c r="U20" s="7">
        <f t="shared" si="47"/>
        <v>2927.4193548387088</v>
      </c>
      <c r="V20" s="7">
        <f t="shared" si="47"/>
        <v>1677</v>
      </c>
      <c r="W20" s="7">
        <f t="shared" si="48"/>
        <v>1250.4193548387088</v>
      </c>
      <c r="X20" s="7">
        <f t="shared" si="49"/>
        <v>17741.935483870966</v>
      </c>
      <c r="Y20" s="7">
        <f t="shared" si="49"/>
        <v>8048.6548387096773</v>
      </c>
      <c r="Z20" s="7">
        <f t="shared" si="50"/>
        <v>9693.2806451612887</v>
      </c>
      <c r="AA20" s="24">
        <f t="shared" si="51"/>
        <v>0.7955378821784419</v>
      </c>
      <c r="AB20" s="1"/>
    </row>
    <row r="21" spans="2:28" ht="18" x14ac:dyDescent="0.25">
      <c r="B21" s="3">
        <v>21</v>
      </c>
      <c r="C21" s="3">
        <v>239303</v>
      </c>
      <c r="D21" s="3">
        <v>546834</v>
      </c>
      <c r="E21" s="3">
        <v>128503</v>
      </c>
      <c r="F21" s="8">
        <f t="shared" si="52"/>
        <v>914640</v>
      </c>
      <c r="G21" s="22">
        <f t="shared" si="38"/>
        <v>914435.125</v>
      </c>
      <c r="H21" s="7">
        <f t="shared" si="39"/>
        <v>914450.54166666663</v>
      </c>
      <c r="I21" s="3">
        <v>643806</v>
      </c>
      <c r="J21" s="6">
        <f t="shared" si="54"/>
        <v>176</v>
      </c>
      <c r="K21" s="6">
        <f t="shared" si="54"/>
        <v>74</v>
      </c>
      <c r="L21" s="6">
        <f t="shared" si="54"/>
        <v>48</v>
      </c>
      <c r="M21" s="6">
        <f t="shared" si="41"/>
        <v>181</v>
      </c>
      <c r="N21" s="5">
        <f t="shared" si="24"/>
        <v>133.06451612903226</v>
      </c>
      <c r="O21" s="3">
        <f t="shared" si="42"/>
        <v>48</v>
      </c>
      <c r="P21" s="5">
        <f t="shared" si="43"/>
        <v>85.064516129032256</v>
      </c>
      <c r="Q21" s="5">
        <f t="shared" si="44"/>
        <v>15.416666666627862</v>
      </c>
      <c r="R21" s="7">
        <f t="shared" si="28"/>
        <v>806.45161290322585</v>
      </c>
      <c r="S21" s="6">
        <f t="shared" si="45"/>
        <v>298</v>
      </c>
      <c r="T21" s="7">
        <f t="shared" si="46"/>
        <v>508.45161290322585</v>
      </c>
      <c r="U21" s="7">
        <f t="shared" si="47"/>
        <v>2794.3548387096766</v>
      </c>
      <c r="V21" s="7">
        <f t="shared" si="47"/>
        <v>1596</v>
      </c>
      <c r="W21" s="7">
        <f t="shared" si="48"/>
        <v>1198.3548387096766</v>
      </c>
      <c r="X21" s="7">
        <f t="shared" si="49"/>
        <v>16935.483870967739</v>
      </c>
      <c r="Y21" s="7">
        <f t="shared" si="49"/>
        <v>7704.6548387096773</v>
      </c>
      <c r="Z21" s="7">
        <f t="shared" si="50"/>
        <v>9230.8290322580615</v>
      </c>
      <c r="AA21" s="24">
        <f t="shared" si="51"/>
        <v>0.85469662073442065</v>
      </c>
      <c r="AB21" s="1"/>
    </row>
    <row r="22" spans="2:28" ht="18" x14ac:dyDescent="0.25">
      <c r="B22" s="3">
        <v>20</v>
      </c>
      <c r="C22" s="3">
        <f>C23+159</f>
        <v>239127</v>
      </c>
      <c r="D22" s="3">
        <f>D23+77</f>
        <v>546760</v>
      </c>
      <c r="E22" s="3">
        <f>E23+56</f>
        <v>128455</v>
      </c>
      <c r="F22" s="8">
        <f t="shared" si="52"/>
        <v>914342</v>
      </c>
      <c r="G22" s="22">
        <f t="shared" si="38"/>
        <v>914141.25</v>
      </c>
      <c r="H22" s="7">
        <f t="shared" si="39"/>
        <v>914157.29166666663</v>
      </c>
      <c r="I22" s="3">
        <f>I23+195</f>
        <v>643625</v>
      </c>
      <c r="J22" s="6">
        <f t="shared" si="54"/>
        <v>159</v>
      </c>
      <c r="K22" s="6">
        <f t="shared" si="54"/>
        <v>77</v>
      </c>
      <c r="L22" s="6">
        <f t="shared" si="54"/>
        <v>56</v>
      </c>
      <c r="M22" s="6">
        <f t="shared" si="41"/>
        <v>195</v>
      </c>
      <c r="N22" s="5">
        <f t="shared" si="24"/>
        <v>133.06451612903226</v>
      </c>
      <c r="O22" s="3">
        <f t="shared" si="42"/>
        <v>56</v>
      </c>
      <c r="P22" s="5">
        <f t="shared" si="43"/>
        <v>77.064516129032256</v>
      </c>
      <c r="Q22" s="5">
        <f t="shared" si="44"/>
        <v>16.041666666627862</v>
      </c>
      <c r="R22" s="7">
        <f t="shared" si="28"/>
        <v>806.45161290322585</v>
      </c>
      <c r="S22" s="6">
        <f t="shared" si="45"/>
        <v>292</v>
      </c>
      <c r="T22" s="7">
        <f t="shared" si="46"/>
        <v>514.45161290322585</v>
      </c>
      <c r="U22" s="7">
        <f t="shared" si="47"/>
        <v>2661.2903225806444</v>
      </c>
      <c r="V22" s="7">
        <f t="shared" si="47"/>
        <v>1548</v>
      </c>
      <c r="W22" s="7">
        <f t="shared" si="48"/>
        <v>1113.2903225806444</v>
      </c>
      <c r="X22" s="7">
        <f t="shared" si="49"/>
        <v>16129.032258064512</v>
      </c>
      <c r="Y22" s="7">
        <f t="shared" si="49"/>
        <v>7406.6548387096773</v>
      </c>
      <c r="Z22" s="7">
        <f t="shared" si="50"/>
        <v>8722.3774193548343</v>
      </c>
      <c r="AA22" s="24">
        <f t="shared" si="51"/>
        <v>0.83161188309227807</v>
      </c>
      <c r="AB22" s="1"/>
    </row>
    <row r="23" spans="2:28" ht="18" x14ac:dyDescent="0.25">
      <c r="B23" s="3">
        <v>19</v>
      </c>
      <c r="C23" s="3">
        <f>C24+148</f>
        <v>238968</v>
      </c>
      <c r="D23" s="3">
        <f>D24+62</f>
        <v>546683</v>
      </c>
      <c r="E23" s="3">
        <f>E24+41</f>
        <v>128399</v>
      </c>
      <c r="F23" s="9">
        <f>C23+D23+E23</f>
        <v>914050</v>
      </c>
      <c r="G23" s="22">
        <f t="shared" si="38"/>
        <v>913877.4375</v>
      </c>
      <c r="H23" s="7">
        <f t="shared" si="39"/>
        <v>913890.35416666663</v>
      </c>
      <c r="I23" s="3">
        <f>I24+180</f>
        <v>643430</v>
      </c>
      <c r="J23" s="6">
        <f t="shared" si="54"/>
        <v>148</v>
      </c>
      <c r="K23" s="6">
        <f t="shared" si="54"/>
        <v>62</v>
      </c>
      <c r="L23" s="6">
        <f t="shared" si="54"/>
        <v>41</v>
      </c>
      <c r="M23" s="6">
        <f t="shared" si="41"/>
        <v>180</v>
      </c>
      <c r="N23" s="5">
        <f t="shared" si="24"/>
        <v>133.06451612903226</v>
      </c>
      <c r="O23" s="3">
        <f t="shared" si="42"/>
        <v>41</v>
      </c>
      <c r="P23" s="5">
        <f t="shared" si="43"/>
        <v>92.064516129032256</v>
      </c>
      <c r="Q23" s="5">
        <f t="shared" si="44"/>
        <v>12.916666666627862</v>
      </c>
      <c r="R23" s="7">
        <f t="shared" si="28"/>
        <v>806.45161290322585</v>
      </c>
      <c r="S23" s="6">
        <f t="shared" si="45"/>
        <v>251</v>
      </c>
      <c r="T23" s="7">
        <f t="shared" si="46"/>
        <v>555.45161290322585</v>
      </c>
      <c r="U23" s="7">
        <f t="shared" si="47"/>
        <v>2528.2258064516122</v>
      </c>
      <c r="V23" s="7">
        <f t="shared" si="47"/>
        <v>1492</v>
      </c>
      <c r="W23" s="7">
        <f t="shared" si="48"/>
        <v>1036.2258064516122</v>
      </c>
      <c r="X23" s="7">
        <f t="shared" si="49"/>
        <v>15322.580645161286</v>
      </c>
      <c r="Y23" s="7">
        <f t="shared" si="49"/>
        <v>7114.6548387096773</v>
      </c>
      <c r="Z23" s="7">
        <f t="shared" si="50"/>
        <v>8207.9258064516089</v>
      </c>
      <c r="AA23" s="24">
        <f t="shared" si="51"/>
        <v>0.8126382457397695</v>
      </c>
      <c r="AB23" s="1"/>
    </row>
    <row r="24" spans="2:28" ht="18" x14ac:dyDescent="0.25">
      <c r="B24" s="3">
        <v>18</v>
      </c>
      <c r="C24" s="3">
        <f>C25+155</f>
        <v>238820</v>
      </c>
      <c r="D24" s="3">
        <f>D25+71</f>
        <v>546621</v>
      </c>
      <c r="E24" s="3">
        <f>E25+37</f>
        <v>128358</v>
      </c>
      <c r="F24" s="8">
        <f t="shared" si="52"/>
        <v>913799</v>
      </c>
      <c r="G24" s="22">
        <f t="shared" si="38"/>
        <v>913618.1875</v>
      </c>
      <c r="H24" s="7">
        <f t="shared" si="39"/>
        <v>913632.97916666663</v>
      </c>
      <c r="I24" s="3">
        <f t="shared" ref="I24" si="56">I25+185</f>
        <v>643250</v>
      </c>
      <c r="J24" s="6">
        <f t="shared" si="54"/>
        <v>155</v>
      </c>
      <c r="K24" s="6">
        <f t="shared" si="54"/>
        <v>71</v>
      </c>
      <c r="L24" s="6">
        <f t="shared" si="54"/>
        <v>37</v>
      </c>
      <c r="M24" s="6">
        <f t="shared" si="41"/>
        <v>185</v>
      </c>
      <c r="N24" s="5">
        <f t="shared" si="24"/>
        <v>133.06451612903226</v>
      </c>
      <c r="O24" s="3">
        <f t="shared" si="42"/>
        <v>37</v>
      </c>
      <c r="P24" s="5">
        <f t="shared" si="43"/>
        <v>96.064516129032256</v>
      </c>
      <c r="Q24" s="5">
        <f t="shared" si="44"/>
        <v>14.791666666627862</v>
      </c>
      <c r="R24" s="7">
        <f t="shared" si="28"/>
        <v>806.45161290322585</v>
      </c>
      <c r="S24" s="6">
        <f t="shared" si="45"/>
        <v>263</v>
      </c>
      <c r="T24" s="7">
        <f t="shared" si="46"/>
        <v>543.45161290322585</v>
      </c>
      <c r="U24" s="7">
        <f t="shared" si="47"/>
        <v>2395.16129032258</v>
      </c>
      <c r="V24" s="7">
        <f t="shared" si="47"/>
        <v>1451</v>
      </c>
      <c r="W24" s="7">
        <f t="shared" si="48"/>
        <v>944.16129032258004</v>
      </c>
      <c r="X24" s="7">
        <f t="shared" si="49"/>
        <v>14516.129032258061</v>
      </c>
      <c r="Y24" s="7">
        <f t="shared" si="49"/>
        <v>6863.6548387096773</v>
      </c>
      <c r="Z24" s="7">
        <f t="shared" si="50"/>
        <v>7652.4741935483835</v>
      </c>
      <c r="AA24" s="24">
        <f t="shared" si="51"/>
        <v>0.81791482479449207</v>
      </c>
      <c r="AB24" s="1"/>
    </row>
    <row r="25" spans="2:28" ht="18" x14ac:dyDescent="0.25">
      <c r="B25" s="3">
        <v>17</v>
      </c>
      <c r="C25" s="3">
        <f>C26+149</f>
        <v>238665</v>
      </c>
      <c r="D25" s="3">
        <f t="shared" ref="D25" si="57">D26+70</f>
        <v>546550</v>
      </c>
      <c r="E25" s="3">
        <f>E26+38</f>
        <v>128321</v>
      </c>
      <c r="F25" s="8">
        <f t="shared" si="52"/>
        <v>913536</v>
      </c>
      <c r="G25" s="22">
        <f t="shared" si="38"/>
        <v>913359.3125</v>
      </c>
      <c r="H25" s="7">
        <f t="shared" si="39"/>
        <v>913373.89583333337</v>
      </c>
      <c r="I25" s="3">
        <f>I26+192</f>
        <v>643065</v>
      </c>
      <c r="J25" s="6">
        <f t="shared" si="54"/>
        <v>149</v>
      </c>
      <c r="K25" s="6">
        <f t="shared" si="54"/>
        <v>70</v>
      </c>
      <c r="L25" s="6">
        <f t="shared" si="54"/>
        <v>38</v>
      </c>
      <c r="M25" s="7">
        <f t="shared" si="41"/>
        <v>192</v>
      </c>
      <c r="N25" s="5">
        <f t="shared" si="24"/>
        <v>133.06451612903226</v>
      </c>
      <c r="O25" s="3">
        <f t="shared" si="42"/>
        <v>38</v>
      </c>
      <c r="P25" s="5">
        <f t="shared" si="43"/>
        <v>95.064516129032256</v>
      </c>
      <c r="Q25" s="5">
        <f t="shared" si="44"/>
        <v>14.583333333372138</v>
      </c>
      <c r="R25" s="7">
        <f t="shared" si="28"/>
        <v>806.45161290322585</v>
      </c>
      <c r="S25" s="6">
        <f t="shared" si="45"/>
        <v>257</v>
      </c>
      <c r="T25" s="7">
        <f t="shared" si="46"/>
        <v>549.45161290322585</v>
      </c>
      <c r="U25" s="7">
        <f t="shared" si="47"/>
        <v>2262.0967741935478</v>
      </c>
      <c r="V25" s="6">
        <f t="shared" si="47"/>
        <v>1414</v>
      </c>
      <c r="W25" s="7">
        <f t="shared" si="48"/>
        <v>848.09677419354784</v>
      </c>
      <c r="X25" s="7">
        <f t="shared" si="49"/>
        <v>13709.677419354835</v>
      </c>
      <c r="Y25" s="7">
        <f t="shared" si="49"/>
        <v>6600.6548387096773</v>
      </c>
      <c r="Z25" s="7">
        <f t="shared" si="50"/>
        <v>7109.0225806451581</v>
      </c>
      <c r="AA25" s="24">
        <f t="shared" si="51"/>
        <v>0.80112079330958097</v>
      </c>
      <c r="AB25" s="1"/>
    </row>
    <row r="26" spans="2:28" ht="16.5" customHeight="1" x14ac:dyDescent="0.25">
      <c r="B26" s="3">
        <v>16</v>
      </c>
      <c r="C26" s="3">
        <f>C27+151</f>
        <v>238516</v>
      </c>
      <c r="D26" s="3">
        <f>D27+66</f>
        <v>546480</v>
      </c>
      <c r="E26" s="3">
        <f>E27+41</f>
        <v>128283</v>
      </c>
      <c r="F26" s="8">
        <f t="shared" si="52"/>
        <v>913279</v>
      </c>
      <c r="G26" s="22">
        <f t="shared" si="38"/>
        <v>913101.625</v>
      </c>
      <c r="H26" s="7">
        <f t="shared" si="39"/>
        <v>913115.375</v>
      </c>
      <c r="I26" s="3">
        <f>I27+179</f>
        <v>642873</v>
      </c>
      <c r="J26" s="6">
        <f t="shared" si="54"/>
        <v>151</v>
      </c>
      <c r="K26" s="6">
        <f t="shared" si="54"/>
        <v>66</v>
      </c>
      <c r="L26" s="6">
        <f t="shared" si="54"/>
        <v>41</v>
      </c>
      <c r="M26" s="7">
        <f t="shared" si="41"/>
        <v>179</v>
      </c>
      <c r="N26" s="5">
        <f t="shared" si="24"/>
        <v>133.06451612903226</v>
      </c>
      <c r="O26" s="3">
        <f t="shared" si="42"/>
        <v>41</v>
      </c>
      <c r="P26" s="5">
        <f t="shared" si="43"/>
        <v>92.064516129032256</v>
      </c>
      <c r="Q26" s="5">
        <f t="shared" si="44"/>
        <v>13.75</v>
      </c>
      <c r="R26" s="7">
        <f t="shared" si="28"/>
        <v>806.45161290322585</v>
      </c>
      <c r="S26" s="6">
        <f>J26+K26+L26</f>
        <v>258</v>
      </c>
      <c r="T26" s="7">
        <f t="shared" si="46"/>
        <v>548.45161290322585</v>
      </c>
      <c r="U26" s="7">
        <f t="shared" si="47"/>
        <v>2129.0322580645156</v>
      </c>
      <c r="V26" s="6">
        <f t="shared" si="47"/>
        <v>1376</v>
      </c>
      <c r="W26" s="7">
        <f t="shared" si="48"/>
        <v>753.03225806451564</v>
      </c>
      <c r="X26" s="7">
        <f t="shared" si="49"/>
        <v>12903.22580645161</v>
      </c>
      <c r="Y26" s="7">
        <f t="shared" si="49"/>
        <v>6343.6548387096773</v>
      </c>
      <c r="Z26" s="7">
        <f t="shared" si="50"/>
        <v>6559.5709677419327</v>
      </c>
      <c r="AA26" s="24">
        <f t="shared" si="51"/>
        <v>0.82161855248573412</v>
      </c>
      <c r="AB26" s="1"/>
    </row>
    <row r="27" spans="2:28" ht="18" x14ac:dyDescent="0.25">
      <c r="B27" s="3">
        <v>15</v>
      </c>
      <c r="C27" s="3">
        <f>C28+145</f>
        <v>238365</v>
      </c>
      <c r="D27" s="3">
        <f>D28+67</f>
        <v>546414</v>
      </c>
      <c r="E27" s="3">
        <f>E28+40</f>
        <v>128242</v>
      </c>
      <c r="F27" s="8">
        <f t="shared" si="52"/>
        <v>913021</v>
      </c>
      <c r="G27" s="22">
        <f t="shared" si="38"/>
        <v>912847.75</v>
      </c>
      <c r="H27" s="7">
        <f t="shared" si="39"/>
        <v>912861.70833333337</v>
      </c>
      <c r="I27" s="3">
        <f>I28+185</f>
        <v>642694</v>
      </c>
      <c r="J27" s="6">
        <f t="shared" si="54"/>
        <v>145</v>
      </c>
      <c r="K27" s="6">
        <f t="shared" si="54"/>
        <v>67</v>
      </c>
      <c r="L27" s="6">
        <f t="shared" si="54"/>
        <v>40</v>
      </c>
      <c r="M27" s="7">
        <f t="shared" si="41"/>
        <v>185</v>
      </c>
      <c r="N27" s="5">
        <f t="shared" si="24"/>
        <v>133.06451612903226</v>
      </c>
      <c r="O27" s="3">
        <f t="shared" si="42"/>
        <v>40</v>
      </c>
      <c r="P27" s="5">
        <f t="shared" si="43"/>
        <v>93.064516129032256</v>
      </c>
      <c r="Q27" s="5">
        <f t="shared" si="44"/>
        <v>13.958333333372138</v>
      </c>
      <c r="R27" s="7">
        <f t="shared" si="28"/>
        <v>806.45161290322585</v>
      </c>
      <c r="S27" s="6">
        <f t="shared" si="45"/>
        <v>252</v>
      </c>
      <c r="T27" s="7">
        <f t="shared" si="46"/>
        <v>554.45161290322585</v>
      </c>
      <c r="U27" s="7">
        <f t="shared" si="47"/>
        <v>1995.9677419354832</v>
      </c>
      <c r="V27" s="6">
        <f t="shared" si="47"/>
        <v>1335</v>
      </c>
      <c r="W27" s="7">
        <f t="shared" si="48"/>
        <v>660.96774193548322</v>
      </c>
      <c r="X27" s="7">
        <f t="shared" si="49"/>
        <v>12096.774193548385</v>
      </c>
      <c r="Y27" s="7">
        <f t="shared" si="49"/>
        <v>6085.6548387096773</v>
      </c>
      <c r="Z27" s="7">
        <f t="shared" si="50"/>
        <v>6011.1193548387073</v>
      </c>
      <c r="AA27" s="24">
        <f t="shared" si="51"/>
        <v>0.80609979984542168</v>
      </c>
      <c r="AB27" s="1"/>
    </row>
    <row r="28" spans="2:28" ht="18" x14ac:dyDescent="0.25">
      <c r="B28" s="3">
        <v>14</v>
      </c>
      <c r="C28" s="3">
        <v>238220</v>
      </c>
      <c r="D28" s="3">
        <v>546347</v>
      </c>
      <c r="E28" s="3">
        <v>128202</v>
      </c>
      <c r="F28" s="8">
        <f t="shared" si="52"/>
        <v>912769</v>
      </c>
      <c r="G28" s="22">
        <f t="shared" si="38"/>
        <v>912513.9375</v>
      </c>
      <c r="H28" s="7">
        <f t="shared" si="39"/>
        <v>912541.4375</v>
      </c>
      <c r="I28" s="3">
        <v>642509</v>
      </c>
      <c r="J28" s="6">
        <f t="shared" si="54"/>
        <v>143</v>
      </c>
      <c r="K28" s="6">
        <f t="shared" si="54"/>
        <v>132</v>
      </c>
      <c r="L28" s="6">
        <f t="shared" si="54"/>
        <v>96</v>
      </c>
      <c r="M28" s="7">
        <f t="shared" si="41"/>
        <v>269</v>
      </c>
      <c r="N28" s="5">
        <f t="shared" si="24"/>
        <v>133.06451612903226</v>
      </c>
      <c r="O28" s="3">
        <f t="shared" si="42"/>
        <v>96</v>
      </c>
      <c r="P28" s="5">
        <f t="shared" si="43"/>
        <v>37.064516129032256</v>
      </c>
      <c r="Q28" s="5">
        <f t="shared" si="44"/>
        <v>27.5</v>
      </c>
      <c r="R28" s="7">
        <f t="shared" si="28"/>
        <v>806.45161290322585</v>
      </c>
      <c r="S28" s="6">
        <f t="shared" si="45"/>
        <v>371</v>
      </c>
      <c r="T28" s="7">
        <f t="shared" si="46"/>
        <v>435.45161290322585</v>
      </c>
      <c r="U28" s="7">
        <f t="shared" si="47"/>
        <v>1862.903225806451</v>
      </c>
      <c r="V28" s="6">
        <f t="shared" si="47"/>
        <v>1295</v>
      </c>
      <c r="W28" s="7">
        <f t="shared" si="48"/>
        <v>567.90322580645102</v>
      </c>
      <c r="X28" s="7">
        <f t="shared" si="49"/>
        <v>11290.322580645159</v>
      </c>
      <c r="Y28" s="7">
        <f t="shared" si="49"/>
        <v>5833.6548387096773</v>
      </c>
      <c r="Z28" s="7">
        <f t="shared" si="50"/>
        <v>5456.6677419354819</v>
      </c>
      <c r="AA28" s="24">
        <f t="shared" si="51"/>
        <v>0.809584517620341</v>
      </c>
      <c r="AB28" s="1"/>
    </row>
    <row r="29" spans="2:28" ht="18" x14ac:dyDescent="0.25">
      <c r="B29" s="3">
        <v>13</v>
      </c>
      <c r="C29" s="3">
        <f>C30+188</f>
        <v>238077</v>
      </c>
      <c r="D29" s="3">
        <f>D30+157</f>
        <v>546215</v>
      </c>
      <c r="E29" s="3">
        <f>E30+103</f>
        <v>128106</v>
      </c>
      <c r="F29" s="8">
        <f t="shared" si="52"/>
        <v>912398</v>
      </c>
      <c r="G29" s="22">
        <f t="shared" si="38"/>
        <v>912090</v>
      </c>
      <c r="H29" s="7">
        <f t="shared" si="39"/>
        <v>912122.70833333337</v>
      </c>
      <c r="I29" s="3">
        <f>I30+276</f>
        <v>642240</v>
      </c>
      <c r="J29" s="6">
        <f t="shared" si="54"/>
        <v>188</v>
      </c>
      <c r="K29" s="6">
        <f t="shared" si="54"/>
        <v>157</v>
      </c>
      <c r="L29" s="6">
        <f t="shared" si="54"/>
        <v>103</v>
      </c>
      <c r="M29" s="6">
        <f t="shared" si="41"/>
        <v>276</v>
      </c>
      <c r="N29" s="5">
        <f t="shared" si="24"/>
        <v>133.06451612903226</v>
      </c>
      <c r="O29" s="3">
        <f t="shared" si="42"/>
        <v>103</v>
      </c>
      <c r="P29" s="5">
        <f t="shared" si="43"/>
        <v>30.064516129032256</v>
      </c>
      <c r="Q29" s="5">
        <f t="shared" si="44"/>
        <v>32.708333333372138</v>
      </c>
      <c r="R29" s="7">
        <f t="shared" si="28"/>
        <v>806.45161290322585</v>
      </c>
      <c r="S29" s="6">
        <f t="shared" si="45"/>
        <v>448</v>
      </c>
      <c r="T29" s="7">
        <f t="shared" si="46"/>
        <v>358.45161290322585</v>
      </c>
      <c r="U29" s="7">
        <f t="shared" si="47"/>
        <v>1729.8387096774188</v>
      </c>
      <c r="V29" s="6">
        <f t="shared" si="47"/>
        <v>1199</v>
      </c>
      <c r="W29" s="7">
        <f t="shared" si="48"/>
        <v>530.83870967741882</v>
      </c>
      <c r="X29" s="7">
        <f t="shared" si="49"/>
        <v>10483.870967741934</v>
      </c>
      <c r="Y29" s="7">
        <f t="shared" si="49"/>
        <v>5462.6548387096773</v>
      </c>
      <c r="Z29" s="7">
        <f t="shared" si="50"/>
        <v>5021.2161290322565</v>
      </c>
      <c r="AA29" s="24">
        <f t="shared" si="51"/>
        <v>0.85139720643215955</v>
      </c>
      <c r="AB29" s="1"/>
    </row>
    <row r="30" spans="2:28" ht="18" x14ac:dyDescent="0.25">
      <c r="B30" s="3">
        <v>12</v>
      </c>
      <c r="C30" s="3">
        <f>C31+121</f>
        <v>237889</v>
      </c>
      <c r="D30" s="3">
        <f>D31+111</f>
        <v>546058</v>
      </c>
      <c r="E30" s="3">
        <f>E31+95</f>
        <v>128003</v>
      </c>
      <c r="F30" s="8">
        <f t="shared" si="52"/>
        <v>911950</v>
      </c>
      <c r="G30" s="22">
        <f t="shared" si="38"/>
        <v>911725.1875</v>
      </c>
      <c r="H30" s="7">
        <f t="shared" si="39"/>
        <v>911748.3125</v>
      </c>
      <c r="I30" s="3">
        <f>I31+233</f>
        <v>641964</v>
      </c>
      <c r="J30" s="6">
        <f t="shared" ref="J30:L32" si="58">C30-C31</f>
        <v>121</v>
      </c>
      <c r="K30" s="6">
        <f t="shared" si="58"/>
        <v>111</v>
      </c>
      <c r="L30" s="6">
        <f t="shared" si="58"/>
        <v>95</v>
      </c>
      <c r="M30" s="6">
        <f t="shared" si="41"/>
        <v>233</v>
      </c>
      <c r="N30" s="5">
        <f t="shared" si="24"/>
        <v>133.06451612903226</v>
      </c>
      <c r="O30" s="3">
        <f t="shared" si="42"/>
        <v>95</v>
      </c>
      <c r="P30" s="5">
        <f t="shared" si="43"/>
        <v>38.064516129032256</v>
      </c>
      <c r="Q30" s="5">
        <f t="shared" si="44"/>
        <v>23.125</v>
      </c>
      <c r="R30" s="7">
        <f t="shared" si="28"/>
        <v>806.45161290322585</v>
      </c>
      <c r="S30" s="6">
        <f t="shared" si="45"/>
        <v>327</v>
      </c>
      <c r="T30" s="7">
        <f t="shared" si="46"/>
        <v>479.45161290322585</v>
      </c>
      <c r="U30" s="7">
        <f t="shared" si="47"/>
        <v>1596.7741935483866</v>
      </c>
      <c r="V30" s="6">
        <f t="shared" si="47"/>
        <v>1096</v>
      </c>
      <c r="W30" s="7">
        <f t="shared" si="48"/>
        <v>500.77419354838662</v>
      </c>
      <c r="X30" s="7">
        <f t="shared" si="49"/>
        <v>9677.4193548387084</v>
      </c>
      <c r="Y30" s="7">
        <f t="shared" si="49"/>
        <v>5014.6548387096773</v>
      </c>
      <c r="Z30" s="7">
        <f t="shared" si="50"/>
        <v>4662.7645161290311</v>
      </c>
      <c r="AA30" s="24">
        <f t="shared" si="51"/>
        <v>0.81440604401644234</v>
      </c>
      <c r="AB30" s="1"/>
    </row>
    <row r="31" spans="2:28" ht="18" x14ac:dyDescent="0.25">
      <c r="B31" s="3">
        <v>11</v>
      </c>
      <c r="C31" s="3">
        <f>C32+133</f>
        <v>237768</v>
      </c>
      <c r="D31" s="3">
        <f>D32+129</f>
        <v>545947</v>
      </c>
      <c r="E31" s="3">
        <f>E32+89</f>
        <v>127908</v>
      </c>
      <c r="F31" s="8">
        <f>C31+D31+E31</f>
        <v>911623</v>
      </c>
      <c r="G31" s="22">
        <f t="shared" si="38"/>
        <v>911381.6875</v>
      </c>
      <c r="H31" s="7">
        <f t="shared" si="39"/>
        <v>911408.5625</v>
      </c>
      <c r="I31" s="3">
        <f>I32+245</f>
        <v>641731</v>
      </c>
      <c r="J31" s="6">
        <f t="shared" si="58"/>
        <v>133</v>
      </c>
      <c r="K31" s="6">
        <f t="shared" si="58"/>
        <v>129</v>
      </c>
      <c r="L31" s="6">
        <f t="shared" si="58"/>
        <v>89</v>
      </c>
      <c r="M31" s="6">
        <f t="shared" si="41"/>
        <v>245</v>
      </c>
      <c r="N31" s="5">
        <f>N32</f>
        <v>133.06451612903226</v>
      </c>
      <c r="O31" s="3">
        <f t="shared" si="42"/>
        <v>89</v>
      </c>
      <c r="P31" s="5">
        <f t="shared" si="43"/>
        <v>44.064516129032256</v>
      </c>
      <c r="Q31" s="5">
        <f t="shared" si="44"/>
        <v>26.875</v>
      </c>
      <c r="R31" s="7">
        <f t="shared" si="28"/>
        <v>806.45161290322585</v>
      </c>
      <c r="S31" s="6">
        <f t="shared" si="45"/>
        <v>351</v>
      </c>
      <c r="T31" s="7">
        <f t="shared" si="46"/>
        <v>455.45161290322585</v>
      </c>
      <c r="U31" s="7">
        <f t="shared" si="47"/>
        <v>1463.7096774193544</v>
      </c>
      <c r="V31" s="6">
        <f t="shared" si="47"/>
        <v>1001</v>
      </c>
      <c r="W31" s="7">
        <f t="shared" si="48"/>
        <v>462.70967741935442</v>
      </c>
      <c r="X31" s="7">
        <f t="shared" si="49"/>
        <v>8870.967741935483</v>
      </c>
      <c r="Y31" s="7">
        <f t="shared" si="49"/>
        <v>4687.6548387096773</v>
      </c>
      <c r="Z31" s="7">
        <f t="shared" si="50"/>
        <v>4183.3129032258057</v>
      </c>
      <c r="AA31" s="24">
        <f t="shared" si="51"/>
        <v>0.81999945955037556</v>
      </c>
      <c r="AB31" s="1"/>
    </row>
    <row r="32" spans="2:28" ht="18" x14ac:dyDescent="0.25">
      <c r="B32" s="3">
        <v>10</v>
      </c>
      <c r="C32" s="3">
        <f>C33+198</f>
        <v>237635</v>
      </c>
      <c r="D32" s="3">
        <f>D33+143</f>
        <v>545818</v>
      </c>
      <c r="E32" s="3">
        <f>E33+99</f>
        <v>127819</v>
      </c>
      <c r="F32" s="8">
        <f>C32+D32+E32</f>
        <v>911272</v>
      </c>
      <c r="G32" s="22">
        <f t="shared" si="38"/>
        <v>910969.5</v>
      </c>
      <c r="H32" s="7">
        <f t="shared" si="39"/>
        <v>910999.29166666663</v>
      </c>
      <c r="I32" s="3">
        <f>I33+271</f>
        <v>641486</v>
      </c>
      <c r="J32" s="6">
        <f t="shared" si="58"/>
        <v>198</v>
      </c>
      <c r="K32" s="6">
        <f t="shared" si="58"/>
        <v>143</v>
      </c>
      <c r="L32" s="6">
        <f t="shared" si="58"/>
        <v>99</v>
      </c>
      <c r="M32" s="6">
        <f t="shared" si="41"/>
        <v>271</v>
      </c>
      <c r="N32" s="5">
        <f t="shared" si="24"/>
        <v>133.06451612903226</v>
      </c>
      <c r="O32" s="3">
        <f t="shared" si="42"/>
        <v>99</v>
      </c>
      <c r="P32" s="5">
        <f t="shared" si="43"/>
        <v>34.064516129032256</v>
      </c>
      <c r="Q32" s="5">
        <f t="shared" si="44"/>
        <v>29.791666666627862</v>
      </c>
      <c r="R32" s="7">
        <f t="shared" si="28"/>
        <v>806.45161290322585</v>
      </c>
      <c r="S32" s="6">
        <f t="shared" si="45"/>
        <v>440</v>
      </c>
      <c r="T32" s="7">
        <f t="shared" si="46"/>
        <v>366.45161290322585</v>
      </c>
      <c r="U32" s="7">
        <f t="shared" si="47"/>
        <v>1330.6451612903222</v>
      </c>
      <c r="V32" s="6">
        <f t="shared" si="47"/>
        <v>912</v>
      </c>
      <c r="W32" s="7">
        <f t="shared" si="48"/>
        <v>418.64516129032222</v>
      </c>
      <c r="X32" s="7">
        <f t="shared" si="49"/>
        <v>8064.5161290322576</v>
      </c>
      <c r="Y32" s="7">
        <f t="shared" si="49"/>
        <v>4336.6548387096773</v>
      </c>
      <c r="Z32" s="7">
        <f t="shared" si="50"/>
        <v>3727.8612903225803</v>
      </c>
      <c r="AA32" s="24">
        <f t="shared" si="51"/>
        <v>0.85145892800993594</v>
      </c>
      <c r="AB32" s="1"/>
    </row>
    <row r="33" spans="2:28" ht="18" x14ac:dyDescent="0.25">
      <c r="B33" s="3">
        <v>9</v>
      </c>
      <c r="C33" s="3">
        <f>C34+199</f>
        <v>237437</v>
      </c>
      <c r="D33" s="3">
        <f>D34+154</f>
        <v>545675</v>
      </c>
      <c r="E33" s="3">
        <f>E34+96</f>
        <v>127720</v>
      </c>
      <c r="F33" s="8">
        <f t="shared" si="52"/>
        <v>910832</v>
      </c>
      <c r="G33" s="22">
        <f t="shared" si="38"/>
        <v>910523.3125</v>
      </c>
      <c r="H33" s="7">
        <f t="shared" si="39"/>
        <v>910555.39583333337</v>
      </c>
      <c r="I33" s="3">
        <f>I34+265</f>
        <v>641215</v>
      </c>
      <c r="J33" s="6">
        <f t="shared" si="54"/>
        <v>199</v>
      </c>
      <c r="K33" s="6">
        <f t="shared" si="54"/>
        <v>154</v>
      </c>
      <c r="L33" s="6">
        <f t="shared" si="54"/>
        <v>96</v>
      </c>
      <c r="M33" s="6">
        <f t="shared" si="41"/>
        <v>265</v>
      </c>
      <c r="N33" s="5">
        <f t="shared" si="24"/>
        <v>133.06451612903226</v>
      </c>
      <c r="O33" s="3">
        <f t="shared" si="42"/>
        <v>96</v>
      </c>
      <c r="P33" s="5">
        <f t="shared" si="43"/>
        <v>37.064516129032256</v>
      </c>
      <c r="Q33" s="5">
        <f t="shared" si="44"/>
        <v>32.083333333372138</v>
      </c>
      <c r="R33" s="7">
        <f t="shared" si="28"/>
        <v>806.45161290322585</v>
      </c>
      <c r="S33" s="6">
        <f t="shared" si="45"/>
        <v>449</v>
      </c>
      <c r="T33" s="7">
        <f t="shared" si="46"/>
        <v>357.45161290322585</v>
      </c>
      <c r="U33" s="7">
        <f t="shared" si="47"/>
        <v>1197.58064516129</v>
      </c>
      <c r="V33" s="6">
        <f t="shared" si="47"/>
        <v>813</v>
      </c>
      <c r="W33" s="7">
        <f t="shared" si="48"/>
        <v>384.58064516129002</v>
      </c>
      <c r="X33" s="7">
        <f t="shared" si="49"/>
        <v>7258.0645161290322</v>
      </c>
      <c r="Y33" s="7">
        <f t="shared" si="49"/>
        <v>3896.6548387096773</v>
      </c>
      <c r="Z33" s="7">
        <f t="shared" si="50"/>
        <v>3361.4096774193549</v>
      </c>
      <c r="AA33" s="24">
        <f t="shared" si="51"/>
        <v>0.86119369938554036</v>
      </c>
      <c r="AB33" s="1"/>
    </row>
    <row r="34" spans="2:28" ht="18" x14ac:dyDescent="0.25">
      <c r="B34" s="3">
        <v>8</v>
      </c>
      <c r="C34" s="3">
        <f>C35+194</f>
        <v>237238</v>
      </c>
      <c r="D34" s="3">
        <f>D35+139</f>
        <v>545521</v>
      </c>
      <c r="E34" s="3">
        <f>E35+93</f>
        <v>127624</v>
      </c>
      <c r="F34" s="8">
        <f t="shared" si="52"/>
        <v>910383</v>
      </c>
      <c r="G34" s="22">
        <f t="shared" si="38"/>
        <v>910090.125</v>
      </c>
      <c r="H34" s="7">
        <f t="shared" si="39"/>
        <v>910119.08333333337</v>
      </c>
      <c r="I34" s="3">
        <f>I35+267</f>
        <v>640950</v>
      </c>
      <c r="J34" s="6">
        <f t="shared" si="54"/>
        <v>194</v>
      </c>
      <c r="K34" s="6">
        <f t="shared" si="54"/>
        <v>139</v>
      </c>
      <c r="L34" s="6">
        <f t="shared" si="54"/>
        <v>93</v>
      </c>
      <c r="M34" s="6">
        <f t="shared" si="41"/>
        <v>267</v>
      </c>
      <c r="N34" s="5">
        <f t="shared" si="24"/>
        <v>133.06451612903226</v>
      </c>
      <c r="O34" s="3">
        <f t="shared" si="42"/>
        <v>93</v>
      </c>
      <c r="P34" s="5">
        <f t="shared" si="43"/>
        <v>40.064516129032256</v>
      </c>
      <c r="Q34" s="5">
        <f t="shared" si="44"/>
        <v>28.958333333372138</v>
      </c>
      <c r="R34" s="7">
        <f t="shared" si="28"/>
        <v>806.45161290322585</v>
      </c>
      <c r="S34" s="6">
        <f t="shared" si="45"/>
        <v>426</v>
      </c>
      <c r="T34" s="7">
        <f t="shared" si="46"/>
        <v>380.45161290322585</v>
      </c>
      <c r="U34" s="7">
        <f t="shared" si="47"/>
        <v>1064.5161290322578</v>
      </c>
      <c r="V34" s="6">
        <f t="shared" si="47"/>
        <v>717</v>
      </c>
      <c r="W34" s="7">
        <f t="shared" si="48"/>
        <v>347.51612903225782</v>
      </c>
      <c r="X34" s="7">
        <f t="shared" si="49"/>
        <v>6451.6129032258068</v>
      </c>
      <c r="Y34" s="7">
        <f t="shared" si="49"/>
        <v>3447.6548387096773</v>
      </c>
      <c r="Z34" s="7">
        <f t="shared" si="50"/>
        <v>3003.9580645161295</v>
      </c>
      <c r="AA34" s="24">
        <f t="shared" si="51"/>
        <v>0.84732716563241239</v>
      </c>
      <c r="AB34" s="1"/>
    </row>
    <row r="35" spans="2:28" ht="18" x14ac:dyDescent="0.25">
      <c r="B35" s="3">
        <v>7</v>
      </c>
      <c r="C35" s="3">
        <f>C36+189</f>
        <v>237044</v>
      </c>
      <c r="D35" s="3">
        <f>D36+141</f>
        <v>545382</v>
      </c>
      <c r="E35" s="3">
        <f>E36+91</f>
        <v>127531</v>
      </c>
      <c r="F35" s="9">
        <f>C35+D35+E35</f>
        <v>909957</v>
      </c>
      <c r="G35" s="22">
        <f t="shared" si="38"/>
        <v>909667.5625</v>
      </c>
      <c r="H35" s="7">
        <f t="shared" si="39"/>
        <v>909696.9375</v>
      </c>
      <c r="I35" s="3">
        <f>I36+263</f>
        <v>640683</v>
      </c>
      <c r="J35" s="6">
        <f t="shared" si="54"/>
        <v>189</v>
      </c>
      <c r="K35" s="6">
        <f t="shared" si="54"/>
        <v>141</v>
      </c>
      <c r="L35" s="6">
        <f t="shared" si="54"/>
        <v>91</v>
      </c>
      <c r="M35" s="6">
        <f t="shared" si="41"/>
        <v>263</v>
      </c>
      <c r="N35" s="5">
        <f t="shared" si="24"/>
        <v>133.06451612903226</v>
      </c>
      <c r="O35" s="3">
        <f t="shared" si="42"/>
        <v>91</v>
      </c>
      <c r="P35" s="5">
        <f t="shared" si="43"/>
        <v>42.064516129032256</v>
      </c>
      <c r="Q35" s="5">
        <f t="shared" si="44"/>
        <v>29.375</v>
      </c>
      <c r="R35" s="7">
        <f t="shared" si="28"/>
        <v>806.45161290322585</v>
      </c>
      <c r="S35" s="6">
        <f t="shared" si="45"/>
        <v>421</v>
      </c>
      <c r="T35" s="7">
        <f t="shared" si="46"/>
        <v>385.45161290322585</v>
      </c>
      <c r="U35" s="7">
        <f t="shared" si="47"/>
        <v>931.45161290322562</v>
      </c>
      <c r="V35" s="6">
        <f t="shared" si="47"/>
        <v>624</v>
      </c>
      <c r="W35" s="7">
        <f t="shared" si="48"/>
        <v>307.45161290322562</v>
      </c>
      <c r="X35" s="7">
        <f t="shared" si="49"/>
        <v>5645.1612903225814</v>
      </c>
      <c r="Y35" s="7">
        <f t="shared" si="49"/>
        <v>3021.6548387096773</v>
      </c>
      <c r="Z35" s="7">
        <f t="shared" si="50"/>
        <v>2623.5064516129041</v>
      </c>
      <c r="AA35" s="24">
        <f t="shared" si="51"/>
        <v>0.84811145975735192</v>
      </c>
      <c r="AB35" s="1"/>
    </row>
    <row r="36" spans="2:28" ht="18" x14ac:dyDescent="0.25">
      <c r="B36" s="3">
        <v>6</v>
      </c>
      <c r="C36" s="3">
        <f>C37+141</f>
        <v>236855</v>
      </c>
      <c r="D36" s="3">
        <f>D37+115</f>
        <v>545241</v>
      </c>
      <c r="E36" s="3">
        <f>E37+87</f>
        <v>127440</v>
      </c>
      <c r="F36" s="8">
        <f t="shared" si="52"/>
        <v>909536</v>
      </c>
      <c r="G36" s="22">
        <f t="shared" si="38"/>
        <v>909300.1875</v>
      </c>
      <c r="H36" s="7">
        <f t="shared" si="39"/>
        <v>909324.14583333337</v>
      </c>
      <c r="I36" s="3">
        <f>I37+235</f>
        <v>640420</v>
      </c>
      <c r="J36" s="6">
        <f t="shared" si="54"/>
        <v>141</v>
      </c>
      <c r="K36" s="6">
        <f t="shared" si="54"/>
        <v>115</v>
      </c>
      <c r="L36" s="6">
        <f t="shared" si="54"/>
        <v>87</v>
      </c>
      <c r="M36" s="6">
        <f t="shared" si="41"/>
        <v>235</v>
      </c>
      <c r="N36" s="5">
        <f t="shared" si="24"/>
        <v>133.06451612903226</v>
      </c>
      <c r="O36" s="3">
        <f t="shared" si="42"/>
        <v>87</v>
      </c>
      <c r="P36" s="5">
        <f t="shared" si="43"/>
        <v>46.064516129032256</v>
      </c>
      <c r="Q36" s="5">
        <f t="shared" si="44"/>
        <v>23.958333333372138</v>
      </c>
      <c r="R36" s="7">
        <f t="shared" si="28"/>
        <v>806.45161290322585</v>
      </c>
      <c r="S36" s="6">
        <f t="shared" si="45"/>
        <v>343</v>
      </c>
      <c r="T36" s="7">
        <f t="shared" si="46"/>
        <v>463.45161290322585</v>
      </c>
      <c r="U36" s="7">
        <f t="shared" si="47"/>
        <v>798.38709677419342</v>
      </c>
      <c r="V36" s="6">
        <f t="shared" si="47"/>
        <v>533</v>
      </c>
      <c r="W36" s="7">
        <f t="shared" si="48"/>
        <v>265.38709677419342</v>
      </c>
      <c r="X36" s="7">
        <f t="shared" si="49"/>
        <v>4838.7096774193551</v>
      </c>
      <c r="Y36" s="7">
        <f t="shared" si="49"/>
        <v>2600.6548387096773</v>
      </c>
      <c r="Z36" s="7">
        <f t="shared" si="50"/>
        <v>2238.0548387096778</v>
      </c>
      <c r="AA36" s="24">
        <f t="shared" si="51"/>
        <v>0.8249531393520888</v>
      </c>
      <c r="AB36" s="1"/>
    </row>
    <row r="37" spans="2:28" ht="18" x14ac:dyDescent="0.25">
      <c r="B37" s="3">
        <v>5</v>
      </c>
      <c r="C37" s="3">
        <f>C38+131</f>
        <v>236714</v>
      </c>
      <c r="D37" s="3">
        <f>D38+115</f>
        <v>545126</v>
      </c>
      <c r="E37" s="3">
        <f>E38+86</f>
        <v>127353</v>
      </c>
      <c r="F37" s="8">
        <f t="shared" si="52"/>
        <v>909193</v>
      </c>
      <c r="G37" s="22">
        <f t="shared" si="38"/>
        <v>908964.75</v>
      </c>
      <c r="H37" s="7">
        <f t="shared" si="39"/>
        <v>908988.70833333337</v>
      </c>
      <c r="I37" s="3">
        <f>I38+254</f>
        <v>640185</v>
      </c>
      <c r="J37" s="6">
        <f t="shared" si="54"/>
        <v>131</v>
      </c>
      <c r="K37" s="6">
        <f t="shared" si="54"/>
        <v>115</v>
      </c>
      <c r="L37" s="6">
        <f t="shared" si="54"/>
        <v>86</v>
      </c>
      <c r="M37" s="6">
        <f t="shared" si="41"/>
        <v>254</v>
      </c>
      <c r="N37" s="5">
        <f t="shared" si="24"/>
        <v>133.06451612903226</v>
      </c>
      <c r="O37" s="3">
        <f t="shared" si="42"/>
        <v>86</v>
      </c>
      <c r="P37" s="5">
        <f t="shared" si="43"/>
        <v>47.064516129032256</v>
      </c>
      <c r="Q37" s="5">
        <f t="shared" si="44"/>
        <v>23.958333333372138</v>
      </c>
      <c r="R37" s="7">
        <f t="shared" si="28"/>
        <v>806.45161290322585</v>
      </c>
      <c r="S37" s="6">
        <f t="shared" si="45"/>
        <v>332</v>
      </c>
      <c r="T37" s="7">
        <f t="shared" si="46"/>
        <v>474.45161290322585</v>
      </c>
      <c r="U37" s="7">
        <f t="shared" si="47"/>
        <v>665.32258064516122</v>
      </c>
      <c r="V37" s="6">
        <f t="shared" si="47"/>
        <v>446</v>
      </c>
      <c r="W37" s="7">
        <f t="shared" si="48"/>
        <v>219.32258064516122</v>
      </c>
      <c r="X37" s="7">
        <f t="shared" si="49"/>
        <v>4032.2580645161293</v>
      </c>
      <c r="Y37" s="7">
        <f t="shared" si="49"/>
        <v>2257.6548387096773</v>
      </c>
      <c r="Z37" s="7">
        <f t="shared" si="50"/>
        <v>1774.603225806452</v>
      </c>
      <c r="AA37" s="24">
        <f t="shared" si="51"/>
        <v>0.79422200939411169</v>
      </c>
      <c r="AB37" s="1"/>
    </row>
    <row r="38" spans="2:28" ht="18" x14ac:dyDescent="0.25">
      <c r="B38" s="3">
        <v>4</v>
      </c>
      <c r="C38" s="3">
        <f>C39+201</f>
        <v>236583</v>
      </c>
      <c r="D38" s="3">
        <f>D39+137</f>
        <v>545011</v>
      </c>
      <c r="E38" s="3">
        <f>E39+99</f>
        <v>127267</v>
      </c>
      <c r="F38" s="8">
        <f t="shared" si="52"/>
        <v>908861</v>
      </c>
      <c r="G38" s="22">
        <f t="shared" si="38"/>
        <v>908560.5625</v>
      </c>
      <c r="H38" s="7">
        <f t="shared" si="39"/>
        <v>908589.10416666663</v>
      </c>
      <c r="I38" s="3">
        <f>I39+267</f>
        <v>639931</v>
      </c>
      <c r="J38" s="6">
        <f t="shared" si="54"/>
        <v>201</v>
      </c>
      <c r="K38" s="6">
        <f t="shared" si="54"/>
        <v>137</v>
      </c>
      <c r="L38" s="6">
        <f t="shared" si="54"/>
        <v>99</v>
      </c>
      <c r="M38" s="6">
        <f t="shared" si="41"/>
        <v>267</v>
      </c>
      <c r="N38" s="5">
        <f t="shared" si="24"/>
        <v>133.06451612903226</v>
      </c>
      <c r="O38" s="3">
        <f t="shared" si="42"/>
        <v>99</v>
      </c>
      <c r="P38" s="5">
        <f t="shared" si="43"/>
        <v>34.064516129032256</v>
      </c>
      <c r="Q38" s="5">
        <f t="shared" si="44"/>
        <v>28.541666666627862</v>
      </c>
      <c r="R38" s="7">
        <f t="shared" si="28"/>
        <v>806.45161290322585</v>
      </c>
      <c r="S38" s="6">
        <f t="shared" si="45"/>
        <v>437</v>
      </c>
      <c r="T38" s="7">
        <f t="shared" si="46"/>
        <v>369.45161290322585</v>
      </c>
      <c r="U38" s="7">
        <f t="shared" si="47"/>
        <v>532.25806451612902</v>
      </c>
      <c r="V38" s="6">
        <f t="shared" si="47"/>
        <v>360</v>
      </c>
      <c r="W38" s="7">
        <f t="shared" si="48"/>
        <v>172.25806451612902</v>
      </c>
      <c r="X38" s="7">
        <f t="shared" si="49"/>
        <v>3225.8064516129034</v>
      </c>
      <c r="Y38" s="7">
        <f t="shared" si="49"/>
        <v>1925.6548387096773</v>
      </c>
      <c r="Z38" s="7">
        <f t="shared" si="50"/>
        <v>1300.1516129032261</v>
      </c>
      <c r="AA38" s="24">
        <f t="shared" si="51"/>
        <v>0.85333009899625234</v>
      </c>
      <c r="AB38" s="1"/>
    </row>
    <row r="39" spans="2:28" ht="18" x14ac:dyDescent="0.25">
      <c r="B39" s="3">
        <v>3</v>
      </c>
      <c r="C39" s="3">
        <f>C40+199</f>
        <v>236382</v>
      </c>
      <c r="D39" s="3">
        <f>D40+138</f>
        <v>544874</v>
      </c>
      <c r="E39" s="3">
        <f>E40+101</f>
        <v>127168</v>
      </c>
      <c r="F39" s="8">
        <f t="shared" si="52"/>
        <v>908424</v>
      </c>
      <c r="G39" s="22">
        <f t="shared" si="38"/>
        <v>908122.875</v>
      </c>
      <c r="H39" s="7">
        <f t="shared" si="39"/>
        <v>908151.625</v>
      </c>
      <c r="I39" s="3">
        <f>I40+277</f>
        <v>639664</v>
      </c>
      <c r="J39" s="6">
        <f t="shared" si="54"/>
        <v>199</v>
      </c>
      <c r="K39" s="6">
        <f t="shared" si="54"/>
        <v>138</v>
      </c>
      <c r="L39" s="6">
        <f t="shared" si="54"/>
        <v>101</v>
      </c>
      <c r="M39" s="6">
        <f t="shared" si="41"/>
        <v>277</v>
      </c>
      <c r="N39" s="5">
        <f t="shared" si="24"/>
        <v>133.06451612903226</v>
      </c>
      <c r="O39" s="3">
        <f t="shared" si="42"/>
        <v>101</v>
      </c>
      <c r="P39" s="5">
        <f t="shared" si="43"/>
        <v>32.064516129032256</v>
      </c>
      <c r="Q39" s="5">
        <f t="shared" si="44"/>
        <v>28.75</v>
      </c>
      <c r="R39" s="7">
        <f t="shared" si="28"/>
        <v>806.45161290322585</v>
      </c>
      <c r="S39" s="6">
        <f t="shared" si="45"/>
        <v>438</v>
      </c>
      <c r="T39" s="7">
        <f t="shared" si="46"/>
        <v>368.45161290322585</v>
      </c>
      <c r="U39" s="7">
        <f t="shared" si="47"/>
        <v>399.19354838709677</v>
      </c>
      <c r="V39" s="6">
        <f t="shared" si="47"/>
        <v>261</v>
      </c>
      <c r="W39" s="7">
        <f t="shared" si="48"/>
        <v>138.19354838709677</v>
      </c>
      <c r="X39" s="7">
        <f t="shared" si="49"/>
        <v>2419.3548387096776</v>
      </c>
      <c r="Y39" s="7">
        <f t="shared" si="49"/>
        <v>1488.6548387096773</v>
      </c>
      <c r="Z39" s="7">
        <f t="shared" si="50"/>
        <v>930.70000000000027</v>
      </c>
      <c r="AA39" s="24">
        <f t="shared" si="51"/>
        <v>0.84516778600010134</v>
      </c>
      <c r="AB39" s="1"/>
    </row>
    <row r="40" spans="2:28" ht="18" x14ac:dyDescent="0.25">
      <c r="B40" s="3">
        <v>2</v>
      </c>
      <c r="C40" s="3">
        <v>236183</v>
      </c>
      <c r="D40" s="3">
        <v>544736</v>
      </c>
      <c r="E40" s="3">
        <v>127067</v>
      </c>
      <c r="F40" s="8">
        <f t="shared" si="52"/>
        <v>907986</v>
      </c>
      <c r="G40" s="22">
        <f t="shared" si="38"/>
        <v>907621.625</v>
      </c>
      <c r="H40" s="7">
        <f t="shared" si="39"/>
        <v>907684.95833333337</v>
      </c>
      <c r="I40" s="3">
        <v>639387</v>
      </c>
      <c r="J40" s="6">
        <f t="shared" si="54"/>
        <v>141</v>
      </c>
      <c r="K40" s="6">
        <f t="shared" si="54"/>
        <v>304</v>
      </c>
      <c r="L40" s="6">
        <f t="shared" si="54"/>
        <v>85</v>
      </c>
      <c r="M40" s="6">
        <f t="shared" si="41"/>
        <v>375</v>
      </c>
      <c r="N40" s="5">
        <f t="shared" si="24"/>
        <v>133.06451612903226</v>
      </c>
      <c r="O40" s="3">
        <f t="shared" si="42"/>
        <v>85</v>
      </c>
      <c r="P40" s="5">
        <f t="shared" si="43"/>
        <v>48.064516129032256</v>
      </c>
      <c r="Q40" s="5">
        <f t="shared" si="44"/>
        <v>63.333333333372138</v>
      </c>
      <c r="R40" s="7">
        <f>R41</f>
        <v>806.45161290322585</v>
      </c>
      <c r="S40" s="6">
        <f>J40+K40+L40</f>
        <v>530</v>
      </c>
      <c r="T40" s="7">
        <f t="shared" si="46"/>
        <v>276.45161290322585</v>
      </c>
      <c r="U40" s="7">
        <f t="shared" si="47"/>
        <v>266.12903225806451</v>
      </c>
      <c r="V40" s="6">
        <f t="shared" si="47"/>
        <v>160</v>
      </c>
      <c r="W40" s="7">
        <f t="shared" si="48"/>
        <v>106.12903225806451</v>
      </c>
      <c r="X40" s="7">
        <f t="shared" si="49"/>
        <v>1612.9032258064517</v>
      </c>
      <c r="Y40" s="7">
        <f t="shared" si="49"/>
        <v>1050.6548387096773</v>
      </c>
      <c r="Z40" s="7">
        <f t="shared" si="50"/>
        <v>562.24838709677442</v>
      </c>
      <c r="AA40" s="24">
        <f t="shared" si="51"/>
        <v>0.81632707528162429</v>
      </c>
      <c r="AB40" s="1"/>
    </row>
    <row r="41" spans="2:28" ht="18" x14ac:dyDescent="0.25">
      <c r="B41" s="3">
        <v>1</v>
      </c>
      <c r="C41" s="5">
        <f>C42+138</f>
        <v>236042</v>
      </c>
      <c r="D41" s="5">
        <f>D42+293</f>
        <v>544432</v>
      </c>
      <c r="E41" s="5">
        <f>E42+75</f>
        <v>126982</v>
      </c>
      <c r="F41" s="8">
        <f t="shared" si="52"/>
        <v>907456</v>
      </c>
      <c r="G41" s="22">
        <f t="shared" si="38"/>
        <v>907112.70463709673</v>
      </c>
      <c r="H41" s="7">
        <f t="shared" si="39"/>
        <v>907173.74630376336</v>
      </c>
      <c r="I41" s="5">
        <f>I42+355</f>
        <v>639012</v>
      </c>
      <c r="J41" s="6">
        <f t="shared" si="54"/>
        <v>138</v>
      </c>
      <c r="K41" s="6">
        <f t="shared" si="54"/>
        <v>293</v>
      </c>
      <c r="L41" s="6">
        <f t="shared" si="54"/>
        <v>75</v>
      </c>
      <c r="M41" s="6">
        <f t="shared" si="41"/>
        <v>355</v>
      </c>
      <c r="N41" s="43">
        <f>O6/31</f>
        <v>133.06451612903226</v>
      </c>
      <c r="O41" s="3">
        <f t="shared" si="42"/>
        <v>75</v>
      </c>
      <c r="P41" s="5">
        <f t="shared" si="43"/>
        <v>58.064516129032256</v>
      </c>
      <c r="Q41" s="5">
        <f t="shared" si="44"/>
        <v>61.041666666627862</v>
      </c>
      <c r="R41" s="45">
        <f>S6/31</f>
        <v>806.45161290322585</v>
      </c>
      <c r="S41" s="7">
        <f>J41+K41+L41+V6</f>
        <v>520.65483870967739</v>
      </c>
      <c r="T41" s="7">
        <f t="shared" si="46"/>
        <v>285.79677419354846</v>
      </c>
      <c r="U41" s="7">
        <f>N41</f>
        <v>133.06451612903226</v>
      </c>
      <c r="V41" s="6">
        <f>O41</f>
        <v>75</v>
      </c>
      <c r="W41" s="7">
        <f t="shared" si="48"/>
        <v>58.064516129032256</v>
      </c>
      <c r="X41" s="7">
        <f>R41</f>
        <v>806.45161290322585</v>
      </c>
      <c r="Y41" s="7">
        <f>S41</f>
        <v>520.65483870967739</v>
      </c>
      <c r="Z41" s="7">
        <f t="shared" si="50"/>
        <v>285.79677419354846</v>
      </c>
      <c r="AA41" s="24">
        <f t="shared" si="51"/>
        <v>0.82622138624220332</v>
      </c>
      <c r="AB41" s="1"/>
    </row>
    <row r="42" spans="2:28" ht="54" x14ac:dyDescent="0.25">
      <c r="B42" s="33" t="s">
        <v>13</v>
      </c>
      <c r="C42" s="3">
        <v>235904</v>
      </c>
      <c r="D42" s="3">
        <v>544139</v>
      </c>
      <c r="E42" s="3">
        <v>126907</v>
      </c>
      <c r="F42" s="8">
        <f t="shared" si="52"/>
        <v>906950</v>
      </c>
      <c r="G42" s="53">
        <v>906522</v>
      </c>
      <c r="H42" s="9">
        <v>906613</v>
      </c>
      <c r="I42" s="3">
        <v>638657</v>
      </c>
      <c r="J42" s="10"/>
      <c r="K42" s="10"/>
      <c r="L42" s="10"/>
      <c r="M42" s="44">
        <f>SUM(M11:M41)</f>
        <v>7814</v>
      </c>
      <c r="N42" s="10" t="s">
        <v>39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8" ht="18" x14ac:dyDescent="0.25">
      <c r="Z46" s="10"/>
    </row>
    <row r="47" spans="2:28" ht="18" x14ac:dyDescent="0.25">
      <c r="Z47" s="10" t="s">
        <v>38</v>
      </c>
    </row>
    <row r="48" spans="2:28" ht="18" x14ac:dyDescent="0.25">
      <c r="Z48" s="10" t="s">
        <v>44</v>
      </c>
      <c r="AA48" s="10"/>
    </row>
    <row r="49" spans="26:27" ht="18" x14ac:dyDescent="0.25">
      <c r="Z49" s="10" t="s">
        <v>45</v>
      </c>
      <c r="AA49" s="10"/>
    </row>
    <row r="50" spans="26:27" ht="18" x14ac:dyDescent="0.25">
      <c r="Z50" s="10" t="s">
        <v>12</v>
      </c>
      <c r="AA50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B1:AB52"/>
  <sheetViews>
    <sheetView topLeftCell="G1" zoomScale="70" zoomScaleNormal="70" zoomScaleSheetLayoutView="85" workbookViewId="0">
      <pane ySplit="8" topLeftCell="A9" activePane="bottomLeft" state="frozen"/>
      <selection pane="bottomLeft" activeCell="U11" sqref="U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4.4257812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5"/>
    </row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'Cocina C'!N4</f>
        <v>45413</v>
      </c>
    </row>
    <row r="5" spans="2:28" ht="18.75" x14ac:dyDescent="0.3">
      <c r="B5" s="15"/>
      <c r="C5" s="60" t="s">
        <v>32</v>
      </c>
      <c r="D5" s="60"/>
      <c r="E5" s="6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42</v>
      </c>
      <c r="V5" s="15" t="s">
        <v>43</v>
      </c>
      <c r="W5" s="15"/>
    </row>
    <row r="6" spans="2:28" ht="18.75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3" t="s">
        <v>27</v>
      </c>
      <c r="O6" s="37">
        <f>S6*16.5%</f>
        <v>5280</v>
      </c>
      <c r="P6" s="38" t="s">
        <v>26</v>
      </c>
      <c r="Q6" s="37">
        <f>(S6*8)/100</f>
        <v>2560</v>
      </c>
      <c r="R6" s="15" t="s">
        <v>25</v>
      </c>
      <c r="S6" s="12">
        <v>32000</v>
      </c>
      <c r="T6" s="15" t="s">
        <v>41</v>
      </c>
      <c r="U6" s="49">
        <v>1050.3</v>
      </c>
      <c r="V6" s="50">
        <f>U6/31</f>
        <v>33.880645161290325</v>
      </c>
      <c r="W6" s="15"/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206295</v>
      </c>
      <c r="D11" s="7">
        <v>484789</v>
      </c>
      <c r="E11" s="7">
        <v>104067</v>
      </c>
      <c r="F11" s="8">
        <f t="shared" ref="F11" si="0">C11+D11+E11</f>
        <v>795151</v>
      </c>
      <c r="G11" s="22">
        <f t="shared" ref="G11" si="1">(C12+D12+E12)+((S11/24)*9.5)</f>
        <v>794801.1875</v>
      </c>
      <c r="H11" s="7">
        <f t="shared" ref="H11" si="2">G11+((K11/12)*2.5)</f>
        <v>794853.27083333337</v>
      </c>
      <c r="I11" s="7">
        <v>86883</v>
      </c>
      <c r="J11" s="6">
        <f t="shared" ref="J11:L11" si="3">C11-C12</f>
        <v>269</v>
      </c>
      <c r="K11" s="6">
        <f t="shared" si="3"/>
        <v>250</v>
      </c>
      <c r="L11" s="6">
        <f t="shared" si="3"/>
        <v>60</v>
      </c>
      <c r="M11" s="6">
        <f t="shared" ref="M11" si="4">I11-I12</f>
        <v>87</v>
      </c>
      <c r="N11" s="5">
        <f t="shared" ref="N11" si="5">N12</f>
        <v>170.32258064516128</v>
      </c>
      <c r="O11" s="23">
        <f t="shared" ref="O11" si="6">L11</f>
        <v>60</v>
      </c>
      <c r="P11" s="5">
        <f t="shared" ref="P11" si="7">N11-O11</f>
        <v>110.32258064516128</v>
      </c>
      <c r="Q11" s="5">
        <f t="shared" ref="Q11" si="8">H11-G11</f>
        <v>52.083333333372138</v>
      </c>
      <c r="R11" s="7">
        <f t="shared" ref="R11" si="9">R12</f>
        <v>1032.258064516129</v>
      </c>
      <c r="S11" s="6">
        <f t="shared" ref="S11" si="10">J11+K11+L11</f>
        <v>579</v>
      </c>
      <c r="T11" s="7">
        <f t="shared" ref="T11" si="11">R11-S11</f>
        <v>453.25806451612902</v>
      </c>
      <c r="U11" s="7">
        <f t="shared" ref="U11:V11" si="12">U12+N11</f>
        <v>5279.9999999999991</v>
      </c>
      <c r="V11" s="7">
        <f t="shared" si="12"/>
        <v>1981</v>
      </c>
      <c r="W11" s="7">
        <f t="shared" ref="W11" si="13">U11-V11</f>
        <v>3298.9999999999991</v>
      </c>
      <c r="X11" s="7">
        <f t="shared" ref="X11:Y11" si="14">X12+R11</f>
        <v>31999.999999999996</v>
      </c>
      <c r="Y11" s="7">
        <f t="shared" si="14"/>
        <v>12538</v>
      </c>
      <c r="Z11" s="7">
        <f t="shared" ref="Z11" si="15">X11-Y11</f>
        <v>19461.999999999996</v>
      </c>
      <c r="AA11" s="24">
        <f t="shared" ref="AA11" si="16">COS(ATAN(M11/S11))</f>
        <v>0.98889873804054806</v>
      </c>
      <c r="AB11" s="25"/>
    </row>
    <row r="12" spans="2:28" ht="18" x14ac:dyDescent="0.25">
      <c r="B12" s="3">
        <v>30</v>
      </c>
      <c r="C12" s="3">
        <v>206026</v>
      </c>
      <c r="D12" s="3">
        <v>484539</v>
      </c>
      <c r="E12" s="3">
        <v>104007</v>
      </c>
      <c r="F12" s="9">
        <f t="shared" ref="F12" si="17">C12+D12+E12</f>
        <v>794572</v>
      </c>
      <c r="G12" s="22">
        <f t="shared" ref="G12:G40" si="18">(C13+D13+E13)+((S12/24)*3)</f>
        <v>794123.125</v>
      </c>
      <c r="H12" s="7">
        <f t="shared" ref="H12:H40" si="19">G12+((K12/12)*2.5)</f>
        <v>794168.125</v>
      </c>
      <c r="I12" s="3">
        <v>86796</v>
      </c>
      <c r="J12" s="6">
        <f t="shared" ref="J12" si="20">C12-C13</f>
        <v>226</v>
      </c>
      <c r="K12" s="6">
        <f t="shared" ref="K12" si="21">D12-D13</f>
        <v>216</v>
      </c>
      <c r="L12" s="6">
        <f t="shared" ref="L12" si="22">E12-E13</f>
        <v>71</v>
      </c>
      <c r="M12" s="6">
        <f t="shared" ref="M12" si="23">I12-I13</f>
        <v>78</v>
      </c>
      <c r="N12" s="5">
        <f t="shared" ref="N12:N40" si="24">N13</f>
        <v>170.32258064516128</v>
      </c>
      <c r="O12" s="23">
        <f t="shared" ref="O12" si="25">L12</f>
        <v>71</v>
      </c>
      <c r="P12" s="5">
        <f t="shared" ref="P12" si="26">N12-O12</f>
        <v>99.322580645161281</v>
      </c>
      <c r="Q12" s="5">
        <f t="shared" ref="Q12" si="27">H12-G12</f>
        <v>45</v>
      </c>
      <c r="R12" s="7">
        <f t="shared" ref="R12:R39" si="28">R13</f>
        <v>1032.258064516129</v>
      </c>
      <c r="S12" s="6">
        <f t="shared" ref="S12" si="29">J12+K12+L12</f>
        <v>513</v>
      </c>
      <c r="T12" s="7">
        <f t="shared" ref="T12" si="30">R12-S12</f>
        <v>519.25806451612902</v>
      </c>
      <c r="U12" s="7">
        <f t="shared" ref="U12" si="31">U13+N12</f>
        <v>5109.6774193548381</v>
      </c>
      <c r="V12" s="7">
        <f t="shared" ref="V12" si="32">V13+O12</f>
        <v>1921</v>
      </c>
      <c r="W12" s="7">
        <f t="shared" ref="W12" si="33">U12-V12</f>
        <v>3188.6774193548381</v>
      </c>
      <c r="X12" s="7">
        <f t="shared" ref="X12" si="34">X13+R12</f>
        <v>30967.741935483868</v>
      </c>
      <c r="Y12" s="7">
        <f t="shared" ref="Y12" si="35">Y13+S12</f>
        <v>11959</v>
      </c>
      <c r="Z12" s="7">
        <f t="shared" ref="Z12" si="36">X12-Y12</f>
        <v>19008.741935483868</v>
      </c>
      <c r="AA12" s="24">
        <f t="shared" ref="AA12" si="37">COS(ATAN(M12/S12))</f>
        <v>0.98863752279881489</v>
      </c>
      <c r="AB12" s="25"/>
    </row>
    <row r="13" spans="2:28" ht="18" x14ac:dyDescent="0.25">
      <c r="B13" s="3">
        <v>29</v>
      </c>
      <c r="C13" s="3">
        <v>205800</v>
      </c>
      <c r="D13" s="3">
        <v>484323</v>
      </c>
      <c r="E13" s="3">
        <v>103936</v>
      </c>
      <c r="F13" s="9">
        <f>C13+D13+E13</f>
        <v>794059</v>
      </c>
      <c r="G13" s="22">
        <f t="shared" si="18"/>
        <v>793650.375</v>
      </c>
      <c r="H13" s="7">
        <f t="shared" si="19"/>
        <v>793691.20833333337</v>
      </c>
      <c r="I13" s="3">
        <v>86718</v>
      </c>
      <c r="J13" s="6">
        <f t="shared" ref="J13:J40" si="38">C13-C14</f>
        <v>186</v>
      </c>
      <c r="K13" s="6">
        <f t="shared" ref="K13:K40" si="39">D13-D14</f>
        <v>196</v>
      </c>
      <c r="L13" s="6">
        <f t="shared" ref="L13:L40" si="40">E13-E14</f>
        <v>85</v>
      </c>
      <c r="M13" s="6">
        <f t="shared" ref="M13:M40" si="41">I13-I14</f>
        <v>60</v>
      </c>
      <c r="N13" s="5">
        <f t="shared" si="24"/>
        <v>170.32258064516128</v>
      </c>
      <c r="O13" s="23">
        <f t="shared" ref="O13:O41" si="42">L13</f>
        <v>85</v>
      </c>
      <c r="P13" s="5">
        <f t="shared" ref="P13:P41" si="43">N13-O13</f>
        <v>85.322580645161281</v>
      </c>
      <c r="Q13" s="5">
        <f t="shared" ref="Q13:Q41" si="44">H13-G13</f>
        <v>40.833333333372138</v>
      </c>
      <c r="R13" s="7">
        <f t="shared" si="28"/>
        <v>1032.258064516129</v>
      </c>
      <c r="S13" s="6">
        <f t="shared" ref="S13:S41" si="45">J13+K13+L13</f>
        <v>467</v>
      </c>
      <c r="T13" s="7">
        <f t="shared" ref="T13:T41" si="46">R13-S13</f>
        <v>565.25806451612902</v>
      </c>
      <c r="U13" s="7">
        <f t="shared" ref="U13:U40" si="47">U14+N13</f>
        <v>4939.3548387096771</v>
      </c>
      <c r="V13" s="7">
        <f t="shared" ref="V13:V40" si="48">V14+O13</f>
        <v>1850</v>
      </c>
      <c r="W13" s="7">
        <f t="shared" ref="W13:W41" si="49">U13-V13</f>
        <v>3089.3548387096771</v>
      </c>
      <c r="X13" s="7">
        <f t="shared" ref="X13:X40" si="50">X14+R13</f>
        <v>29935.483870967739</v>
      </c>
      <c r="Y13" s="7">
        <f t="shared" ref="Y13:Y40" si="51">Y14+S13</f>
        <v>11446</v>
      </c>
      <c r="Z13" s="7">
        <f t="shared" ref="Z13:Z41" si="52">X13-Y13</f>
        <v>18489.483870967739</v>
      </c>
      <c r="AA13" s="24">
        <f t="shared" ref="AA13:AA41" si="53">COS(ATAN(M13/S13))</f>
        <v>0.99184728391145416</v>
      </c>
      <c r="AB13" s="25"/>
    </row>
    <row r="14" spans="2:28" ht="18" x14ac:dyDescent="0.25">
      <c r="B14" s="3">
        <v>28</v>
      </c>
      <c r="C14" s="3">
        <f>C15+175</f>
        <v>205614</v>
      </c>
      <c r="D14" s="3">
        <f>D15+175</f>
        <v>484127</v>
      </c>
      <c r="E14" s="3">
        <f t="shared" ref="E14" si="54">E15+82</f>
        <v>103851</v>
      </c>
      <c r="F14" s="8">
        <f t="shared" ref="F14:F41" si="55">C14+D14+E14</f>
        <v>793592</v>
      </c>
      <c r="G14" s="22">
        <f t="shared" si="18"/>
        <v>793214</v>
      </c>
      <c r="H14" s="7">
        <f t="shared" si="19"/>
        <v>793250.45833333337</v>
      </c>
      <c r="I14" s="3">
        <f>I15+64</f>
        <v>86658</v>
      </c>
      <c r="J14" s="6">
        <f t="shared" si="38"/>
        <v>175</v>
      </c>
      <c r="K14" s="6">
        <f t="shared" si="39"/>
        <v>175</v>
      </c>
      <c r="L14" s="6">
        <f t="shared" si="40"/>
        <v>82</v>
      </c>
      <c r="M14" s="6">
        <f t="shared" si="41"/>
        <v>64</v>
      </c>
      <c r="N14" s="5">
        <f t="shared" si="24"/>
        <v>170.32258064516128</v>
      </c>
      <c r="O14" s="23">
        <f t="shared" si="42"/>
        <v>82</v>
      </c>
      <c r="P14" s="5">
        <f t="shared" si="43"/>
        <v>88.322580645161281</v>
      </c>
      <c r="Q14" s="5">
        <f t="shared" si="44"/>
        <v>36.458333333372138</v>
      </c>
      <c r="R14" s="7">
        <f t="shared" si="28"/>
        <v>1032.258064516129</v>
      </c>
      <c r="S14" s="6">
        <f t="shared" si="45"/>
        <v>432</v>
      </c>
      <c r="T14" s="7">
        <f t="shared" si="46"/>
        <v>600.25806451612902</v>
      </c>
      <c r="U14" s="7">
        <f t="shared" si="47"/>
        <v>4769.0322580645161</v>
      </c>
      <c r="V14" s="7">
        <f t="shared" si="48"/>
        <v>1765</v>
      </c>
      <c r="W14" s="7">
        <f t="shared" si="49"/>
        <v>3004.0322580645161</v>
      </c>
      <c r="X14" s="7">
        <f t="shared" si="50"/>
        <v>28903.22580645161</v>
      </c>
      <c r="Y14" s="7">
        <f t="shared" si="51"/>
        <v>10979</v>
      </c>
      <c r="Z14" s="7">
        <f t="shared" si="52"/>
        <v>17924.22580645161</v>
      </c>
      <c r="AA14" s="24">
        <f t="shared" si="53"/>
        <v>0.9892034623538708</v>
      </c>
      <c r="AB14" s="25"/>
    </row>
    <row r="15" spans="2:28" ht="18" x14ac:dyDescent="0.25">
      <c r="B15" s="3">
        <v>27</v>
      </c>
      <c r="C15" s="3">
        <f>C16+169</f>
        <v>205439</v>
      </c>
      <c r="D15" s="3">
        <f>D16+160</f>
        <v>483952</v>
      </c>
      <c r="E15" s="3">
        <f>E16+89</f>
        <v>103769</v>
      </c>
      <c r="F15" s="8">
        <f t="shared" si="55"/>
        <v>793160</v>
      </c>
      <c r="G15" s="22">
        <f t="shared" si="18"/>
        <v>792794.25</v>
      </c>
      <c r="H15" s="7">
        <f t="shared" si="19"/>
        <v>792827.58333333337</v>
      </c>
      <c r="I15" s="3">
        <f>I16+59</f>
        <v>86594</v>
      </c>
      <c r="J15" s="6">
        <f t="shared" si="38"/>
        <v>169</v>
      </c>
      <c r="K15" s="6">
        <f t="shared" si="39"/>
        <v>160</v>
      </c>
      <c r="L15" s="6">
        <f t="shared" si="40"/>
        <v>89</v>
      </c>
      <c r="M15" s="7">
        <f>I15-I16</f>
        <v>59</v>
      </c>
      <c r="N15" s="5">
        <f t="shared" si="24"/>
        <v>170.32258064516128</v>
      </c>
      <c r="O15" s="23">
        <f t="shared" si="42"/>
        <v>89</v>
      </c>
      <c r="P15" s="5">
        <f t="shared" si="43"/>
        <v>81.322580645161281</v>
      </c>
      <c r="Q15" s="5">
        <f t="shared" si="44"/>
        <v>33.333333333372138</v>
      </c>
      <c r="R15" s="7">
        <f t="shared" si="28"/>
        <v>1032.258064516129</v>
      </c>
      <c r="S15" s="6">
        <f t="shared" si="45"/>
        <v>418</v>
      </c>
      <c r="T15" s="7">
        <f t="shared" si="46"/>
        <v>614.25806451612902</v>
      </c>
      <c r="U15" s="7">
        <f t="shared" si="47"/>
        <v>4598.7096774193551</v>
      </c>
      <c r="V15" s="7">
        <f t="shared" si="48"/>
        <v>1683</v>
      </c>
      <c r="W15" s="7">
        <f t="shared" si="49"/>
        <v>2915.7096774193551</v>
      </c>
      <c r="X15" s="7">
        <f t="shared" si="50"/>
        <v>27870.967741935481</v>
      </c>
      <c r="Y15" s="7">
        <f t="shared" si="51"/>
        <v>10547</v>
      </c>
      <c r="Z15" s="7">
        <f t="shared" si="52"/>
        <v>17323.967741935481</v>
      </c>
      <c r="AA15" s="24">
        <f t="shared" si="53"/>
        <v>0.9901849912426679</v>
      </c>
      <c r="AB15" s="25"/>
    </row>
    <row r="16" spans="2:28" ht="18" x14ac:dyDescent="0.25">
      <c r="B16" s="3">
        <v>26</v>
      </c>
      <c r="C16" s="3">
        <f>C17+186</f>
        <v>205270</v>
      </c>
      <c r="D16" s="3">
        <f>D17+183</f>
        <v>483792</v>
      </c>
      <c r="E16" s="3">
        <f>E17+79</f>
        <v>103680</v>
      </c>
      <c r="F16" s="8">
        <f t="shared" si="55"/>
        <v>792742</v>
      </c>
      <c r="G16" s="22">
        <f t="shared" si="18"/>
        <v>792350</v>
      </c>
      <c r="H16" s="7">
        <f t="shared" si="19"/>
        <v>792388.125</v>
      </c>
      <c r="I16" s="3">
        <f>I17+61</f>
        <v>86535</v>
      </c>
      <c r="J16" s="6">
        <f t="shared" si="38"/>
        <v>186</v>
      </c>
      <c r="K16" s="6">
        <f t="shared" si="39"/>
        <v>183</v>
      </c>
      <c r="L16" s="6">
        <f t="shared" si="40"/>
        <v>79</v>
      </c>
      <c r="M16" s="6">
        <f t="shared" si="41"/>
        <v>61</v>
      </c>
      <c r="N16" s="5">
        <f t="shared" si="24"/>
        <v>170.32258064516128</v>
      </c>
      <c r="O16" s="23">
        <f t="shared" si="42"/>
        <v>79</v>
      </c>
      <c r="P16" s="5">
        <f t="shared" si="43"/>
        <v>91.322580645161281</v>
      </c>
      <c r="Q16" s="5">
        <f t="shared" si="44"/>
        <v>38.125</v>
      </c>
      <c r="R16" s="7">
        <f t="shared" si="28"/>
        <v>1032.258064516129</v>
      </c>
      <c r="S16" s="6">
        <f t="shared" si="45"/>
        <v>448</v>
      </c>
      <c r="T16" s="7">
        <f t="shared" si="46"/>
        <v>584.25806451612902</v>
      </c>
      <c r="U16" s="7">
        <f t="shared" si="47"/>
        <v>4428.3870967741941</v>
      </c>
      <c r="V16" s="7">
        <f t="shared" si="48"/>
        <v>1594</v>
      </c>
      <c r="W16" s="7">
        <f t="shared" si="49"/>
        <v>2834.3870967741941</v>
      </c>
      <c r="X16" s="7">
        <f t="shared" si="50"/>
        <v>26838.709677419352</v>
      </c>
      <c r="Y16" s="7">
        <f t="shared" si="51"/>
        <v>10129</v>
      </c>
      <c r="Z16" s="7">
        <f t="shared" si="52"/>
        <v>16709.709677419352</v>
      </c>
      <c r="AA16" s="24">
        <f t="shared" si="53"/>
        <v>0.99085706604289658</v>
      </c>
      <c r="AB16" s="25"/>
    </row>
    <row r="17" spans="2:28" ht="18" x14ac:dyDescent="0.25">
      <c r="B17" s="3">
        <v>25</v>
      </c>
      <c r="C17" s="3">
        <f>C18+162</f>
        <v>205084</v>
      </c>
      <c r="D17" s="3">
        <f>D18+180</f>
        <v>483609</v>
      </c>
      <c r="E17" s="3">
        <f>E18+76</f>
        <v>103601</v>
      </c>
      <c r="F17" s="8">
        <f t="shared" si="55"/>
        <v>792294</v>
      </c>
      <c r="G17" s="22">
        <f t="shared" si="18"/>
        <v>791928.25</v>
      </c>
      <c r="H17" s="7">
        <f t="shared" si="19"/>
        <v>791965.75</v>
      </c>
      <c r="I17" s="3">
        <f>I18+67</f>
        <v>86474</v>
      </c>
      <c r="J17" s="6">
        <f t="shared" si="38"/>
        <v>162</v>
      </c>
      <c r="K17" s="6">
        <f t="shared" si="39"/>
        <v>180</v>
      </c>
      <c r="L17" s="6">
        <f t="shared" si="40"/>
        <v>76</v>
      </c>
      <c r="M17" s="6">
        <f t="shared" si="41"/>
        <v>67</v>
      </c>
      <c r="N17" s="5">
        <f t="shared" si="24"/>
        <v>170.32258064516128</v>
      </c>
      <c r="O17" s="23">
        <f t="shared" si="42"/>
        <v>76</v>
      </c>
      <c r="P17" s="5">
        <f t="shared" si="43"/>
        <v>94.322580645161281</v>
      </c>
      <c r="Q17" s="5">
        <f t="shared" si="44"/>
        <v>37.5</v>
      </c>
      <c r="R17" s="7">
        <f t="shared" si="28"/>
        <v>1032.258064516129</v>
      </c>
      <c r="S17" s="6">
        <f t="shared" si="45"/>
        <v>418</v>
      </c>
      <c r="T17" s="7">
        <f t="shared" si="46"/>
        <v>614.25806451612902</v>
      </c>
      <c r="U17" s="7">
        <f t="shared" si="47"/>
        <v>4258.0645161290331</v>
      </c>
      <c r="V17" s="7">
        <f t="shared" si="48"/>
        <v>1515</v>
      </c>
      <c r="W17" s="7">
        <f t="shared" si="49"/>
        <v>2743.0645161290331</v>
      </c>
      <c r="X17" s="7">
        <f t="shared" si="50"/>
        <v>25806.451612903224</v>
      </c>
      <c r="Y17" s="7">
        <f t="shared" si="51"/>
        <v>9681</v>
      </c>
      <c r="Z17" s="7">
        <f t="shared" si="52"/>
        <v>16125.451612903224</v>
      </c>
      <c r="AA17" s="24">
        <f t="shared" si="53"/>
        <v>0.98739637122757751</v>
      </c>
      <c r="AB17" s="25"/>
    </row>
    <row r="18" spans="2:28" ht="18" x14ac:dyDescent="0.25">
      <c r="B18" s="3">
        <v>24</v>
      </c>
      <c r="C18" s="3">
        <f>C19+182</f>
        <v>204922</v>
      </c>
      <c r="D18" s="3">
        <f>D19+172</f>
        <v>483429</v>
      </c>
      <c r="E18" s="3">
        <f>E19+84</f>
        <v>103525</v>
      </c>
      <c r="F18" s="8">
        <f t="shared" si="55"/>
        <v>791876</v>
      </c>
      <c r="G18" s="22">
        <f t="shared" si="18"/>
        <v>791492.75</v>
      </c>
      <c r="H18" s="7">
        <f t="shared" si="19"/>
        <v>791528.58333333337</v>
      </c>
      <c r="I18" s="3">
        <f t="shared" ref="I18" si="56">I19+65</f>
        <v>86407</v>
      </c>
      <c r="J18" s="6">
        <f t="shared" si="38"/>
        <v>182</v>
      </c>
      <c r="K18" s="6">
        <f t="shared" si="39"/>
        <v>172</v>
      </c>
      <c r="L18" s="6">
        <f t="shared" si="40"/>
        <v>84</v>
      </c>
      <c r="M18" s="6">
        <f t="shared" si="41"/>
        <v>65</v>
      </c>
      <c r="N18" s="5">
        <f t="shared" si="24"/>
        <v>170.32258064516128</v>
      </c>
      <c r="O18" s="23">
        <f t="shared" si="42"/>
        <v>84</v>
      </c>
      <c r="P18" s="5">
        <f t="shared" si="43"/>
        <v>86.322580645161281</v>
      </c>
      <c r="Q18" s="5">
        <f t="shared" si="44"/>
        <v>35.833333333372138</v>
      </c>
      <c r="R18" s="7">
        <f t="shared" si="28"/>
        <v>1032.258064516129</v>
      </c>
      <c r="S18" s="6">
        <f t="shared" si="45"/>
        <v>438</v>
      </c>
      <c r="T18" s="7">
        <f t="shared" si="46"/>
        <v>594.25806451612902</v>
      </c>
      <c r="U18" s="7">
        <f t="shared" si="47"/>
        <v>4087.7419354838721</v>
      </c>
      <c r="V18" s="7">
        <f t="shared" si="48"/>
        <v>1439</v>
      </c>
      <c r="W18" s="7">
        <f t="shared" si="49"/>
        <v>2648.7419354838721</v>
      </c>
      <c r="X18" s="7">
        <f t="shared" si="50"/>
        <v>24774.193548387095</v>
      </c>
      <c r="Y18" s="7">
        <f t="shared" si="51"/>
        <v>9263</v>
      </c>
      <c r="Z18" s="7">
        <f t="shared" si="52"/>
        <v>15511.193548387095</v>
      </c>
      <c r="AA18" s="24">
        <f t="shared" si="53"/>
        <v>0.98916705541349037</v>
      </c>
      <c r="AB18" s="25"/>
    </row>
    <row r="19" spans="2:28" ht="18" x14ac:dyDescent="0.25">
      <c r="B19" s="3">
        <v>23</v>
      </c>
      <c r="C19" s="3">
        <f>C20+179</f>
        <v>204740</v>
      </c>
      <c r="D19" s="3">
        <f>D20+175</f>
        <v>483257</v>
      </c>
      <c r="E19" s="3">
        <f>E20+80</f>
        <v>103441</v>
      </c>
      <c r="F19" s="8">
        <f t="shared" si="55"/>
        <v>791438</v>
      </c>
      <c r="G19" s="22">
        <f t="shared" si="18"/>
        <v>791058.25</v>
      </c>
      <c r="H19" s="7">
        <f t="shared" si="19"/>
        <v>791094.70833333337</v>
      </c>
      <c r="I19" s="3">
        <f>I20+69</f>
        <v>86342</v>
      </c>
      <c r="J19" s="6">
        <f t="shared" si="38"/>
        <v>179</v>
      </c>
      <c r="K19" s="6">
        <f t="shared" si="39"/>
        <v>175</v>
      </c>
      <c r="L19" s="6">
        <f t="shared" si="40"/>
        <v>80</v>
      </c>
      <c r="M19" s="6">
        <f t="shared" si="41"/>
        <v>69</v>
      </c>
      <c r="N19" s="5">
        <f t="shared" si="24"/>
        <v>170.32258064516128</v>
      </c>
      <c r="O19" s="3">
        <f t="shared" si="42"/>
        <v>80</v>
      </c>
      <c r="P19" s="5">
        <f t="shared" si="43"/>
        <v>90.322580645161281</v>
      </c>
      <c r="Q19" s="5">
        <f t="shared" si="44"/>
        <v>36.458333333372138</v>
      </c>
      <c r="R19" s="7">
        <f t="shared" si="28"/>
        <v>1032.258064516129</v>
      </c>
      <c r="S19" s="6">
        <f t="shared" si="45"/>
        <v>434</v>
      </c>
      <c r="T19" s="7">
        <f t="shared" si="46"/>
        <v>598.25806451612902</v>
      </c>
      <c r="U19" s="7">
        <f t="shared" si="47"/>
        <v>3917.4193548387107</v>
      </c>
      <c r="V19" s="7">
        <f t="shared" si="48"/>
        <v>1355</v>
      </c>
      <c r="W19" s="7">
        <f t="shared" si="49"/>
        <v>2562.4193548387107</v>
      </c>
      <c r="X19" s="7">
        <f t="shared" si="50"/>
        <v>23741.935483870966</v>
      </c>
      <c r="Y19" s="7">
        <f t="shared" si="51"/>
        <v>8825</v>
      </c>
      <c r="Z19" s="7">
        <f t="shared" si="52"/>
        <v>14916.935483870966</v>
      </c>
      <c r="AA19" s="24">
        <f t="shared" si="53"/>
        <v>0.98759635052604511</v>
      </c>
      <c r="AB19" s="1"/>
    </row>
    <row r="20" spans="2:28" ht="18" x14ac:dyDescent="0.25">
      <c r="B20" s="3">
        <v>22</v>
      </c>
      <c r="C20" s="3">
        <f>C21+177</f>
        <v>204561</v>
      </c>
      <c r="D20" s="3">
        <f>D21+181</f>
        <v>483082</v>
      </c>
      <c r="E20" s="3">
        <f>E21+82</f>
        <v>103361</v>
      </c>
      <c r="F20" s="8">
        <f t="shared" si="55"/>
        <v>791004</v>
      </c>
      <c r="G20" s="22">
        <f t="shared" si="18"/>
        <v>790619</v>
      </c>
      <c r="H20" s="7">
        <f t="shared" si="19"/>
        <v>790656.70833333337</v>
      </c>
      <c r="I20" s="3">
        <f>I21+75</f>
        <v>86273</v>
      </c>
      <c r="J20" s="6">
        <f t="shared" si="38"/>
        <v>177</v>
      </c>
      <c r="K20" s="6">
        <f t="shared" si="39"/>
        <v>181</v>
      </c>
      <c r="L20" s="6">
        <f t="shared" si="40"/>
        <v>82</v>
      </c>
      <c r="M20" s="6">
        <f t="shared" si="41"/>
        <v>75</v>
      </c>
      <c r="N20" s="5">
        <f t="shared" si="24"/>
        <v>170.32258064516128</v>
      </c>
      <c r="O20" s="3">
        <f t="shared" si="42"/>
        <v>82</v>
      </c>
      <c r="P20" s="5">
        <f t="shared" si="43"/>
        <v>88.322580645161281</v>
      </c>
      <c r="Q20" s="5">
        <f t="shared" si="44"/>
        <v>37.708333333372138</v>
      </c>
      <c r="R20" s="7">
        <f t="shared" si="28"/>
        <v>1032.258064516129</v>
      </c>
      <c r="S20" s="6">
        <f t="shared" si="45"/>
        <v>440</v>
      </c>
      <c r="T20" s="7">
        <f t="shared" si="46"/>
        <v>592.25806451612902</v>
      </c>
      <c r="U20" s="7">
        <f t="shared" si="47"/>
        <v>3747.0967741935492</v>
      </c>
      <c r="V20" s="7">
        <f t="shared" si="48"/>
        <v>1275</v>
      </c>
      <c r="W20" s="7">
        <f t="shared" si="49"/>
        <v>2472.0967741935492</v>
      </c>
      <c r="X20" s="7">
        <f t="shared" si="50"/>
        <v>22709.677419354837</v>
      </c>
      <c r="Y20" s="7">
        <f t="shared" si="51"/>
        <v>8391</v>
      </c>
      <c r="Z20" s="7">
        <f t="shared" si="52"/>
        <v>14318.677419354837</v>
      </c>
      <c r="AA20" s="24">
        <f t="shared" si="53"/>
        <v>0.98578171603439291</v>
      </c>
      <c r="AB20" s="1"/>
    </row>
    <row r="21" spans="2:28" ht="18" x14ac:dyDescent="0.25">
      <c r="B21" s="3">
        <v>21</v>
      </c>
      <c r="C21" s="3">
        <v>204384</v>
      </c>
      <c r="D21" s="3">
        <v>482901</v>
      </c>
      <c r="E21" s="3">
        <v>103279</v>
      </c>
      <c r="F21" s="8">
        <f t="shared" si="55"/>
        <v>790564</v>
      </c>
      <c r="G21" s="22">
        <f t="shared" si="18"/>
        <v>790044.25</v>
      </c>
      <c r="H21" s="7">
        <f t="shared" si="19"/>
        <v>790100.29166666663</v>
      </c>
      <c r="I21" s="3">
        <v>86198</v>
      </c>
      <c r="J21" s="6">
        <f t="shared" si="38"/>
        <v>238</v>
      </c>
      <c r="K21" s="6">
        <f t="shared" si="39"/>
        <v>269</v>
      </c>
      <c r="L21" s="6">
        <f t="shared" si="40"/>
        <v>87</v>
      </c>
      <c r="M21" s="6">
        <f t="shared" si="41"/>
        <v>89</v>
      </c>
      <c r="N21" s="5">
        <f t="shared" si="24"/>
        <v>170.32258064516128</v>
      </c>
      <c r="O21" s="3">
        <f t="shared" si="42"/>
        <v>87</v>
      </c>
      <c r="P21" s="5">
        <f t="shared" si="43"/>
        <v>83.322580645161281</v>
      </c>
      <c r="Q21" s="5">
        <f t="shared" si="44"/>
        <v>56.041666666627862</v>
      </c>
      <c r="R21" s="7">
        <f t="shared" si="28"/>
        <v>1032.258064516129</v>
      </c>
      <c r="S21" s="6">
        <f t="shared" si="45"/>
        <v>594</v>
      </c>
      <c r="T21" s="7">
        <f t="shared" si="46"/>
        <v>438.25806451612902</v>
      </c>
      <c r="U21" s="7">
        <f t="shared" si="47"/>
        <v>3576.7741935483878</v>
      </c>
      <c r="V21" s="7">
        <f t="shared" si="48"/>
        <v>1193</v>
      </c>
      <c r="W21" s="7">
        <f t="shared" si="49"/>
        <v>2383.7741935483878</v>
      </c>
      <c r="X21" s="7">
        <f t="shared" si="50"/>
        <v>21677.419354838708</v>
      </c>
      <c r="Y21" s="7">
        <f t="shared" si="51"/>
        <v>7951</v>
      </c>
      <c r="Z21" s="7">
        <f t="shared" si="52"/>
        <v>13726.419354838708</v>
      </c>
      <c r="AA21" s="24">
        <f t="shared" si="53"/>
        <v>0.98896076367539065</v>
      </c>
      <c r="AB21" s="1"/>
    </row>
    <row r="22" spans="2:28" ht="18" x14ac:dyDescent="0.25">
      <c r="B22" s="3">
        <v>20</v>
      </c>
      <c r="C22" s="3">
        <f>C23+296</f>
        <v>204146</v>
      </c>
      <c r="D22" s="3">
        <f>D23+228</f>
        <v>482632</v>
      </c>
      <c r="E22" s="3">
        <f>E23+99</f>
        <v>103192</v>
      </c>
      <c r="F22" s="8">
        <f t="shared" si="55"/>
        <v>789970</v>
      </c>
      <c r="G22" s="22">
        <f t="shared" si="18"/>
        <v>789424.875</v>
      </c>
      <c r="H22" s="7">
        <f t="shared" si="19"/>
        <v>789472.375</v>
      </c>
      <c r="I22" s="3">
        <f>I23+83</f>
        <v>86109</v>
      </c>
      <c r="J22" s="6">
        <f t="shared" si="38"/>
        <v>296</v>
      </c>
      <c r="K22" s="6">
        <f t="shared" si="39"/>
        <v>228</v>
      </c>
      <c r="L22" s="6">
        <f t="shared" si="40"/>
        <v>99</v>
      </c>
      <c r="M22" s="6">
        <f t="shared" si="41"/>
        <v>83</v>
      </c>
      <c r="N22" s="5">
        <f t="shared" si="24"/>
        <v>170.32258064516128</v>
      </c>
      <c r="O22" s="3">
        <f t="shared" si="42"/>
        <v>99</v>
      </c>
      <c r="P22" s="5">
        <f t="shared" si="43"/>
        <v>71.322580645161281</v>
      </c>
      <c r="Q22" s="5">
        <f t="shared" si="44"/>
        <v>47.5</v>
      </c>
      <c r="R22" s="7">
        <f t="shared" si="28"/>
        <v>1032.258064516129</v>
      </c>
      <c r="S22" s="6">
        <f t="shared" si="45"/>
        <v>623</v>
      </c>
      <c r="T22" s="7">
        <f t="shared" si="46"/>
        <v>409.25806451612902</v>
      </c>
      <c r="U22" s="7">
        <f t="shared" si="47"/>
        <v>3406.4516129032263</v>
      </c>
      <c r="V22" s="7">
        <f t="shared" si="48"/>
        <v>1106</v>
      </c>
      <c r="W22" s="7">
        <f t="shared" si="49"/>
        <v>2300.4516129032263</v>
      </c>
      <c r="X22" s="7">
        <f t="shared" si="50"/>
        <v>20645.16129032258</v>
      </c>
      <c r="Y22" s="7">
        <f t="shared" si="51"/>
        <v>7357</v>
      </c>
      <c r="Z22" s="7">
        <f t="shared" si="52"/>
        <v>13288.16129032258</v>
      </c>
      <c r="AA22" s="24">
        <f t="shared" si="53"/>
        <v>0.99124179108425481</v>
      </c>
      <c r="AB22" s="1"/>
    </row>
    <row r="23" spans="2:28" ht="18" x14ac:dyDescent="0.25">
      <c r="B23" s="3">
        <v>19</v>
      </c>
      <c r="C23" s="3">
        <f>C24+290</f>
        <v>203850</v>
      </c>
      <c r="D23" s="3">
        <f>D24+137</f>
        <v>482404</v>
      </c>
      <c r="E23" s="3">
        <f>E24+66</f>
        <v>103093</v>
      </c>
      <c r="F23" s="8">
        <f t="shared" si="55"/>
        <v>789347</v>
      </c>
      <c r="G23" s="22">
        <f t="shared" si="18"/>
        <v>788915.625</v>
      </c>
      <c r="H23" s="7">
        <f t="shared" si="19"/>
        <v>788944.16666666663</v>
      </c>
      <c r="I23" s="3">
        <f>I24+72</f>
        <v>86026</v>
      </c>
      <c r="J23" s="6">
        <f t="shared" si="38"/>
        <v>290</v>
      </c>
      <c r="K23" s="6">
        <f t="shared" si="39"/>
        <v>137</v>
      </c>
      <c r="L23" s="6">
        <f t="shared" si="40"/>
        <v>66</v>
      </c>
      <c r="M23" s="6">
        <f t="shared" si="41"/>
        <v>72</v>
      </c>
      <c r="N23" s="5">
        <f t="shared" si="24"/>
        <v>170.32258064516128</v>
      </c>
      <c r="O23" s="3">
        <f t="shared" si="42"/>
        <v>66</v>
      </c>
      <c r="P23" s="5">
        <f t="shared" si="43"/>
        <v>104.32258064516128</v>
      </c>
      <c r="Q23" s="5">
        <f t="shared" si="44"/>
        <v>28.541666666627862</v>
      </c>
      <c r="R23" s="7">
        <f t="shared" si="28"/>
        <v>1032.258064516129</v>
      </c>
      <c r="S23" s="6">
        <f t="shared" si="45"/>
        <v>493</v>
      </c>
      <c r="T23" s="7">
        <f t="shared" si="46"/>
        <v>539.25806451612902</v>
      </c>
      <c r="U23" s="7">
        <f t="shared" si="47"/>
        <v>3236.1290322580649</v>
      </c>
      <c r="V23" s="7">
        <f t="shared" si="48"/>
        <v>1007</v>
      </c>
      <c r="W23" s="7">
        <f t="shared" si="49"/>
        <v>2229.1290322580649</v>
      </c>
      <c r="X23" s="7">
        <f t="shared" si="50"/>
        <v>19612.903225806451</v>
      </c>
      <c r="Y23" s="7">
        <f t="shared" si="51"/>
        <v>6734</v>
      </c>
      <c r="Z23" s="7">
        <f t="shared" si="52"/>
        <v>12878.903225806451</v>
      </c>
      <c r="AA23" s="24">
        <f t="shared" si="53"/>
        <v>0.98950310493579607</v>
      </c>
      <c r="AB23" s="1"/>
    </row>
    <row r="24" spans="2:28" ht="18" x14ac:dyDescent="0.25">
      <c r="B24" s="3">
        <v>18</v>
      </c>
      <c r="C24" s="3">
        <f>C25+286</f>
        <v>203560</v>
      </c>
      <c r="D24" s="3">
        <f>D25+140</f>
        <v>482267</v>
      </c>
      <c r="E24" s="3">
        <f>E25+73</f>
        <v>103027</v>
      </c>
      <c r="F24" s="8">
        <f t="shared" si="55"/>
        <v>788854</v>
      </c>
      <c r="G24" s="22">
        <f t="shared" si="18"/>
        <v>788417.375</v>
      </c>
      <c r="H24" s="7">
        <f t="shared" si="19"/>
        <v>788446.54166666663</v>
      </c>
      <c r="I24" s="3">
        <f>I25+57</f>
        <v>85954</v>
      </c>
      <c r="J24" s="6">
        <f t="shared" si="38"/>
        <v>286</v>
      </c>
      <c r="K24" s="6">
        <f t="shared" si="39"/>
        <v>140</v>
      </c>
      <c r="L24" s="6">
        <f t="shared" si="40"/>
        <v>73</v>
      </c>
      <c r="M24" s="6">
        <f t="shared" si="41"/>
        <v>57</v>
      </c>
      <c r="N24" s="5">
        <f t="shared" si="24"/>
        <v>170.32258064516128</v>
      </c>
      <c r="O24" s="3">
        <f t="shared" si="42"/>
        <v>73</v>
      </c>
      <c r="P24" s="5">
        <f t="shared" si="43"/>
        <v>97.322580645161281</v>
      </c>
      <c r="Q24" s="5">
        <f t="shared" si="44"/>
        <v>29.166666666627862</v>
      </c>
      <c r="R24" s="7">
        <f t="shared" si="28"/>
        <v>1032.258064516129</v>
      </c>
      <c r="S24" s="6">
        <f t="shared" si="45"/>
        <v>499</v>
      </c>
      <c r="T24" s="7">
        <f t="shared" si="46"/>
        <v>533.25806451612902</v>
      </c>
      <c r="U24" s="7">
        <f t="shared" si="47"/>
        <v>3065.8064516129034</v>
      </c>
      <c r="V24" s="7">
        <f t="shared" si="48"/>
        <v>941</v>
      </c>
      <c r="W24" s="7">
        <f t="shared" si="49"/>
        <v>2124.8064516129034</v>
      </c>
      <c r="X24" s="7">
        <f t="shared" si="50"/>
        <v>18580.645161290322</v>
      </c>
      <c r="Y24" s="7">
        <f t="shared" si="51"/>
        <v>6241</v>
      </c>
      <c r="Z24" s="7">
        <f t="shared" si="52"/>
        <v>12339.645161290322</v>
      </c>
      <c r="AA24" s="24">
        <f t="shared" si="53"/>
        <v>0.99353908866917651</v>
      </c>
      <c r="AB24" s="1"/>
    </row>
    <row r="25" spans="2:28" ht="18" x14ac:dyDescent="0.25">
      <c r="B25" s="3">
        <v>17</v>
      </c>
      <c r="C25" s="3">
        <f>C26+292</f>
        <v>203274</v>
      </c>
      <c r="D25" s="3">
        <f>D26+133</f>
        <v>482127</v>
      </c>
      <c r="E25" s="3">
        <f>E26+68</f>
        <v>102954</v>
      </c>
      <c r="F25" s="8">
        <f t="shared" si="55"/>
        <v>788355</v>
      </c>
      <c r="G25" s="22">
        <f>(C26+D26+E26)+((S25/24)*3)</f>
        <v>787923.625</v>
      </c>
      <c r="H25" s="7">
        <f t="shared" si="19"/>
        <v>787951.33333333337</v>
      </c>
      <c r="I25" s="3">
        <f>I26+66</f>
        <v>85897</v>
      </c>
      <c r="J25" s="6">
        <f t="shared" ref="J25:L27" si="57">C25-C26</f>
        <v>292</v>
      </c>
      <c r="K25" s="6">
        <f t="shared" si="57"/>
        <v>133</v>
      </c>
      <c r="L25" s="6">
        <f t="shared" si="57"/>
        <v>68</v>
      </c>
      <c r="M25" s="7">
        <f t="shared" si="41"/>
        <v>66</v>
      </c>
      <c r="N25" s="5">
        <f t="shared" si="24"/>
        <v>170.32258064516128</v>
      </c>
      <c r="O25" s="3">
        <f t="shared" si="42"/>
        <v>68</v>
      </c>
      <c r="P25" s="5">
        <f t="shared" si="43"/>
        <v>102.32258064516128</v>
      </c>
      <c r="Q25" s="5">
        <f t="shared" si="44"/>
        <v>27.708333333372138</v>
      </c>
      <c r="R25" s="7">
        <f t="shared" si="28"/>
        <v>1032.258064516129</v>
      </c>
      <c r="S25" s="6">
        <f t="shared" si="45"/>
        <v>493</v>
      </c>
      <c r="T25" s="7">
        <f t="shared" si="46"/>
        <v>539.25806451612902</v>
      </c>
      <c r="U25" s="7">
        <f t="shared" si="47"/>
        <v>2895.483870967742</v>
      </c>
      <c r="V25" s="6">
        <f t="shared" si="48"/>
        <v>868</v>
      </c>
      <c r="W25" s="7">
        <f t="shared" si="49"/>
        <v>2027.483870967742</v>
      </c>
      <c r="X25" s="7">
        <f t="shared" si="50"/>
        <v>17548.387096774193</v>
      </c>
      <c r="Y25" s="7">
        <f t="shared" si="51"/>
        <v>5742</v>
      </c>
      <c r="Z25" s="7">
        <f t="shared" si="52"/>
        <v>11806.387096774193</v>
      </c>
      <c r="AA25" s="24">
        <f t="shared" si="53"/>
        <v>0.99115752625423126</v>
      </c>
      <c r="AB25" s="1"/>
    </row>
    <row r="26" spans="2:28" ht="18" x14ac:dyDescent="0.25">
      <c r="B26" s="3">
        <v>16</v>
      </c>
      <c r="C26" s="3">
        <f>C27+279</f>
        <v>202982</v>
      </c>
      <c r="D26" s="3">
        <f>D27+122</f>
        <v>481994</v>
      </c>
      <c r="E26" s="3">
        <f>E27+73</f>
        <v>102886</v>
      </c>
      <c r="F26" s="8">
        <f>C26+D26+E26</f>
        <v>787862</v>
      </c>
      <c r="G26" s="22">
        <f>(C27+D27+E27)+((S26/24)*3)</f>
        <v>787447.25</v>
      </c>
      <c r="H26" s="7">
        <f t="shared" si="19"/>
        <v>787472.66666666663</v>
      </c>
      <c r="I26" s="3">
        <f>I27+80</f>
        <v>85831</v>
      </c>
      <c r="J26" s="6">
        <f t="shared" si="57"/>
        <v>279</v>
      </c>
      <c r="K26" s="6">
        <f t="shared" si="57"/>
        <v>122</v>
      </c>
      <c r="L26" s="6">
        <f t="shared" si="57"/>
        <v>73</v>
      </c>
      <c r="M26" s="7">
        <f t="shared" si="41"/>
        <v>80</v>
      </c>
      <c r="N26" s="5">
        <f t="shared" si="24"/>
        <v>170.32258064516128</v>
      </c>
      <c r="O26" s="3">
        <f t="shared" si="42"/>
        <v>73</v>
      </c>
      <c r="P26" s="5">
        <f t="shared" si="43"/>
        <v>97.322580645161281</v>
      </c>
      <c r="Q26" s="5">
        <f t="shared" si="44"/>
        <v>25.416666666627862</v>
      </c>
      <c r="R26" s="7">
        <f t="shared" si="28"/>
        <v>1032.258064516129</v>
      </c>
      <c r="S26" s="6">
        <f t="shared" si="45"/>
        <v>474</v>
      </c>
      <c r="T26" s="7">
        <f t="shared" si="46"/>
        <v>558.25806451612902</v>
      </c>
      <c r="U26" s="7">
        <f t="shared" si="47"/>
        <v>2725.1612903225805</v>
      </c>
      <c r="V26" s="6">
        <f t="shared" si="48"/>
        <v>800</v>
      </c>
      <c r="W26" s="7">
        <f t="shared" si="49"/>
        <v>1925.1612903225805</v>
      </c>
      <c r="X26" s="7">
        <f t="shared" si="50"/>
        <v>16516.129032258064</v>
      </c>
      <c r="Y26" s="7">
        <f t="shared" si="51"/>
        <v>5249</v>
      </c>
      <c r="Z26" s="7">
        <f t="shared" si="52"/>
        <v>11267.129032258064</v>
      </c>
      <c r="AA26" s="24">
        <f t="shared" si="53"/>
        <v>0.98605450385252424</v>
      </c>
      <c r="AB26" s="1"/>
    </row>
    <row r="27" spans="2:28" ht="18" x14ac:dyDescent="0.25">
      <c r="B27" s="3">
        <v>15</v>
      </c>
      <c r="C27" s="3">
        <f t="shared" ref="C27" si="58">C28+151</f>
        <v>202703</v>
      </c>
      <c r="D27" s="3">
        <f>D28+130</f>
        <v>481872</v>
      </c>
      <c r="E27" s="3">
        <f>E28+79</f>
        <v>102813</v>
      </c>
      <c r="F27" s="8">
        <f t="shared" si="55"/>
        <v>787388</v>
      </c>
      <c r="G27" s="22">
        <f t="shared" si="18"/>
        <v>787073</v>
      </c>
      <c r="H27" s="7">
        <f t="shared" si="19"/>
        <v>787100.08333333337</v>
      </c>
      <c r="I27" s="3">
        <f>I28+72</f>
        <v>85751</v>
      </c>
      <c r="J27" s="6">
        <f t="shared" si="57"/>
        <v>151</v>
      </c>
      <c r="K27" s="6">
        <f t="shared" si="57"/>
        <v>130</v>
      </c>
      <c r="L27" s="6">
        <f t="shared" si="57"/>
        <v>79</v>
      </c>
      <c r="M27" s="7">
        <f t="shared" si="41"/>
        <v>72</v>
      </c>
      <c r="N27" s="5">
        <f t="shared" si="24"/>
        <v>170.32258064516128</v>
      </c>
      <c r="O27" s="3">
        <f t="shared" si="42"/>
        <v>79</v>
      </c>
      <c r="P27" s="5">
        <f t="shared" si="43"/>
        <v>91.322580645161281</v>
      </c>
      <c r="Q27" s="5">
        <f t="shared" si="44"/>
        <v>27.083333333372138</v>
      </c>
      <c r="R27" s="7">
        <f t="shared" si="28"/>
        <v>1032.258064516129</v>
      </c>
      <c r="S27" s="6">
        <f>J27+K27+L27</f>
        <v>360</v>
      </c>
      <c r="T27" s="7">
        <f t="shared" si="46"/>
        <v>672.25806451612902</v>
      </c>
      <c r="U27" s="7">
        <f t="shared" si="47"/>
        <v>2554.838709677419</v>
      </c>
      <c r="V27" s="6">
        <f t="shared" si="48"/>
        <v>727</v>
      </c>
      <c r="W27" s="7">
        <f t="shared" si="49"/>
        <v>1827.838709677419</v>
      </c>
      <c r="X27" s="7">
        <f t="shared" si="50"/>
        <v>15483.870967741934</v>
      </c>
      <c r="Y27" s="7">
        <f t="shared" si="51"/>
        <v>4775</v>
      </c>
      <c r="Z27" s="7">
        <f t="shared" si="52"/>
        <v>10708.870967741934</v>
      </c>
      <c r="AA27" s="24">
        <f t="shared" si="53"/>
        <v>0.98058067569092011</v>
      </c>
      <c r="AB27" s="1"/>
    </row>
    <row r="28" spans="2:28" ht="18" x14ac:dyDescent="0.25">
      <c r="B28" s="3">
        <v>14</v>
      </c>
      <c r="C28" s="3">
        <f>C29+129</f>
        <v>202552</v>
      </c>
      <c r="D28" s="3">
        <f>D29+197</f>
        <v>481742</v>
      </c>
      <c r="E28" s="3">
        <f>E29+47</f>
        <v>102734</v>
      </c>
      <c r="F28" s="8">
        <f t="shared" si="55"/>
        <v>787028</v>
      </c>
      <c r="G28" s="22">
        <f t="shared" si="18"/>
        <v>786701.625</v>
      </c>
      <c r="H28" s="7">
        <f t="shared" si="19"/>
        <v>786742.66666666663</v>
      </c>
      <c r="I28" s="3">
        <f t="shared" ref="I28" si="59">I29+64</f>
        <v>85679</v>
      </c>
      <c r="J28" s="6">
        <f t="shared" si="38"/>
        <v>129</v>
      </c>
      <c r="K28" s="6">
        <f t="shared" si="39"/>
        <v>197</v>
      </c>
      <c r="L28" s="6">
        <f t="shared" si="40"/>
        <v>47</v>
      </c>
      <c r="M28" s="7">
        <f t="shared" si="41"/>
        <v>64</v>
      </c>
      <c r="N28" s="5">
        <f t="shared" si="24"/>
        <v>170.32258064516128</v>
      </c>
      <c r="O28" s="3">
        <f t="shared" si="42"/>
        <v>47</v>
      </c>
      <c r="P28" s="5">
        <f t="shared" si="43"/>
        <v>123.32258064516128</v>
      </c>
      <c r="Q28" s="5">
        <f t="shared" si="44"/>
        <v>41.041666666627862</v>
      </c>
      <c r="R28" s="7">
        <f t="shared" si="28"/>
        <v>1032.258064516129</v>
      </c>
      <c r="S28" s="6">
        <f t="shared" si="45"/>
        <v>373</v>
      </c>
      <c r="T28" s="7">
        <f t="shared" si="46"/>
        <v>659.25806451612902</v>
      </c>
      <c r="U28" s="7">
        <f t="shared" si="47"/>
        <v>2384.5161290322576</v>
      </c>
      <c r="V28" s="6">
        <f t="shared" si="48"/>
        <v>648</v>
      </c>
      <c r="W28" s="7">
        <f t="shared" si="49"/>
        <v>1736.5161290322576</v>
      </c>
      <c r="X28" s="7">
        <f t="shared" si="50"/>
        <v>14451.612903225805</v>
      </c>
      <c r="Y28" s="7">
        <f t="shared" si="51"/>
        <v>4415</v>
      </c>
      <c r="Z28" s="7">
        <f t="shared" si="52"/>
        <v>10036.612903225805</v>
      </c>
      <c r="AA28" s="24">
        <f t="shared" si="53"/>
        <v>0.9855970986031789</v>
      </c>
      <c r="AB28" s="1"/>
    </row>
    <row r="29" spans="2:28" ht="18" x14ac:dyDescent="0.25">
      <c r="B29" s="3">
        <v>13</v>
      </c>
      <c r="C29" s="3">
        <f>C30+151</f>
        <v>202423</v>
      </c>
      <c r="D29" s="3">
        <f>D30+84</f>
        <v>481545</v>
      </c>
      <c r="E29" s="3">
        <f>E30+49</f>
        <v>102687</v>
      </c>
      <c r="F29" s="8">
        <f t="shared" si="55"/>
        <v>786655</v>
      </c>
      <c r="G29" s="22">
        <f t="shared" si="18"/>
        <v>786406.5</v>
      </c>
      <c r="H29" s="7">
        <f t="shared" si="19"/>
        <v>786424</v>
      </c>
      <c r="I29" s="3">
        <f>I30+64</f>
        <v>85615</v>
      </c>
      <c r="J29" s="6">
        <f t="shared" si="38"/>
        <v>151</v>
      </c>
      <c r="K29" s="6">
        <f t="shared" si="39"/>
        <v>84</v>
      </c>
      <c r="L29" s="6">
        <f t="shared" si="40"/>
        <v>49</v>
      </c>
      <c r="M29" s="6">
        <f t="shared" si="41"/>
        <v>64</v>
      </c>
      <c r="N29" s="5">
        <f t="shared" si="24"/>
        <v>170.32258064516128</v>
      </c>
      <c r="O29" s="3">
        <f t="shared" si="42"/>
        <v>49</v>
      </c>
      <c r="P29" s="5">
        <f t="shared" si="43"/>
        <v>121.32258064516128</v>
      </c>
      <c r="Q29" s="5">
        <f t="shared" si="44"/>
        <v>17.5</v>
      </c>
      <c r="R29" s="7">
        <f t="shared" si="28"/>
        <v>1032.258064516129</v>
      </c>
      <c r="S29" s="6">
        <f t="shared" si="45"/>
        <v>284</v>
      </c>
      <c r="T29" s="7">
        <f t="shared" si="46"/>
        <v>748.25806451612902</v>
      </c>
      <c r="U29" s="7">
        <f t="shared" si="47"/>
        <v>2214.1935483870961</v>
      </c>
      <c r="V29" s="6">
        <f t="shared" si="48"/>
        <v>601</v>
      </c>
      <c r="W29" s="7">
        <f t="shared" si="49"/>
        <v>1613.1935483870961</v>
      </c>
      <c r="X29" s="7">
        <f t="shared" si="50"/>
        <v>13419.354838709676</v>
      </c>
      <c r="Y29" s="7">
        <f t="shared" si="51"/>
        <v>4042</v>
      </c>
      <c r="Z29" s="7">
        <f t="shared" si="52"/>
        <v>9377.3548387096762</v>
      </c>
      <c r="AA29" s="24">
        <f t="shared" si="53"/>
        <v>0.97553613825028662</v>
      </c>
      <c r="AB29" s="1"/>
    </row>
    <row r="30" spans="2:28" ht="18" x14ac:dyDescent="0.25">
      <c r="B30" s="3">
        <v>12</v>
      </c>
      <c r="C30" s="3">
        <f>C31+151</f>
        <v>202272</v>
      </c>
      <c r="D30" s="3">
        <f>D31+85</f>
        <v>481461</v>
      </c>
      <c r="E30" s="3">
        <f>E31+27</f>
        <v>102638</v>
      </c>
      <c r="F30" s="8">
        <f t="shared" si="55"/>
        <v>786371</v>
      </c>
      <c r="G30" s="22">
        <f t="shared" si="18"/>
        <v>786140.875</v>
      </c>
      <c r="H30" s="7">
        <f t="shared" si="19"/>
        <v>786158.58333333337</v>
      </c>
      <c r="I30" s="3">
        <f>I31+57</f>
        <v>85551</v>
      </c>
      <c r="J30" s="6">
        <f t="shared" si="38"/>
        <v>151</v>
      </c>
      <c r="K30" s="6">
        <f t="shared" si="39"/>
        <v>85</v>
      </c>
      <c r="L30" s="6">
        <f t="shared" si="40"/>
        <v>27</v>
      </c>
      <c r="M30" s="6">
        <f t="shared" si="41"/>
        <v>57</v>
      </c>
      <c r="N30" s="5">
        <f t="shared" si="24"/>
        <v>170.32258064516128</v>
      </c>
      <c r="O30" s="3">
        <f t="shared" si="42"/>
        <v>27</v>
      </c>
      <c r="P30" s="5">
        <f t="shared" si="43"/>
        <v>143.32258064516128</v>
      </c>
      <c r="Q30" s="5">
        <f t="shared" si="44"/>
        <v>17.708333333372138</v>
      </c>
      <c r="R30" s="7">
        <f t="shared" si="28"/>
        <v>1032.258064516129</v>
      </c>
      <c r="S30" s="6">
        <f t="shared" si="45"/>
        <v>263</v>
      </c>
      <c r="T30" s="7">
        <f t="shared" si="46"/>
        <v>769.25806451612902</v>
      </c>
      <c r="U30" s="7">
        <f t="shared" si="47"/>
        <v>2043.8709677419349</v>
      </c>
      <c r="V30" s="6">
        <f t="shared" si="48"/>
        <v>552</v>
      </c>
      <c r="W30" s="7">
        <f t="shared" si="49"/>
        <v>1491.8709677419349</v>
      </c>
      <c r="X30" s="7">
        <f t="shared" si="50"/>
        <v>12387.096774193547</v>
      </c>
      <c r="Y30" s="7">
        <f t="shared" si="51"/>
        <v>3758</v>
      </c>
      <c r="Z30" s="7">
        <f t="shared" si="52"/>
        <v>8629.0967741935474</v>
      </c>
      <c r="AA30" s="24">
        <f t="shared" si="53"/>
        <v>0.9773103210131282</v>
      </c>
      <c r="AB30" s="1"/>
    </row>
    <row r="31" spans="2:28" ht="18" x14ac:dyDescent="0.25">
      <c r="B31" s="3">
        <v>11</v>
      </c>
      <c r="C31" s="3">
        <f>C32+98</f>
        <v>202121</v>
      </c>
      <c r="D31" s="3">
        <f t="shared" ref="D31" si="60">D32+97</f>
        <v>481376</v>
      </c>
      <c r="E31" s="3">
        <f>E32+31</f>
        <v>102611</v>
      </c>
      <c r="F31" s="8">
        <f t="shared" si="55"/>
        <v>786108</v>
      </c>
      <c r="G31" s="22">
        <f t="shared" si="18"/>
        <v>785910.25</v>
      </c>
      <c r="H31" s="7">
        <f t="shared" si="19"/>
        <v>785930.45833333337</v>
      </c>
      <c r="I31" s="3">
        <f>I32+48</f>
        <v>85494</v>
      </c>
      <c r="J31" s="6">
        <f t="shared" si="38"/>
        <v>98</v>
      </c>
      <c r="K31" s="6">
        <f t="shared" si="39"/>
        <v>97</v>
      </c>
      <c r="L31" s="6">
        <f t="shared" si="40"/>
        <v>31</v>
      </c>
      <c r="M31" s="6">
        <f t="shared" si="41"/>
        <v>48</v>
      </c>
      <c r="N31" s="5">
        <f t="shared" si="24"/>
        <v>170.32258064516128</v>
      </c>
      <c r="O31" s="3">
        <f t="shared" si="42"/>
        <v>31</v>
      </c>
      <c r="P31" s="5">
        <f t="shared" si="43"/>
        <v>139.32258064516128</v>
      </c>
      <c r="Q31" s="5">
        <f t="shared" si="44"/>
        <v>20.208333333372138</v>
      </c>
      <c r="R31" s="7">
        <f t="shared" si="28"/>
        <v>1032.258064516129</v>
      </c>
      <c r="S31" s="6">
        <f t="shared" si="45"/>
        <v>226</v>
      </c>
      <c r="T31" s="7">
        <f t="shared" si="46"/>
        <v>806.25806451612902</v>
      </c>
      <c r="U31" s="7">
        <f t="shared" si="47"/>
        <v>1873.5483870967737</v>
      </c>
      <c r="V31" s="6">
        <f t="shared" si="48"/>
        <v>525</v>
      </c>
      <c r="W31" s="7">
        <f t="shared" si="49"/>
        <v>1348.5483870967737</v>
      </c>
      <c r="X31" s="7">
        <f t="shared" si="50"/>
        <v>11354.838709677419</v>
      </c>
      <c r="Y31" s="7">
        <f t="shared" si="51"/>
        <v>3495</v>
      </c>
      <c r="Z31" s="7">
        <f t="shared" si="52"/>
        <v>7859.8387096774186</v>
      </c>
      <c r="AA31" s="24">
        <f t="shared" si="53"/>
        <v>0.97818084573043818</v>
      </c>
      <c r="AB31" s="1"/>
    </row>
    <row r="32" spans="2:28" ht="18" x14ac:dyDescent="0.25">
      <c r="B32" s="3">
        <v>10</v>
      </c>
      <c r="C32" s="3">
        <f t="shared" ref="C32" si="61">C33+100</f>
        <v>202023</v>
      </c>
      <c r="D32" s="3">
        <f>D33+95</f>
        <v>481279</v>
      </c>
      <c r="E32" s="3">
        <f>E33+33</f>
        <v>102580</v>
      </c>
      <c r="F32" s="8">
        <f t="shared" si="55"/>
        <v>785882</v>
      </c>
      <c r="G32" s="22">
        <f t="shared" si="18"/>
        <v>785682.5</v>
      </c>
      <c r="H32" s="7">
        <f t="shared" si="19"/>
        <v>785702.29166666663</v>
      </c>
      <c r="I32" s="3">
        <f>I33+44</f>
        <v>85446</v>
      </c>
      <c r="J32" s="6">
        <f t="shared" si="38"/>
        <v>100</v>
      </c>
      <c r="K32" s="6">
        <f t="shared" si="39"/>
        <v>95</v>
      </c>
      <c r="L32" s="6">
        <f t="shared" si="40"/>
        <v>33</v>
      </c>
      <c r="M32" s="6">
        <f t="shared" si="41"/>
        <v>44</v>
      </c>
      <c r="N32" s="5">
        <f t="shared" si="24"/>
        <v>170.32258064516128</v>
      </c>
      <c r="O32" s="3">
        <f t="shared" si="42"/>
        <v>33</v>
      </c>
      <c r="P32" s="5">
        <f t="shared" si="43"/>
        <v>137.32258064516128</v>
      </c>
      <c r="Q32" s="5">
        <f t="shared" si="44"/>
        <v>19.791666666627862</v>
      </c>
      <c r="R32" s="7">
        <f t="shared" si="28"/>
        <v>1032.258064516129</v>
      </c>
      <c r="S32" s="6">
        <f t="shared" si="45"/>
        <v>228</v>
      </c>
      <c r="T32" s="7">
        <f t="shared" si="46"/>
        <v>804.25806451612902</v>
      </c>
      <c r="U32" s="7">
        <f t="shared" si="47"/>
        <v>1703.2258064516125</v>
      </c>
      <c r="V32" s="6">
        <f t="shared" si="48"/>
        <v>494</v>
      </c>
      <c r="W32" s="7">
        <f t="shared" si="49"/>
        <v>1209.2258064516125</v>
      </c>
      <c r="X32" s="7">
        <f t="shared" si="50"/>
        <v>10322.58064516129</v>
      </c>
      <c r="Y32" s="7">
        <f t="shared" si="51"/>
        <v>3269</v>
      </c>
      <c r="Z32" s="7">
        <f t="shared" si="52"/>
        <v>7053.5806451612898</v>
      </c>
      <c r="AA32" s="24">
        <f t="shared" si="53"/>
        <v>0.98188337163311523</v>
      </c>
      <c r="AB32" s="1"/>
    </row>
    <row r="33" spans="2:28" ht="18" x14ac:dyDescent="0.25">
      <c r="B33" s="3">
        <v>9</v>
      </c>
      <c r="C33" s="3">
        <f>C34+109</f>
        <v>201923</v>
      </c>
      <c r="D33" s="3">
        <f>D34+82</f>
        <v>481184</v>
      </c>
      <c r="E33" s="3">
        <f>E34+38</f>
        <v>102547</v>
      </c>
      <c r="F33" s="8">
        <f t="shared" si="55"/>
        <v>785654</v>
      </c>
      <c r="G33" s="22">
        <f t="shared" si="18"/>
        <v>785453.625</v>
      </c>
      <c r="H33" s="7">
        <f t="shared" si="19"/>
        <v>785470.70833333337</v>
      </c>
      <c r="I33" s="3">
        <f>I34+51</f>
        <v>85402</v>
      </c>
      <c r="J33" s="6">
        <f t="shared" si="38"/>
        <v>109</v>
      </c>
      <c r="K33" s="6">
        <f t="shared" si="39"/>
        <v>82</v>
      </c>
      <c r="L33" s="6">
        <f t="shared" si="40"/>
        <v>38</v>
      </c>
      <c r="M33" s="6">
        <f t="shared" si="41"/>
        <v>51</v>
      </c>
      <c r="N33" s="5">
        <f t="shared" si="24"/>
        <v>170.32258064516128</v>
      </c>
      <c r="O33" s="3">
        <f t="shared" si="42"/>
        <v>38</v>
      </c>
      <c r="P33" s="5">
        <f t="shared" si="43"/>
        <v>132.32258064516128</v>
      </c>
      <c r="Q33" s="5">
        <f t="shared" si="44"/>
        <v>17.083333333372138</v>
      </c>
      <c r="R33" s="7">
        <f t="shared" si="28"/>
        <v>1032.258064516129</v>
      </c>
      <c r="S33" s="6">
        <f t="shared" si="45"/>
        <v>229</v>
      </c>
      <c r="T33" s="7">
        <f t="shared" si="46"/>
        <v>803.25806451612902</v>
      </c>
      <c r="U33" s="7">
        <f t="shared" si="47"/>
        <v>1532.9032258064512</v>
      </c>
      <c r="V33" s="6">
        <f t="shared" si="48"/>
        <v>461</v>
      </c>
      <c r="W33" s="7">
        <f t="shared" si="49"/>
        <v>1071.9032258064512</v>
      </c>
      <c r="X33" s="7">
        <f t="shared" si="50"/>
        <v>9290.322580645161</v>
      </c>
      <c r="Y33" s="7">
        <f t="shared" si="51"/>
        <v>3041</v>
      </c>
      <c r="Z33" s="7">
        <f t="shared" si="52"/>
        <v>6249.322580645161</v>
      </c>
      <c r="AA33" s="24">
        <f t="shared" si="53"/>
        <v>0.97608666439550384</v>
      </c>
      <c r="AB33" s="1"/>
    </row>
    <row r="34" spans="2:28" ht="18" x14ac:dyDescent="0.25">
      <c r="B34" s="3">
        <v>8</v>
      </c>
      <c r="C34" s="3">
        <f>C35+105</f>
        <v>201814</v>
      </c>
      <c r="D34" s="3">
        <f>D35+73</f>
        <v>481102</v>
      </c>
      <c r="E34" s="3">
        <f>E35+43</f>
        <v>102509</v>
      </c>
      <c r="F34" s="8">
        <f t="shared" si="55"/>
        <v>785425</v>
      </c>
      <c r="G34" s="22">
        <f t="shared" si="18"/>
        <v>785231.625</v>
      </c>
      <c r="H34" s="7">
        <f t="shared" si="19"/>
        <v>785246.83333333337</v>
      </c>
      <c r="I34" s="3">
        <f>I35+48</f>
        <v>85351</v>
      </c>
      <c r="J34" s="6">
        <f t="shared" si="38"/>
        <v>105</v>
      </c>
      <c r="K34" s="6">
        <f t="shared" si="39"/>
        <v>73</v>
      </c>
      <c r="L34" s="6">
        <f t="shared" si="40"/>
        <v>43</v>
      </c>
      <c r="M34" s="6">
        <f t="shared" si="41"/>
        <v>48</v>
      </c>
      <c r="N34" s="5">
        <f t="shared" si="24"/>
        <v>170.32258064516128</v>
      </c>
      <c r="O34" s="3">
        <f t="shared" si="42"/>
        <v>43</v>
      </c>
      <c r="P34" s="5">
        <f t="shared" si="43"/>
        <v>127.32258064516128</v>
      </c>
      <c r="Q34" s="5">
        <f t="shared" si="44"/>
        <v>15.208333333372138</v>
      </c>
      <c r="R34" s="7">
        <f t="shared" si="28"/>
        <v>1032.258064516129</v>
      </c>
      <c r="S34" s="6">
        <f t="shared" si="45"/>
        <v>221</v>
      </c>
      <c r="T34" s="7">
        <f t="shared" si="46"/>
        <v>811.25806451612902</v>
      </c>
      <c r="U34" s="7">
        <f t="shared" si="47"/>
        <v>1362.58064516129</v>
      </c>
      <c r="V34" s="6">
        <f t="shared" si="48"/>
        <v>423</v>
      </c>
      <c r="W34" s="7">
        <f t="shared" si="49"/>
        <v>939.58064516129002</v>
      </c>
      <c r="X34" s="7">
        <f t="shared" si="50"/>
        <v>8258.0645161290322</v>
      </c>
      <c r="Y34" s="7">
        <f t="shared" si="51"/>
        <v>2812</v>
      </c>
      <c r="Z34" s="7">
        <f t="shared" si="52"/>
        <v>5446.0645161290322</v>
      </c>
      <c r="AA34" s="24">
        <f t="shared" si="53"/>
        <v>0.97721625455824357</v>
      </c>
      <c r="AB34" s="1"/>
    </row>
    <row r="35" spans="2:28" ht="18" x14ac:dyDescent="0.25">
      <c r="B35" s="3">
        <v>7</v>
      </c>
      <c r="C35" s="3">
        <f>C36+106</f>
        <v>201709</v>
      </c>
      <c r="D35" s="3">
        <f>D36+85</f>
        <v>481029</v>
      </c>
      <c r="E35" s="3">
        <f>E36+37</f>
        <v>102466</v>
      </c>
      <c r="F35" s="8">
        <f t="shared" si="55"/>
        <v>785204</v>
      </c>
      <c r="G35" s="22">
        <f t="shared" si="18"/>
        <v>785004.5</v>
      </c>
      <c r="H35" s="7">
        <f t="shared" si="19"/>
        <v>785022.20833333337</v>
      </c>
      <c r="I35" s="3">
        <f>I36+57</f>
        <v>85303</v>
      </c>
      <c r="J35" s="6">
        <f t="shared" si="38"/>
        <v>106</v>
      </c>
      <c r="K35" s="6">
        <f t="shared" si="39"/>
        <v>85</v>
      </c>
      <c r="L35" s="6">
        <f t="shared" si="40"/>
        <v>37</v>
      </c>
      <c r="M35" s="6">
        <f t="shared" si="41"/>
        <v>57</v>
      </c>
      <c r="N35" s="5">
        <f t="shared" si="24"/>
        <v>170.32258064516128</v>
      </c>
      <c r="O35" s="3">
        <f t="shared" si="42"/>
        <v>37</v>
      </c>
      <c r="P35" s="5">
        <f t="shared" si="43"/>
        <v>133.32258064516128</v>
      </c>
      <c r="Q35" s="5">
        <f t="shared" si="44"/>
        <v>17.708333333372138</v>
      </c>
      <c r="R35" s="7">
        <f t="shared" si="28"/>
        <v>1032.258064516129</v>
      </c>
      <c r="S35" s="6">
        <f t="shared" si="45"/>
        <v>228</v>
      </c>
      <c r="T35" s="7">
        <f t="shared" si="46"/>
        <v>804.25806451612902</v>
      </c>
      <c r="U35" s="7">
        <f t="shared" si="47"/>
        <v>1192.2580645161288</v>
      </c>
      <c r="V35" s="6">
        <f t="shared" si="48"/>
        <v>380</v>
      </c>
      <c r="W35" s="7">
        <f t="shared" si="49"/>
        <v>812.2580645161288</v>
      </c>
      <c r="X35" s="7">
        <f t="shared" si="50"/>
        <v>7225.8064516129025</v>
      </c>
      <c r="Y35" s="7">
        <f t="shared" si="51"/>
        <v>2591</v>
      </c>
      <c r="Z35" s="7">
        <f t="shared" si="52"/>
        <v>4634.8064516129025</v>
      </c>
      <c r="AA35" s="24">
        <f t="shared" si="53"/>
        <v>0.97014250014533188</v>
      </c>
      <c r="AB35" s="1"/>
    </row>
    <row r="36" spans="2:28" ht="18" x14ac:dyDescent="0.25">
      <c r="B36" s="3">
        <v>6</v>
      </c>
      <c r="C36" s="3">
        <f t="shared" ref="C36" si="62">C37+192</f>
        <v>201603</v>
      </c>
      <c r="D36" s="3">
        <f>D37+90</f>
        <v>480944</v>
      </c>
      <c r="E36" s="3">
        <f>E37+29</f>
        <v>102429</v>
      </c>
      <c r="F36" s="8">
        <f t="shared" si="55"/>
        <v>784976</v>
      </c>
      <c r="G36" s="22">
        <f t="shared" si="18"/>
        <v>784703.875</v>
      </c>
      <c r="H36" s="7">
        <f t="shared" si="19"/>
        <v>784722.625</v>
      </c>
      <c r="I36" s="3">
        <f>I37+54</f>
        <v>85246</v>
      </c>
      <c r="J36" s="6">
        <f t="shared" si="38"/>
        <v>192</v>
      </c>
      <c r="K36" s="6">
        <f t="shared" si="39"/>
        <v>90</v>
      </c>
      <c r="L36" s="6">
        <f t="shared" si="40"/>
        <v>29</v>
      </c>
      <c r="M36" s="6">
        <f t="shared" si="41"/>
        <v>54</v>
      </c>
      <c r="N36" s="5">
        <f t="shared" si="24"/>
        <v>170.32258064516128</v>
      </c>
      <c r="O36" s="3">
        <f t="shared" si="42"/>
        <v>29</v>
      </c>
      <c r="P36" s="5">
        <f t="shared" si="43"/>
        <v>141.32258064516128</v>
      </c>
      <c r="Q36" s="5">
        <f t="shared" si="44"/>
        <v>18.75</v>
      </c>
      <c r="R36" s="7">
        <f t="shared" si="28"/>
        <v>1032.258064516129</v>
      </c>
      <c r="S36" s="6">
        <f t="shared" si="45"/>
        <v>311</v>
      </c>
      <c r="T36" s="7">
        <f t="shared" si="46"/>
        <v>721.25806451612902</v>
      </c>
      <c r="U36" s="7">
        <f t="shared" si="47"/>
        <v>1021.9354838709676</v>
      </c>
      <c r="V36" s="6">
        <f t="shared" si="48"/>
        <v>343</v>
      </c>
      <c r="W36" s="7">
        <f t="shared" si="49"/>
        <v>678.93548387096757</v>
      </c>
      <c r="X36" s="7">
        <f t="shared" si="50"/>
        <v>6193.5483870967737</v>
      </c>
      <c r="Y36" s="7">
        <f t="shared" si="51"/>
        <v>2363</v>
      </c>
      <c r="Z36" s="7">
        <f t="shared" si="52"/>
        <v>3830.5483870967737</v>
      </c>
      <c r="AA36" s="24">
        <f t="shared" si="53"/>
        <v>0.98525822176814593</v>
      </c>
      <c r="AB36" s="1"/>
    </row>
    <row r="37" spans="2:28" ht="18" x14ac:dyDescent="0.25">
      <c r="B37" s="3">
        <v>5</v>
      </c>
      <c r="C37" s="3">
        <f>C38+110</f>
        <v>201411</v>
      </c>
      <c r="D37" s="3">
        <f>D38+97</f>
        <v>480854</v>
      </c>
      <c r="E37" s="3">
        <f>E38+48</f>
        <v>102400</v>
      </c>
      <c r="F37" s="8">
        <f t="shared" si="55"/>
        <v>784665</v>
      </c>
      <c r="G37" s="22">
        <f t="shared" si="18"/>
        <v>784441.875</v>
      </c>
      <c r="H37" s="7">
        <f t="shared" si="19"/>
        <v>784462.08333333337</v>
      </c>
      <c r="I37" s="3">
        <f>I38+50</f>
        <v>85192</v>
      </c>
      <c r="J37" s="6">
        <f t="shared" si="38"/>
        <v>110</v>
      </c>
      <c r="K37" s="6">
        <f t="shared" si="39"/>
        <v>97</v>
      </c>
      <c r="L37" s="6">
        <f t="shared" si="40"/>
        <v>48</v>
      </c>
      <c r="M37" s="6">
        <f t="shared" si="41"/>
        <v>50</v>
      </c>
      <c r="N37" s="5">
        <f t="shared" si="24"/>
        <v>170.32258064516128</v>
      </c>
      <c r="O37" s="3">
        <f t="shared" si="42"/>
        <v>48</v>
      </c>
      <c r="P37" s="5">
        <f t="shared" si="43"/>
        <v>122.32258064516128</v>
      </c>
      <c r="Q37" s="5">
        <f t="shared" si="44"/>
        <v>20.208333333372138</v>
      </c>
      <c r="R37" s="7">
        <f t="shared" si="28"/>
        <v>1032.258064516129</v>
      </c>
      <c r="S37" s="6">
        <f t="shared" si="45"/>
        <v>255</v>
      </c>
      <c r="T37" s="7">
        <f t="shared" si="46"/>
        <v>777.25806451612902</v>
      </c>
      <c r="U37" s="7">
        <f t="shared" si="47"/>
        <v>851.61290322580635</v>
      </c>
      <c r="V37" s="6">
        <f t="shared" si="48"/>
        <v>314</v>
      </c>
      <c r="W37" s="7">
        <f t="shared" si="49"/>
        <v>537.61290322580635</v>
      </c>
      <c r="X37" s="7">
        <f t="shared" si="50"/>
        <v>5161.2903225806449</v>
      </c>
      <c r="Y37" s="7">
        <f t="shared" si="51"/>
        <v>2052</v>
      </c>
      <c r="Z37" s="7">
        <f t="shared" si="52"/>
        <v>3109.2903225806449</v>
      </c>
      <c r="AA37" s="24">
        <f t="shared" si="53"/>
        <v>0.98131374967715723</v>
      </c>
      <c r="AB37" s="1"/>
    </row>
    <row r="38" spans="2:28" ht="18" x14ac:dyDescent="0.25">
      <c r="B38" s="3">
        <v>4</v>
      </c>
      <c r="C38" s="3">
        <f>C39+187</f>
        <v>201301</v>
      </c>
      <c r="D38" s="3">
        <f>D39+111</f>
        <v>480757</v>
      </c>
      <c r="E38" s="3">
        <f>E39+51</f>
        <v>102352</v>
      </c>
      <c r="F38" s="8">
        <f t="shared" si="55"/>
        <v>784410</v>
      </c>
      <c r="G38" s="22">
        <f t="shared" si="18"/>
        <v>784104.625</v>
      </c>
      <c r="H38" s="7">
        <f t="shared" si="19"/>
        <v>784127.75</v>
      </c>
      <c r="I38" s="3">
        <f>I39+62</f>
        <v>85142</v>
      </c>
      <c r="J38" s="6">
        <f t="shared" si="38"/>
        <v>187</v>
      </c>
      <c r="K38" s="6">
        <f t="shared" si="39"/>
        <v>111</v>
      </c>
      <c r="L38" s="6">
        <f t="shared" si="40"/>
        <v>51</v>
      </c>
      <c r="M38" s="6">
        <f t="shared" si="41"/>
        <v>62</v>
      </c>
      <c r="N38" s="5">
        <f t="shared" si="24"/>
        <v>170.32258064516128</v>
      </c>
      <c r="O38" s="3">
        <f t="shared" si="42"/>
        <v>51</v>
      </c>
      <c r="P38" s="5">
        <f t="shared" si="43"/>
        <v>119.32258064516128</v>
      </c>
      <c r="Q38" s="5">
        <f t="shared" si="44"/>
        <v>23.125</v>
      </c>
      <c r="R38" s="7">
        <f t="shared" si="28"/>
        <v>1032.258064516129</v>
      </c>
      <c r="S38" s="6">
        <f t="shared" si="45"/>
        <v>349</v>
      </c>
      <c r="T38" s="7">
        <f t="shared" si="46"/>
        <v>683.25806451612902</v>
      </c>
      <c r="U38" s="7">
        <f t="shared" si="47"/>
        <v>681.29032258064512</v>
      </c>
      <c r="V38" s="6">
        <f t="shared" si="48"/>
        <v>266</v>
      </c>
      <c r="W38" s="7">
        <f t="shared" si="49"/>
        <v>415.29032258064512</v>
      </c>
      <c r="X38" s="7">
        <f t="shared" si="50"/>
        <v>4129.0322580645161</v>
      </c>
      <c r="Y38" s="7">
        <f t="shared" si="51"/>
        <v>1797</v>
      </c>
      <c r="Z38" s="7">
        <f t="shared" si="52"/>
        <v>2332.0322580645161</v>
      </c>
      <c r="AA38" s="24">
        <f t="shared" si="53"/>
        <v>0.9845841080033837</v>
      </c>
      <c r="AB38" s="1"/>
    </row>
    <row r="39" spans="2:28" ht="18" x14ac:dyDescent="0.25">
      <c r="B39" s="3">
        <v>3</v>
      </c>
      <c r="C39" s="3">
        <f>C40+192</f>
        <v>201114</v>
      </c>
      <c r="D39" s="3">
        <f>D40+117</f>
        <v>480646</v>
      </c>
      <c r="E39" s="3">
        <f>E40+53</f>
        <v>102301</v>
      </c>
      <c r="F39" s="8">
        <f t="shared" si="55"/>
        <v>784061</v>
      </c>
      <c r="G39" s="22">
        <f t="shared" si="18"/>
        <v>783744.25</v>
      </c>
      <c r="H39" s="7">
        <f t="shared" si="19"/>
        <v>783768.625</v>
      </c>
      <c r="I39" s="3">
        <f>I40+59</f>
        <v>85080</v>
      </c>
      <c r="J39" s="6">
        <f t="shared" si="38"/>
        <v>192</v>
      </c>
      <c r="K39" s="6">
        <f t="shared" si="39"/>
        <v>117</v>
      </c>
      <c r="L39" s="6">
        <f t="shared" si="40"/>
        <v>53</v>
      </c>
      <c r="M39" s="6">
        <f t="shared" si="41"/>
        <v>59</v>
      </c>
      <c r="N39" s="5">
        <f t="shared" si="24"/>
        <v>170.32258064516128</v>
      </c>
      <c r="O39" s="3">
        <f t="shared" si="42"/>
        <v>53</v>
      </c>
      <c r="P39" s="5">
        <f t="shared" si="43"/>
        <v>117.32258064516128</v>
      </c>
      <c r="Q39" s="5">
        <f t="shared" si="44"/>
        <v>24.375</v>
      </c>
      <c r="R39" s="7">
        <f t="shared" si="28"/>
        <v>1032.258064516129</v>
      </c>
      <c r="S39" s="6">
        <f t="shared" si="45"/>
        <v>362</v>
      </c>
      <c r="T39" s="7">
        <f t="shared" si="46"/>
        <v>670.25806451612902</v>
      </c>
      <c r="U39" s="7">
        <f t="shared" si="47"/>
        <v>510.96774193548384</v>
      </c>
      <c r="V39" s="6">
        <f t="shared" si="48"/>
        <v>215</v>
      </c>
      <c r="W39" s="7">
        <f t="shared" si="49"/>
        <v>295.96774193548384</v>
      </c>
      <c r="X39" s="7">
        <f t="shared" si="50"/>
        <v>3096.7741935483873</v>
      </c>
      <c r="Y39" s="7">
        <f t="shared" si="51"/>
        <v>1448</v>
      </c>
      <c r="Z39" s="7">
        <f t="shared" si="52"/>
        <v>1648.7741935483873</v>
      </c>
      <c r="AA39" s="24">
        <f t="shared" si="53"/>
        <v>0.98697708626705472</v>
      </c>
      <c r="AB39" s="1"/>
    </row>
    <row r="40" spans="2:28" ht="18" x14ac:dyDescent="0.25">
      <c r="B40" s="3">
        <v>2</v>
      </c>
      <c r="C40" s="3">
        <v>200922</v>
      </c>
      <c r="D40" s="3">
        <v>480529</v>
      </c>
      <c r="E40" s="3">
        <v>102248</v>
      </c>
      <c r="F40" s="8">
        <f t="shared" si="55"/>
        <v>783699</v>
      </c>
      <c r="G40" s="22">
        <f t="shared" si="18"/>
        <v>783195.875</v>
      </c>
      <c r="H40" s="7">
        <f t="shared" si="19"/>
        <v>783251.70833333337</v>
      </c>
      <c r="I40" s="3">
        <v>85021</v>
      </c>
      <c r="J40" s="6">
        <f t="shared" si="38"/>
        <v>224</v>
      </c>
      <c r="K40" s="6">
        <f t="shared" si="39"/>
        <v>268</v>
      </c>
      <c r="L40" s="6">
        <f t="shared" si="40"/>
        <v>83</v>
      </c>
      <c r="M40" s="6">
        <f t="shared" si="41"/>
        <v>55</v>
      </c>
      <c r="N40" s="5">
        <f t="shared" si="24"/>
        <v>170.32258064516128</v>
      </c>
      <c r="O40" s="3">
        <f t="shared" si="42"/>
        <v>83</v>
      </c>
      <c r="P40" s="5">
        <f t="shared" si="43"/>
        <v>87.322580645161281</v>
      </c>
      <c r="Q40" s="5">
        <f t="shared" si="44"/>
        <v>55.833333333372138</v>
      </c>
      <c r="R40" s="7">
        <f>R41</f>
        <v>1032.258064516129</v>
      </c>
      <c r="S40" s="6">
        <f t="shared" si="45"/>
        <v>575</v>
      </c>
      <c r="T40" s="7">
        <f t="shared" si="46"/>
        <v>457.25806451612902</v>
      </c>
      <c r="U40" s="7">
        <f t="shared" si="47"/>
        <v>340.64516129032256</v>
      </c>
      <c r="V40" s="6">
        <f t="shared" si="48"/>
        <v>162</v>
      </c>
      <c r="W40" s="7">
        <f t="shared" si="49"/>
        <v>178.64516129032256</v>
      </c>
      <c r="X40" s="7">
        <f t="shared" si="50"/>
        <v>2064.516129032258</v>
      </c>
      <c r="Y40" s="7">
        <f t="shared" si="51"/>
        <v>1086</v>
      </c>
      <c r="Z40" s="7">
        <f t="shared" si="52"/>
        <v>978.51612903225805</v>
      </c>
      <c r="AA40" s="24">
        <f t="shared" si="53"/>
        <v>0.99545648476846327</v>
      </c>
      <c r="AB40" s="1"/>
    </row>
    <row r="41" spans="2:28" ht="18" x14ac:dyDescent="0.25">
      <c r="B41" s="3">
        <v>1</v>
      </c>
      <c r="C41" s="5">
        <f>C42+221</f>
        <v>200698</v>
      </c>
      <c r="D41" s="5">
        <f>D42+211</f>
        <v>480261</v>
      </c>
      <c r="E41" s="5">
        <f>E42+79</f>
        <v>102165</v>
      </c>
      <c r="F41" s="8">
        <f t="shared" si="55"/>
        <v>783124</v>
      </c>
      <c r="G41" s="22">
        <f>(C42+D42+E42)+((S41/24)*3)</f>
        <v>782676.875</v>
      </c>
      <c r="H41" s="7">
        <f>G41+((K41/12)*2.5)</f>
        <v>782720.83333333337</v>
      </c>
      <c r="I41" s="5">
        <f>I42+49</f>
        <v>84966</v>
      </c>
      <c r="J41" s="6">
        <f>C41-C42</f>
        <v>221</v>
      </c>
      <c r="K41" s="6">
        <f>D41-D42</f>
        <v>211</v>
      </c>
      <c r="L41" s="6">
        <f>E41-E42</f>
        <v>79</v>
      </c>
      <c r="M41" s="6">
        <f>I41-I42</f>
        <v>49</v>
      </c>
      <c r="N41" s="43">
        <f>O6/31</f>
        <v>170.32258064516128</v>
      </c>
      <c r="O41" s="3">
        <f t="shared" si="42"/>
        <v>79</v>
      </c>
      <c r="P41" s="5">
        <f t="shared" si="43"/>
        <v>91.322580645161281</v>
      </c>
      <c r="Q41" s="5">
        <f t="shared" si="44"/>
        <v>43.958333333372138</v>
      </c>
      <c r="R41" s="45">
        <f>S6/31</f>
        <v>1032.258064516129</v>
      </c>
      <c r="S41" s="6">
        <f t="shared" si="45"/>
        <v>511</v>
      </c>
      <c r="T41" s="7">
        <f t="shared" si="46"/>
        <v>521.25806451612902</v>
      </c>
      <c r="U41" s="7">
        <f>N41</f>
        <v>170.32258064516128</v>
      </c>
      <c r="V41" s="6">
        <f>O41</f>
        <v>79</v>
      </c>
      <c r="W41" s="7">
        <f t="shared" si="49"/>
        <v>91.322580645161281</v>
      </c>
      <c r="X41" s="7">
        <f>R41</f>
        <v>1032.258064516129</v>
      </c>
      <c r="Y41" s="7">
        <f>S41</f>
        <v>511</v>
      </c>
      <c r="Z41" s="7">
        <f t="shared" si="52"/>
        <v>521.25806451612902</v>
      </c>
      <c r="AA41" s="24">
        <f t="shared" si="53"/>
        <v>0.99543397884926332</v>
      </c>
      <c r="AB41" s="1"/>
    </row>
    <row r="42" spans="2:28" ht="54" x14ac:dyDescent="0.25">
      <c r="B42" s="33" t="s">
        <v>13</v>
      </c>
      <c r="C42" s="3">
        <v>200477</v>
      </c>
      <c r="D42" s="3">
        <v>480050</v>
      </c>
      <c r="E42" s="3">
        <v>102086</v>
      </c>
      <c r="F42" s="9">
        <f>C42+D42+E42</f>
        <v>782613</v>
      </c>
      <c r="G42" s="9">
        <v>782103</v>
      </c>
      <c r="H42" s="9">
        <v>782193</v>
      </c>
      <c r="I42" s="3">
        <v>84917</v>
      </c>
      <c r="J42" s="10"/>
      <c r="K42" s="10"/>
      <c r="L42" s="10"/>
      <c r="M42" s="46">
        <f>SUM(M11:M41)</f>
        <v>1966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9" spans="26:27" ht="18" x14ac:dyDescent="0.25">
      <c r="Z49" s="10" t="s">
        <v>38</v>
      </c>
    </row>
    <row r="50" spans="26:27" ht="18" x14ac:dyDescent="0.25">
      <c r="Z50" s="10" t="s">
        <v>44</v>
      </c>
      <c r="AA50" s="10"/>
    </row>
    <row r="51" spans="26:27" ht="18" x14ac:dyDescent="0.25">
      <c r="Z51" s="10" t="s">
        <v>45</v>
      </c>
      <c r="AA51" s="10"/>
    </row>
    <row r="52" spans="26:27" ht="18" x14ac:dyDescent="0.25">
      <c r="Z52" s="10" t="s">
        <v>12</v>
      </c>
      <c r="AA52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B2:AB54"/>
  <sheetViews>
    <sheetView topLeftCell="G1" zoomScale="70" zoomScaleNormal="70" zoomScaleSheetLayoutView="70" workbookViewId="0">
      <pane ySplit="8" topLeftCell="A9" activePane="bottomLeft" state="frozen"/>
      <selection pane="bottomLeft" activeCell="H14" sqref="H14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'Ciencia A'!N4</f>
        <v>45413</v>
      </c>
    </row>
    <row r="5" spans="2:28" x14ac:dyDescent="0.25">
      <c r="C5" s="61" t="s">
        <v>31</v>
      </c>
      <c r="D5" s="61"/>
      <c r="T5" s="52"/>
      <c r="U5" s="52" t="s">
        <v>42</v>
      </c>
      <c r="V5" s="52" t="s">
        <v>43</v>
      </c>
    </row>
    <row r="6" spans="2:28" ht="18.75" x14ac:dyDescent="0.3">
      <c r="N6" s="13" t="s">
        <v>27</v>
      </c>
      <c r="O6" s="29">
        <f>S6*16.5%</f>
        <v>2145</v>
      </c>
      <c r="P6" s="30" t="s">
        <v>26</v>
      </c>
      <c r="Q6" s="11">
        <f>(S6*8)/100</f>
        <v>1040</v>
      </c>
      <c r="R6" s="13" t="s">
        <v>25</v>
      </c>
      <c r="S6" s="12">
        <v>13000</v>
      </c>
      <c r="T6" s="52" t="s">
        <v>41</v>
      </c>
      <c r="U6" s="52">
        <v>361</v>
      </c>
      <c r="V6" s="51">
        <f>U6/31</f>
        <v>11.64516129032258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247278</v>
      </c>
      <c r="D11" s="7">
        <v>494658</v>
      </c>
      <c r="E11" s="7">
        <v>163634</v>
      </c>
      <c r="F11" s="8">
        <f t="shared" ref="F11" si="0">C11+D11+E11</f>
        <v>905570</v>
      </c>
      <c r="G11" s="22">
        <f t="shared" ref="G11" si="1">(C12+D12+E12)+((S11/24)*9.5)</f>
        <v>905369.41666666663</v>
      </c>
      <c r="H11" s="7">
        <f t="shared" ref="H11" si="2">G11+((K11/12)*2.5)</f>
        <v>905395.66666666663</v>
      </c>
      <c r="I11" s="7">
        <v>290538</v>
      </c>
      <c r="J11" s="6">
        <f t="shared" ref="J11:L11" si="3">C11-C12</f>
        <v>140</v>
      </c>
      <c r="K11" s="6">
        <f t="shared" si="3"/>
        <v>126</v>
      </c>
      <c r="L11" s="6">
        <f t="shared" si="3"/>
        <v>66</v>
      </c>
      <c r="M11" s="6">
        <f t="shared" ref="M11" si="4">I11-I12</f>
        <v>166</v>
      </c>
      <c r="N11" s="5">
        <f t="shared" ref="N11" si="5">N12</f>
        <v>69.193548387096769</v>
      </c>
      <c r="O11" s="23">
        <f t="shared" ref="O11" si="6">L11</f>
        <v>66</v>
      </c>
      <c r="P11" s="5">
        <f t="shared" ref="P11" si="7">N11-O11</f>
        <v>3.1935483870967687</v>
      </c>
      <c r="Q11" s="5">
        <f t="shared" ref="Q11" si="8">H11-G11</f>
        <v>26.25</v>
      </c>
      <c r="R11" s="7">
        <f t="shared" ref="R11" si="9">R12</f>
        <v>419.35483870967744</v>
      </c>
      <c r="S11" s="6">
        <f t="shared" ref="S11" si="10">J11+K11+L11</f>
        <v>332</v>
      </c>
      <c r="T11" s="7">
        <f t="shared" ref="T11" si="11">R11-S11</f>
        <v>87.354838709677438</v>
      </c>
      <c r="U11" s="7">
        <f t="shared" ref="U11:V11" si="12">U12+N11</f>
        <v>2145.0000000000009</v>
      </c>
      <c r="V11" s="7">
        <f t="shared" si="12"/>
        <v>1164</v>
      </c>
      <c r="W11" s="7">
        <f t="shared" ref="W11" si="13">U11-V11</f>
        <v>981.00000000000091</v>
      </c>
      <c r="X11" s="7">
        <f t="shared" ref="X11:Y11" si="14">X12+R11</f>
        <v>13000.000000000004</v>
      </c>
      <c r="Y11" s="7">
        <f t="shared" si="14"/>
        <v>5993</v>
      </c>
      <c r="Z11" s="7">
        <f t="shared" ref="Z11" si="15">X11-Y11</f>
        <v>7007.0000000000036</v>
      </c>
      <c r="AA11" s="24">
        <f t="shared" ref="AA11" si="16">COS(ATAN(M11/S11))</f>
        <v>0.89442719099991586</v>
      </c>
      <c r="AB11" s="25"/>
    </row>
    <row r="12" spans="2:28" ht="18" x14ac:dyDescent="0.25">
      <c r="B12" s="3">
        <v>30</v>
      </c>
      <c r="C12" s="3">
        <v>247138</v>
      </c>
      <c r="D12" s="3">
        <v>494532</v>
      </c>
      <c r="E12" s="3">
        <v>163568</v>
      </c>
      <c r="F12" s="8">
        <f t="shared" ref="F12" si="17">C12+D12+E12</f>
        <v>905238</v>
      </c>
      <c r="G12" s="22">
        <f t="shared" ref="G12" si="18">(C13+D13+E13)+((S12/24)*7.5)</f>
        <v>904949.9375</v>
      </c>
      <c r="H12" s="7">
        <f t="shared" ref="H12" si="19">G12+((K12/12)*2.5)</f>
        <v>904975.97916666663</v>
      </c>
      <c r="I12" s="3">
        <v>290372</v>
      </c>
      <c r="J12" s="6">
        <f t="shared" ref="J12" si="20">C12-C13</f>
        <v>234</v>
      </c>
      <c r="K12" s="6">
        <f t="shared" ref="K12" si="21">D12-D13</f>
        <v>125</v>
      </c>
      <c r="L12" s="6">
        <f t="shared" ref="L12" si="22">E12-E13</f>
        <v>60</v>
      </c>
      <c r="M12" s="6">
        <f t="shared" ref="M12" si="23">I12-I13</f>
        <v>181</v>
      </c>
      <c r="N12" s="5">
        <f t="shared" ref="N12:N40" si="24">N13</f>
        <v>69.193548387096769</v>
      </c>
      <c r="O12" s="23">
        <f t="shared" ref="O12" si="25">L12</f>
        <v>60</v>
      </c>
      <c r="P12" s="5">
        <f t="shared" ref="P12" si="26">N12-O12</f>
        <v>9.1935483870967687</v>
      </c>
      <c r="Q12" s="5">
        <f t="shared" ref="Q12" si="27">H12-G12</f>
        <v>26.041666666627862</v>
      </c>
      <c r="R12" s="7">
        <f t="shared" ref="R12:R39" si="28">R13</f>
        <v>419.35483870967744</v>
      </c>
      <c r="S12" s="6">
        <f t="shared" ref="S12" si="29">J12+K12+L12</f>
        <v>419</v>
      </c>
      <c r="T12" s="7">
        <f t="shared" ref="T12" si="30">R12-S12</f>
        <v>0.35483870967743769</v>
      </c>
      <c r="U12" s="7">
        <f t="shared" ref="U12" si="31">U13+N12</f>
        <v>2075.8064516129043</v>
      </c>
      <c r="V12" s="7">
        <f t="shared" ref="V12" si="32">V13+O12</f>
        <v>1098</v>
      </c>
      <c r="W12" s="7">
        <f t="shared" ref="W12" si="33">U12-V12</f>
        <v>977.80645161290431</v>
      </c>
      <c r="X12" s="7">
        <f t="shared" ref="X12" si="34">X13+R12</f>
        <v>12580.645161290326</v>
      </c>
      <c r="Y12" s="7">
        <f t="shared" ref="Y12" si="35">Y13+S12</f>
        <v>5661</v>
      </c>
      <c r="Z12" s="7">
        <f t="shared" ref="Z12" si="36">X12-Y12</f>
        <v>6919.6451612903256</v>
      </c>
      <c r="AA12" s="24">
        <f t="shared" ref="AA12" si="37">COS(ATAN(M12/S12))</f>
        <v>0.91800797653521893</v>
      </c>
      <c r="AB12" s="25"/>
    </row>
    <row r="13" spans="2:28" ht="18" x14ac:dyDescent="0.25">
      <c r="B13" s="3">
        <v>29</v>
      </c>
      <c r="C13" s="3">
        <v>246904</v>
      </c>
      <c r="D13" s="3">
        <v>494407</v>
      </c>
      <c r="E13" s="3">
        <v>163508</v>
      </c>
      <c r="F13" s="8">
        <f t="shared" ref="F13:F40" si="38">C13+D13+E13</f>
        <v>904819</v>
      </c>
      <c r="G13" s="22">
        <f t="shared" ref="G13:G40" si="39">(C14+D14+E14)+((S13/24)*7.5)</f>
        <v>904668.4375</v>
      </c>
      <c r="H13" s="7">
        <f t="shared" ref="H13:H40" si="40">G13+((K13/12)*2.5)</f>
        <v>904687.60416666663</v>
      </c>
      <c r="I13" s="3">
        <v>290191</v>
      </c>
      <c r="J13" s="6">
        <f t="shared" ref="J13:L41" si="41">C13-C14</f>
        <v>72</v>
      </c>
      <c r="K13" s="6">
        <f t="shared" si="41"/>
        <v>92</v>
      </c>
      <c r="L13" s="6">
        <f t="shared" si="41"/>
        <v>55</v>
      </c>
      <c r="M13" s="6">
        <f>I13-I14</f>
        <v>56</v>
      </c>
      <c r="N13" s="5">
        <f t="shared" si="24"/>
        <v>69.193548387096769</v>
      </c>
      <c r="O13" s="23">
        <f t="shared" ref="O13:O41" si="42">L13</f>
        <v>55</v>
      </c>
      <c r="P13" s="5">
        <f t="shared" ref="P13:P41" si="43">N13-O13</f>
        <v>14.193548387096769</v>
      </c>
      <c r="Q13" s="5">
        <f t="shared" ref="Q13:Q41" si="44">H13-G13</f>
        <v>19.166666666627862</v>
      </c>
      <c r="R13" s="7">
        <f t="shared" si="28"/>
        <v>419.35483870967744</v>
      </c>
      <c r="S13" s="6">
        <f t="shared" ref="S13:S41" si="45">J13+K13+L13</f>
        <v>219</v>
      </c>
      <c r="T13" s="7">
        <f t="shared" ref="T13:T41" si="46">R13-S13</f>
        <v>200.35483870967744</v>
      </c>
      <c r="U13" s="7">
        <f t="shared" ref="U13:V40" si="47">U14+N13</f>
        <v>2006.6129032258075</v>
      </c>
      <c r="V13" s="7">
        <f t="shared" si="47"/>
        <v>1038</v>
      </c>
      <c r="W13" s="7">
        <f t="shared" ref="W13:W41" si="48">U13-V13</f>
        <v>968.61290322580749</v>
      </c>
      <c r="X13" s="7">
        <f t="shared" ref="X13:Y40" si="49">X14+R13</f>
        <v>12161.290322580648</v>
      </c>
      <c r="Y13" s="7">
        <f t="shared" si="49"/>
        <v>5242</v>
      </c>
      <c r="Z13" s="7">
        <f t="shared" ref="Z13:Z41" si="50">X13-Y13</f>
        <v>6919.2903225806476</v>
      </c>
      <c r="AA13" s="24">
        <f t="shared" ref="AA13:AA41" si="51">COS(ATAN(M13/S13))</f>
        <v>0.96882740147427104</v>
      </c>
      <c r="AB13" s="25"/>
    </row>
    <row r="14" spans="2:28" ht="18" x14ac:dyDescent="0.25">
      <c r="B14" s="3">
        <v>28</v>
      </c>
      <c r="C14" s="3">
        <f>C15+64</f>
        <v>246832</v>
      </c>
      <c r="D14" s="3">
        <f>D15+86</f>
        <v>494315</v>
      </c>
      <c r="E14" s="3">
        <f>E15+37</f>
        <v>163453</v>
      </c>
      <c r="F14" s="8">
        <f t="shared" si="38"/>
        <v>904600</v>
      </c>
      <c r="G14" s="22">
        <f t="shared" si="39"/>
        <v>904471.4375</v>
      </c>
      <c r="H14" s="7">
        <f t="shared" si="40"/>
        <v>904489.35416666663</v>
      </c>
      <c r="I14" s="3">
        <f t="shared" ref="I14" si="52">I15+52</f>
        <v>290135</v>
      </c>
      <c r="J14" s="6">
        <f t="shared" si="41"/>
        <v>64</v>
      </c>
      <c r="K14" s="6">
        <f t="shared" si="41"/>
        <v>86</v>
      </c>
      <c r="L14" s="6">
        <f t="shared" si="41"/>
        <v>37</v>
      </c>
      <c r="M14" s="6">
        <f>I14-I15</f>
        <v>52</v>
      </c>
      <c r="N14" s="5">
        <f t="shared" si="24"/>
        <v>69.193548387096769</v>
      </c>
      <c r="O14" s="23">
        <f t="shared" si="42"/>
        <v>37</v>
      </c>
      <c r="P14" s="5">
        <f t="shared" si="43"/>
        <v>32.193548387096769</v>
      </c>
      <c r="Q14" s="5">
        <f t="shared" si="44"/>
        <v>17.916666666627862</v>
      </c>
      <c r="R14" s="7">
        <f t="shared" si="28"/>
        <v>419.35483870967744</v>
      </c>
      <c r="S14" s="6">
        <f t="shared" si="45"/>
        <v>187</v>
      </c>
      <c r="T14" s="7">
        <f t="shared" si="46"/>
        <v>232.35483870967744</v>
      </c>
      <c r="U14" s="7">
        <f t="shared" si="47"/>
        <v>1937.4193548387107</v>
      </c>
      <c r="V14" s="7">
        <f t="shared" si="47"/>
        <v>983</v>
      </c>
      <c r="W14" s="7">
        <f t="shared" si="48"/>
        <v>954.41935483871066</v>
      </c>
      <c r="X14" s="7">
        <f t="shared" si="49"/>
        <v>11741.93548387097</v>
      </c>
      <c r="Y14" s="7">
        <f t="shared" si="49"/>
        <v>5023</v>
      </c>
      <c r="Z14" s="7">
        <f t="shared" si="50"/>
        <v>6718.9354838709696</v>
      </c>
      <c r="AA14" s="24">
        <f t="shared" si="51"/>
        <v>0.96344406056320853</v>
      </c>
      <c r="AB14" s="25"/>
    </row>
    <row r="15" spans="2:28" ht="18" x14ac:dyDescent="0.25">
      <c r="B15" s="3">
        <v>27</v>
      </c>
      <c r="C15" s="3">
        <f>C16+65</f>
        <v>246768</v>
      </c>
      <c r="D15" s="3">
        <f>D16+70</f>
        <v>494229</v>
      </c>
      <c r="E15" s="3">
        <f>E16+51</f>
        <v>163416</v>
      </c>
      <c r="F15" s="8">
        <f t="shared" si="38"/>
        <v>904413</v>
      </c>
      <c r="G15" s="22">
        <f t="shared" si="39"/>
        <v>904285.125</v>
      </c>
      <c r="H15" s="7">
        <f t="shared" si="40"/>
        <v>904299.70833333337</v>
      </c>
      <c r="I15" s="3">
        <f>I16+51</f>
        <v>290083</v>
      </c>
      <c r="J15" s="6">
        <f t="shared" si="41"/>
        <v>65</v>
      </c>
      <c r="K15" s="6">
        <f t="shared" si="41"/>
        <v>70</v>
      </c>
      <c r="L15" s="6">
        <f t="shared" si="41"/>
        <v>51</v>
      </c>
      <c r="M15" s="6">
        <f t="shared" ref="M15:M41" si="53">I15-I16</f>
        <v>51</v>
      </c>
      <c r="N15" s="5">
        <f t="shared" si="24"/>
        <v>69.193548387096769</v>
      </c>
      <c r="O15" s="23">
        <f t="shared" si="42"/>
        <v>51</v>
      </c>
      <c r="P15" s="5">
        <f t="shared" si="43"/>
        <v>18.193548387096769</v>
      </c>
      <c r="Q15" s="5">
        <f t="shared" si="44"/>
        <v>14.583333333372138</v>
      </c>
      <c r="R15" s="7">
        <f t="shared" si="28"/>
        <v>419.35483870967744</v>
      </c>
      <c r="S15" s="6">
        <f t="shared" si="45"/>
        <v>186</v>
      </c>
      <c r="T15" s="7">
        <f t="shared" si="46"/>
        <v>233.35483870967744</v>
      </c>
      <c r="U15" s="7">
        <f t="shared" si="47"/>
        <v>1868.2258064516138</v>
      </c>
      <c r="V15" s="7">
        <f t="shared" si="47"/>
        <v>946</v>
      </c>
      <c r="W15" s="7">
        <f t="shared" si="48"/>
        <v>922.22580645161383</v>
      </c>
      <c r="X15" s="7">
        <f t="shared" si="49"/>
        <v>11322.580645161292</v>
      </c>
      <c r="Y15" s="7">
        <f t="shared" si="49"/>
        <v>4836</v>
      </c>
      <c r="Z15" s="7">
        <f t="shared" si="50"/>
        <v>6486.5806451612916</v>
      </c>
      <c r="AA15" s="24">
        <f t="shared" si="51"/>
        <v>0.96440396413996299</v>
      </c>
      <c r="AB15" s="25"/>
    </row>
    <row r="16" spans="2:28" ht="18" x14ac:dyDescent="0.25">
      <c r="B16" s="3">
        <v>26</v>
      </c>
      <c r="C16" s="3">
        <f>C17+60</f>
        <v>246703</v>
      </c>
      <c r="D16" s="3">
        <f>D17+78</f>
        <v>494159</v>
      </c>
      <c r="E16" s="3">
        <f>E17+41</f>
        <v>163365</v>
      </c>
      <c r="F16" s="8">
        <f t="shared" si="38"/>
        <v>904227</v>
      </c>
      <c r="G16" s="22">
        <f t="shared" si="39"/>
        <v>904103.9375</v>
      </c>
      <c r="H16" s="7">
        <f t="shared" si="40"/>
        <v>904120.1875</v>
      </c>
      <c r="I16" s="3">
        <f>I17+53</f>
        <v>290032</v>
      </c>
      <c r="J16" s="6">
        <f t="shared" si="41"/>
        <v>60</v>
      </c>
      <c r="K16" s="6">
        <f t="shared" si="41"/>
        <v>78</v>
      </c>
      <c r="L16" s="6">
        <f t="shared" si="41"/>
        <v>41</v>
      </c>
      <c r="M16" s="6">
        <f t="shared" si="53"/>
        <v>53</v>
      </c>
      <c r="N16" s="5">
        <f t="shared" si="24"/>
        <v>69.193548387096769</v>
      </c>
      <c r="O16" s="23">
        <f t="shared" si="42"/>
        <v>41</v>
      </c>
      <c r="P16" s="5">
        <f t="shared" si="43"/>
        <v>28.193548387096769</v>
      </c>
      <c r="Q16" s="5">
        <f t="shared" si="44"/>
        <v>16.25</v>
      </c>
      <c r="R16" s="7">
        <f t="shared" si="28"/>
        <v>419.35483870967744</v>
      </c>
      <c r="S16" s="6">
        <f t="shared" si="45"/>
        <v>179</v>
      </c>
      <c r="T16" s="7">
        <f t="shared" si="46"/>
        <v>240.35483870967744</v>
      </c>
      <c r="U16" s="7">
        <f t="shared" si="47"/>
        <v>1799.032258064517</v>
      </c>
      <c r="V16" s="7">
        <f t="shared" si="47"/>
        <v>895</v>
      </c>
      <c r="W16" s="7">
        <f t="shared" si="48"/>
        <v>904.03225806451701</v>
      </c>
      <c r="X16" s="7">
        <f t="shared" si="49"/>
        <v>10903.225806451614</v>
      </c>
      <c r="Y16" s="7">
        <f t="shared" si="49"/>
        <v>4650</v>
      </c>
      <c r="Z16" s="7">
        <f t="shared" si="50"/>
        <v>6253.2258064516136</v>
      </c>
      <c r="AA16" s="24">
        <f t="shared" si="51"/>
        <v>0.95885213536998848</v>
      </c>
      <c r="AB16" s="25"/>
    </row>
    <row r="17" spans="2:28" ht="18" x14ac:dyDescent="0.25">
      <c r="B17" s="3">
        <v>25</v>
      </c>
      <c r="C17" s="3">
        <f>C18+63</f>
        <v>246643</v>
      </c>
      <c r="D17" s="3">
        <f>D18+75</f>
        <v>494081</v>
      </c>
      <c r="E17" s="3">
        <f>E18+40</f>
        <v>163324</v>
      </c>
      <c r="F17" s="8">
        <f t="shared" si="38"/>
        <v>904048</v>
      </c>
      <c r="G17" s="22">
        <f t="shared" si="39"/>
        <v>903925.625</v>
      </c>
      <c r="H17" s="7">
        <f t="shared" si="40"/>
        <v>903941.25</v>
      </c>
      <c r="I17" s="3">
        <f>I18+49</f>
        <v>289979</v>
      </c>
      <c r="J17" s="6">
        <f t="shared" si="41"/>
        <v>63</v>
      </c>
      <c r="K17" s="6">
        <f t="shared" si="41"/>
        <v>75</v>
      </c>
      <c r="L17" s="6">
        <f t="shared" si="41"/>
        <v>40</v>
      </c>
      <c r="M17" s="6">
        <f t="shared" si="53"/>
        <v>49</v>
      </c>
      <c r="N17" s="5">
        <f t="shared" si="24"/>
        <v>69.193548387096769</v>
      </c>
      <c r="O17" s="23">
        <f t="shared" si="42"/>
        <v>40</v>
      </c>
      <c r="P17" s="5">
        <f t="shared" si="43"/>
        <v>29.193548387096769</v>
      </c>
      <c r="Q17" s="5">
        <f t="shared" si="44"/>
        <v>15.625</v>
      </c>
      <c r="R17" s="7">
        <f t="shared" si="28"/>
        <v>419.35483870967744</v>
      </c>
      <c r="S17" s="6">
        <f t="shared" si="45"/>
        <v>178</v>
      </c>
      <c r="T17" s="7">
        <f t="shared" si="46"/>
        <v>241.35483870967744</v>
      </c>
      <c r="U17" s="7">
        <f t="shared" si="47"/>
        <v>1729.8387096774202</v>
      </c>
      <c r="V17" s="7">
        <f t="shared" si="47"/>
        <v>854</v>
      </c>
      <c r="W17" s="7">
        <f t="shared" si="48"/>
        <v>875.83870967742018</v>
      </c>
      <c r="X17" s="7">
        <f t="shared" si="49"/>
        <v>10483.870967741936</v>
      </c>
      <c r="Y17" s="7">
        <f t="shared" si="49"/>
        <v>4471</v>
      </c>
      <c r="Z17" s="7">
        <f t="shared" si="50"/>
        <v>6012.8709677419356</v>
      </c>
      <c r="AA17" s="24">
        <f t="shared" si="51"/>
        <v>0.96413611943499888</v>
      </c>
      <c r="AB17" s="25"/>
    </row>
    <row r="18" spans="2:28" ht="18" x14ac:dyDescent="0.25">
      <c r="B18" s="3">
        <v>24</v>
      </c>
      <c r="C18" s="3">
        <f t="shared" ref="C18" si="54">C19+66</f>
        <v>246580</v>
      </c>
      <c r="D18" s="3">
        <f>D19+71</f>
        <v>494006</v>
      </c>
      <c r="E18" s="3">
        <f>E19+47</f>
        <v>163284</v>
      </c>
      <c r="F18" s="8">
        <f t="shared" si="38"/>
        <v>903870</v>
      </c>
      <c r="G18" s="22">
        <f t="shared" si="39"/>
        <v>903743.5</v>
      </c>
      <c r="H18" s="7">
        <f t="shared" si="40"/>
        <v>903758.29166666663</v>
      </c>
      <c r="I18" s="3">
        <f>I19+50</f>
        <v>289930</v>
      </c>
      <c r="J18" s="6">
        <f t="shared" si="41"/>
        <v>66</v>
      </c>
      <c r="K18" s="6">
        <f t="shared" si="41"/>
        <v>71</v>
      </c>
      <c r="L18" s="6">
        <f t="shared" si="41"/>
        <v>47</v>
      </c>
      <c r="M18" s="6">
        <f t="shared" si="53"/>
        <v>50</v>
      </c>
      <c r="N18" s="5">
        <f t="shared" si="24"/>
        <v>69.193548387096769</v>
      </c>
      <c r="O18" s="23">
        <f t="shared" si="42"/>
        <v>47</v>
      </c>
      <c r="P18" s="5">
        <f t="shared" si="43"/>
        <v>22.193548387096769</v>
      </c>
      <c r="Q18" s="5">
        <f t="shared" si="44"/>
        <v>14.791666666627862</v>
      </c>
      <c r="R18" s="7">
        <f t="shared" si="28"/>
        <v>419.35483870967744</v>
      </c>
      <c r="S18" s="6">
        <f t="shared" si="45"/>
        <v>184</v>
      </c>
      <c r="T18" s="7">
        <f t="shared" si="46"/>
        <v>235.35483870967744</v>
      </c>
      <c r="U18" s="7">
        <f t="shared" si="47"/>
        <v>1660.6451612903234</v>
      </c>
      <c r="V18" s="7">
        <f t="shared" si="47"/>
        <v>814</v>
      </c>
      <c r="W18" s="7">
        <f t="shared" si="48"/>
        <v>846.64516129032336</v>
      </c>
      <c r="X18" s="7">
        <f t="shared" si="49"/>
        <v>10064.516129032258</v>
      </c>
      <c r="Y18" s="7">
        <f t="shared" si="49"/>
        <v>4293</v>
      </c>
      <c r="Z18" s="7">
        <f t="shared" si="50"/>
        <v>5771.5161290322576</v>
      </c>
      <c r="AA18" s="24">
        <f t="shared" si="51"/>
        <v>0.96500547121116786</v>
      </c>
      <c r="AB18" s="25"/>
    </row>
    <row r="19" spans="2:28" ht="18" x14ac:dyDescent="0.25">
      <c r="B19" s="3">
        <v>23</v>
      </c>
      <c r="C19" s="3">
        <f>C20+72</f>
        <v>246514</v>
      </c>
      <c r="D19" s="3">
        <f>D20+74</f>
        <v>493935</v>
      </c>
      <c r="E19" s="3">
        <f>E20+42</f>
        <v>163237</v>
      </c>
      <c r="F19" s="8">
        <f t="shared" si="38"/>
        <v>903686</v>
      </c>
      <c r="G19" s="22">
        <f t="shared" si="39"/>
        <v>903556.75</v>
      </c>
      <c r="H19" s="7">
        <f t="shared" si="40"/>
        <v>903572.16666666663</v>
      </c>
      <c r="I19" s="3">
        <f>I20+54</f>
        <v>289880</v>
      </c>
      <c r="J19" s="7">
        <f>C19-C20</f>
        <v>72</v>
      </c>
      <c r="K19" s="6">
        <f t="shared" si="41"/>
        <v>74</v>
      </c>
      <c r="L19" s="6">
        <f t="shared" si="41"/>
        <v>42</v>
      </c>
      <c r="M19" s="6">
        <f t="shared" si="53"/>
        <v>54</v>
      </c>
      <c r="N19" s="5">
        <f t="shared" si="24"/>
        <v>69.193548387096769</v>
      </c>
      <c r="O19" s="3">
        <f t="shared" si="42"/>
        <v>42</v>
      </c>
      <c r="P19" s="5">
        <f t="shared" si="43"/>
        <v>27.193548387096769</v>
      </c>
      <c r="Q19" s="5">
        <f t="shared" si="44"/>
        <v>15.416666666627862</v>
      </c>
      <c r="R19" s="7">
        <f t="shared" si="28"/>
        <v>419.35483870967744</v>
      </c>
      <c r="S19" s="6">
        <f t="shared" si="45"/>
        <v>188</v>
      </c>
      <c r="T19" s="7">
        <f t="shared" si="46"/>
        <v>231.35483870967744</v>
      </c>
      <c r="U19" s="7">
        <f t="shared" si="47"/>
        <v>1591.4516129032265</v>
      </c>
      <c r="V19" s="7">
        <f t="shared" si="47"/>
        <v>767</v>
      </c>
      <c r="W19" s="7">
        <f t="shared" si="48"/>
        <v>824.45161290322653</v>
      </c>
      <c r="X19" s="7">
        <f t="shared" si="49"/>
        <v>9645.1612903225796</v>
      </c>
      <c r="Y19" s="7">
        <f t="shared" si="49"/>
        <v>4109</v>
      </c>
      <c r="Z19" s="7">
        <f t="shared" si="50"/>
        <v>5536.1612903225796</v>
      </c>
      <c r="AA19" s="24">
        <f t="shared" si="51"/>
        <v>0.96113715538881184</v>
      </c>
      <c r="AB19" s="1"/>
    </row>
    <row r="20" spans="2:28" ht="18" x14ac:dyDescent="0.25">
      <c r="B20" s="3">
        <v>22</v>
      </c>
      <c r="C20" s="3">
        <f>C21+69</f>
        <v>246442</v>
      </c>
      <c r="D20" s="3">
        <f>D21+77</f>
        <v>493861</v>
      </c>
      <c r="E20" s="3">
        <f>E21+44</f>
        <v>163195</v>
      </c>
      <c r="F20" s="8">
        <f t="shared" si="38"/>
        <v>903498</v>
      </c>
      <c r="G20" s="22">
        <f t="shared" si="39"/>
        <v>903367.375</v>
      </c>
      <c r="H20" s="7">
        <f t="shared" si="40"/>
        <v>903383.41666666663</v>
      </c>
      <c r="I20" s="3">
        <f>I21+52</f>
        <v>289826</v>
      </c>
      <c r="J20" s="6">
        <f t="shared" si="41"/>
        <v>69</v>
      </c>
      <c r="K20" s="6">
        <f t="shared" si="41"/>
        <v>77</v>
      </c>
      <c r="L20" s="6">
        <f t="shared" si="41"/>
        <v>44</v>
      </c>
      <c r="M20" s="6">
        <f t="shared" si="53"/>
        <v>52</v>
      </c>
      <c r="N20" s="5">
        <f t="shared" si="24"/>
        <v>69.193548387096769</v>
      </c>
      <c r="O20" s="3">
        <f t="shared" si="42"/>
        <v>44</v>
      </c>
      <c r="P20" s="5">
        <f t="shared" si="43"/>
        <v>25.193548387096769</v>
      </c>
      <c r="Q20" s="5">
        <f t="shared" si="44"/>
        <v>16.041666666627862</v>
      </c>
      <c r="R20" s="7">
        <f t="shared" si="28"/>
        <v>419.35483870967744</v>
      </c>
      <c r="S20" s="6">
        <f t="shared" si="45"/>
        <v>190</v>
      </c>
      <c r="T20" s="7">
        <f t="shared" si="46"/>
        <v>229.35483870967744</v>
      </c>
      <c r="U20" s="7">
        <f t="shared" si="47"/>
        <v>1522.2580645161297</v>
      </c>
      <c r="V20" s="7">
        <f t="shared" si="47"/>
        <v>725</v>
      </c>
      <c r="W20" s="7">
        <f t="shared" si="48"/>
        <v>797.25806451612971</v>
      </c>
      <c r="X20" s="7">
        <f t="shared" si="49"/>
        <v>9225.8064516129016</v>
      </c>
      <c r="Y20" s="7">
        <f t="shared" si="49"/>
        <v>3921</v>
      </c>
      <c r="Z20" s="7">
        <f t="shared" si="50"/>
        <v>5304.8064516129016</v>
      </c>
      <c r="AA20" s="24">
        <f t="shared" si="51"/>
        <v>0.96452914016134816</v>
      </c>
      <c r="AB20" s="1"/>
    </row>
    <row r="21" spans="2:28" ht="18" x14ac:dyDescent="0.25">
      <c r="B21" s="3">
        <v>21</v>
      </c>
      <c r="C21" s="3">
        <v>246373</v>
      </c>
      <c r="D21" s="3">
        <v>493784</v>
      </c>
      <c r="E21" s="3">
        <v>163151</v>
      </c>
      <c r="F21" s="8">
        <f t="shared" si="38"/>
        <v>903308</v>
      </c>
      <c r="G21" s="22">
        <f t="shared" si="39"/>
        <v>903206.9375</v>
      </c>
      <c r="H21" s="7">
        <f t="shared" si="40"/>
        <v>903215.27083333337</v>
      </c>
      <c r="I21" s="3">
        <v>289774</v>
      </c>
      <c r="J21" s="6">
        <f t="shared" si="41"/>
        <v>75</v>
      </c>
      <c r="K21" s="6">
        <f t="shared" si="41"/>
        <v>40</v>
      </c>
      <c r="L21" s="6">
        <f t="shared" si="41"/>
        <v>32</v>
      </c>
      <c r="M21" s="6">
        <f t="shared" si="53"/>
        <v>58</v>
      </c>
      <c r="N21" s="5">
        <f t="shared" si="24"/>
        <v>69.193548387096769</v>
      </c>
      <c r="O21" s="3">
        <f t="shared" si="42"/>
        <v>32</v>
      </c>
      <c r="P21" s="5">
        <f t="shared" si="43"/>
        <v>37.193548387096769</v>
      </c>
      <c r="Q21" s="5">
        <f t="shared" si="44"/>
        <v>8.3333333333721384</v>
      </c>
      <c r="R21" s="7">
        <f t="shared" si="28"/>
        <v>419.35483870967744</v>
      </c>
      <c r="S21" s="6">
        <f t="shared" si="45"/>
        <v>147</v>
      </c>
      <c r="T21" s="7">
        <f t="shared" si="46"/>
        <v>272.35483870967744</v>
      </c>
      <c r="U21" s="7">
        <f t="shared" si="47"/>
        <v>1453.0645161290329</v>
      </c>
      <c r="V21" s="7">
        <f t="shared" si="47"/>
        <v>681</v>
      </c>
      <c r="W21" s="7">
        <f t="shared" si="48"/>
        <v>772.06451612903288</v>
      </c>
      <c r="X21" s="7">
        <f t="shared" si="49"/>
        <v>8806.4516129032236</v>
      </c>
      <c r="Y21" s="7">
        <f t="shared" si="49"/>
        <v>3731</v>
      </c>
      <c r="Z21" s="7">
        <f t="shared" si="50"/>
        <v>5075.4516129032236</v>
      </c>
      <c r="AA21" s="24">
        <f t="shared" si="51"/>
        <v>0.93021208231216068</v>
      </c>
      <c r="AB21" s="1"/>
    </row>
    <row r="22" spans="2:28" ht="18" x14ac:dyDescent="0.25">
      <c r="B22" s="3">
        <v>20</v>
      </c>
      <c r="C22" s="3">
        <f>C23+70</f>
        <v>246298</v>
      </c>
      <c r="D22" s="3">
        <f>D23+36</f>
        <v>493744</v>
      </c>
      <c r="E22" s="3">
        <f>E23+29</f>
        <v>163119</v>
      </c>
      <c r="F22" s="8">
        <f t="shared" si="38"/>
        <v>903161</v>
      </c>
      <c r="G22" s="22">
        <f t="shared" si="39"/>
        <v>903068.1875</v>
      </c>
      <c r="H22" s="7">
        <f t="shared" si="40"/>
        <v>903075.6875</v>
      </c>
      <c r="I22" s="3">
        <f>I23+54</f>
        <v>289716</v>
      </c>
      <c r="J22" s="6">
        <f t="shared" si="41"/>
        <v>70</v>
      </c>
      <c r="K22" s="6">
        <f t="shared" si="41"/>
        <v>36</v>
      </c>
      <c r="L22" s="6">
        <f t="shared" si="41"/>
        <v>29</v>
      </c>
      <c r="M22" s="6">
        <f t="shared" si="53"/>
        <v>54</v>
      </c>
      <c r="N22" s="5">
        <f t="shared" si="24"/>
        <v>69.193548387096769</v>
      </c>
      <c r="O22" s="3">
        <f t="shared" si="42"/>
        <v>29</v>
      </c>
      <c r="P22" s="5">
        <f t="shared" si="43"/>
        <v>40.193548387096769</v>
      </c>
      <c r="Q22" s="5">
        <f t="shared" si="44"/>
        <v>7.5</v>
      </c>
      <c r="R22" s="7">
        <f t="shared" si="28"/>
        <v>419.35483870967744</v>
      </c>
      <c r="S22" s="6">
        <f t="shared" si="45"/>
        <v>135</v>
      </c>
      <c r="T22" s="7">
        <f t="shared" si="46"/>
        <v>284.35483870967744</v>
      </c>
      <c r="U22" s="7">
        <f t="shared" si="47"/>
        <v>1383.8709677419361</v>
      </c>
      <c r="V22" s="7">
        <f t="shared" si="47"/>
        <v>649</v>
      </c>
      <c r="W22" s="7">
        <f t="shared" si="48"/>
        <v>734.87096774193606</v>
      </c>
      <c r="X22" s="7">
        <f t="shared" si="49"/>
        <v>8387.0967741935456</v>
      </c>
      <c r="Y22" s="7">
        <f t="shared" si="49"/>
        <v>3584</v>
      </c>
      <c r="Z22" s="7">
        <f t="shared" si="50"/>
        <v>4803.0967741935456</v>
      </c>
      <c r="AA22" s="24">
        <f t="shared" si="51"/>
        <v>0.9284766908852593</v>
      </c>
      <c r="AB22" s="1"/>
    </row>
    <row r="23" spans="2:28" ht="18" x14ac:dyDescent="0.25">
      <c r="B23" s="3">
        <v>19</v>
      </c>
      <c r="C23" s="3">
        <f>C24+71</f>
        <v>246228</v>
      </c>
      <c r="D23" s="3">
        <f>D24+37</f>
        <v>493708</v>
      </c>
      <c r="E23" s="3">
        <f>E24+31</f>
        <v>163090</v>
      </c>
      <c r="F23" s="8">
        <f t="shared" si="38"/>
        <v>903026</v>
      </c>
      <c r="G23" s="22">
        <f t="shared" si="39"/>
        <v>902930.4375</v>
      </c>
      <c r="H23" s="7">
        <f t="shared" si="40"/>
        <v>902938.14583333337</v>
      </c>
      <c r="I23" s="3">
        <f>I24+55</f>
        <v>289662</v>
      </c>
      <c r="J23" s="6">
        <f t="shared" si="41"/>
        <v>71</v>
      </c>
      <c r="K23" s="6">
        <f t="shared" si="41"/>
        <v>37</v>
      </c>
      <c r="L23" s="6">
        <f t="shared" si="41"/>
        <v>31</v>
      </c>
      <c r="M23" s="6">
        <f t="shared" si="53"/>
        <v>55</v>
      </c>
      <c r="N23" s="5">
        <f t="shared" si="24"/>
        <v>69.193548387096769</v>
      </c>
      <c r="O23" s="3">
        <f t="shared" si="42"/>
        <v>31</v>
      </c>
      <c r="P23" s="5">
        <f t="shared" si="43"/>
        <v>38.193548387096769</v>
      </c>
      <c r="Q23" s="5">
        <v>9</v>
      </c>
      <c r="R23" s="7">
        <f t="shared" si="28"/>
        <v>419.35483870967744</v>
      </c>
      <c r="S23" s="6">
        <f t="shared" si="45"/>
        <v>139</v>
      </c>
      <c r="T23" s="7">
        <f t="shared" si="46"/>
        <v>280.35483870967744</v>
      </c>
      <c r="U23" s="7">
        <f t="shared" si="47"/>
        <v>1314.6774193548392</v>
      </c>
      <c r="V23" s="7">
        <f t="shared" si="47"/>
        <v>620</v>
      </c>
      <c r="W23" s="7">
        <f t="shared" si="48"/>
        <v>694.67741935483923</v>
      </c>
      <c r="X23" s="7">
        <f t="shared" si="49"/>
        <v>7967.7419354838685</v>
      </c>
      <c r="Y23" s="7">
        <f t="shared" si="49"/>
        <v>3449</v>
      </c>
      <c r="Z23" s="7">
        <f t="shared" si="50"/>
        <v>4518.7419354838685</v>
      </c>
      <c r="AA23" s="24">
        <f t="shared" si="51"/>
        <v>0.92985429846765255</v>
      </c>
      <c r="AB23" s="1"/>
    </row>
    <row r="24" spans="2:28" ht="18" x14ac:dyDescent="0.25">
      <c r="B24" s="3">
        <v>18</v>
      </c>
      <c r="C24" s="3">
        <f>C25+59</f>
        <v>246157</v>
      </c>
      <c r="D24" s="3">
        <f>D25+40</f>
        <v>493671</v>
      </c>
      <c r="E24" s="3">
        <f>E25+33</f>
        <v>163059</v>
      </c>
      <c r="F24" s="8">
        <f t="shared" si="38"/>
        <v>902887</v>
      </c>
      <c r="G24" s="22">
        <f t="shared" si="39"/>
        <v>902796.25</v>
      </c>
      <c r="H24" s="7">
        <f>G24+((K24/12)*2.5)</f>
        <v>902804.58333333337</v>
      </c>
      <c r="I24" s="3">
        <f>I25+58</f>
        <v>289607</v>
      </c>
      <c r="J24" s="6">
        <f t="shared" si="41"/>
        <v>59</v>
      </c>
      <c r="K24" s="6">
        <f t="shared" si="41"/>
        <v>40</v>
      </c>
      <c r="L24" s="6">
        <f t="shared" si="41"/>
        <v>33</v>
      </c>
      <c r="M24" s="6">
        <f t="shared" si="53"/>
        <v>58</v>
      </c>
      <c r="N24" s="5">
        <f t="shared" si="24"/>
        <v>69.193548387096769</v>
      </c>
      <c r="O24" s="3">
        <f t="shared" si="42"/>
        <v>33</v>
      </c>
      <c r="P24" s="5">
        <f t="shared" si="43"/>
        <v>36.193548387096769</v>
      </c>
      <c r="Q24" s="5">
        <v>7</v>
      </c>
      <c r="R24" s="7">
        <f t="shared" si="28"/>
        <v>419.35483870967744</v>
      </c>
      <c r="S24" s="6">
        <f t="shared" si="45"/>
        <v>132</v>
      </c>
      <c r="T24" s="7">
        <f t="shared" si="46"/>
        <v>287.35483870967744</v>
      </c>
      <c r="U24" s="7">
        <f t="shared" si="47"/>
        <v>1245.4838709677424</v>
      </c>
      <c r="V24" s="7">
        <f t="shared" si="47"/>
        <v>589</v>
      </c>
      <c r="W24" s="7">
        <f t="shared" si="48"/>
        <v>656.4838709677424</v>
      </c>
      <c r="X24" s="7">
        <f t="shared" si="49"/>
        <v>7548.3870967741914</v>
      </c>
      <c r="Y24" s="7">
        <f t="shared" si="49"/>
        <v>3310</v>
      </c>
      <c r="Z24" s="7">
        <f t="shared" si="50"/>
        <v>4238.3870967741914</v>
      </c>
      <c r="AA24" s="24">
        <f t="shared" si="51"/>
        <v>0.91551945402303248</v>
      </c>
      <c r="AB24" s="1"/>
    </row>
    <row r="25" spans="2:28" ht="18" x14ac:dyDescent="0.25">
      <c r="B25" s="3">
        <v>17</v>
      </c>
      <c r="C25" s="3">
        <f>C26+64</f>
        <v>246098</v>
      </c>
      <c r="D25" s="3">
        <f t="shared" ref="D25" si="55">D26+41</f>
        <v>493631</v>
      </c>
      <c r="E25" s="3">
        <f>E26+24</f>
        <v>163026</v>
      </c>
      <c r="F25" s="8">
        <f t="shared" si="38"/>
        <v>902755</v>
      </c>
      <c r="G25" s="22">
        <f t="shared" si="39"/>
        <v>902666.3125</v>
      </c>
      <c r="H25" s="7">
        <f t="shared" si="40"/>
        <v>902674.85416666663</v>
      </c>
      <c r="I25" s="3">
        <f>I26+61</f>
        <v>289549</v>
      </c>
      <c r="J25" s="6">
        <f t="shared" si="41"/>
        <v>64</v>
      </c>
      <c r="K25" s="6">
        <f t="shared" si="41"/>
        <v>41</v>
      </c>
      <c r="L25" s="6">
        <f t="shared" si="41"/>
        <v>24</v>
      </c>
      <c r="M25" s="7">
        <f t="shared" si="53"/>
        <v>61</v>
      </c>
      <c r="N25" s="5">
        <f t="shared" si="24"/>
        <v>69.193548387096769</v>
      </c>
      <c r="O25" s="3">
        <f t="shared" si="42"/>
        <v>24</v>
      </c>
      <c r="P25" s="5">
        <f t="shared" si="43"/>
        <v>45.193548387096769</v>
      </c>
      <c r="Q25" s="5">
        <f t="shared" si="44"/>
        <v>8.5416666666278616</v>
      </c>
      <c r="R25" s="7">
        <f t="shared" si="28"/>
        <v>419.35483870967744</v>
      </c>
      <c r="S25" s="6">
        <f t="shared" si="45"/>
        <v>129</v>
      </c>
      <c r="T25" s="7">
        <f t="shared" si="46"/>
        <v>290.35483870967744</v>
      </c>
      <c r="U25" s="7">
        <f t="shared" si="47"/>
        <v>1176.2903225806456</v>
      </c>
      <c r="V25" s="6">
        <f t="shared" si="47"/>
        <v>556</v>
      </c>
      <c r="W25" s="7">
        <f t="shared" si="48"/>
        <v>620.29032258064558</v>
      </c>
      <c r="X25" s="7">
        <f t="shared" si="49"/>
        <v>7129.0322580645143</v>
      </c>
      <c r="Y25" s="7">
        <f t="shared" si="49"/>
        <v>3178</v>
      </c>
      <c r="Z25" s="7">
        <f t="shared" si="50"/>
        <v>3951.0322580645143</v>
      </c>
      <c r="AA25" s="24">
        <f t="shared" si="51"/>
        <v>0.90402302889604735</v>
      </c>
      <c r="AB25" s="1"/>
    </row>
    <row r="26" spans="2:28" ht="18" x14ac:dyDescent="0.25">
      <c r="B26" s="3">
        <v>16</v>
      </c>
      <c r="C26" s="3">
        <f>C27+61</f>
        <v>246034</v>
      </c>
      <c r="D26" s="3">
        <f>D27+46</f>
        <v>493590</v>
      </c>
      <c r="E26" s="3">
        <f>E27+26</f>
        <v>163002</v>
      </c>
      <c r="F26" s="8">
        <f t="shared" si="38"/>
        <v>902626</v>
      </c>
      <c r="G26" s="22">
        <f t="shared" si="39"/>
        <v>902534.5625</v>
      </c>
      <c r="H26" s="7">
        <f t="shared" si="40"/>
        <v>902544.14583333337</v>
      </c>
      <c r="I26" s="3">
        <f>I27+59</f>
        <v>289488</v>
      </c>
      <c r="J26" s="6">
        <f t="shared" si="41"/>
        <v>61</v>
      </c>
      <c r="K26" s="6">
        <f t="shared" si="41"/>
        <v>46</v>
      </c>
      <c r="L26" s="6">
        <f t="shared" si="41"/>
        <v>26</v>
      </c>
      <c r="M26" s="7">
        <f t="shared" si="53"/>
        <v>59</v>
      </c>
      <c r="N26" s="5">
        <f t="shared" si="24"/>
        <v>69.193548387096769</v>
      </c>
      <c r="O26" s="3">
        <f t="shared" si="42"/>
        <v>26</v>
      </c>
      <c r="P26" s="5">
        <f t="shared" si="43"/>
        <v>43.193548387096769</v>
      </c>
      <c r="Q26" s="5">
        <f t="shared" si="44"/>
        <v>9.5833333333721384</v>
      </c>
      <c r="R26" s="7">
        <f t="shared" si="28"/>
        <v>419.35483870967744</v>
      </c>
      <c r="S26" s="6">
        <f t="shared" si="45"/>
        <v>133</v>
      </c>
      <c r="T26" s="7">
        <f t="shared" si="46"/>
        <v>286.35483870967744</v>
      </c>
      <c r="U26" s="7">
        <f t="shared" si="47"/>
        <v>1107.0967741935488</v>
      </c>
      <c r="V26" s="6">
        <f t="shared" si="47"/>
        <v>532</v>
      </c>
      <c r="W26" s="7">
        <f t="shared" si="48"/>
        <v>575.09677419354875</v>
      </c>
      <c r="X26" s="7">
        <f t="shared" si="49"/>
        <v>6709.6774193548372</v>
      </c>
      <c r="Y26" s="7">
        <f t="shared" si="49"/>
        <v>3049</v>
      </c>
      <c r="Z26" s="7">
        <f t="shared" si="50"/>
        <v>3660.6774193548372</v>
      </c>
      <c r="AA26" s="24">
        <f t="shared" si="51"/>
        <v>0.91409474437856797</v>
      </c>
      <c r="AB26" s="1"/>
    </row>
    <row r="27" spans="2:28" ht="18" x14ac:dyDescent="0.25">
      <c r="B27" s="3">
        <v>15</v>
      </c>
      <c r="C27" s="3">
        <f>C28+66</f>
        <v>245973</v>
      </c>
      <c r="D27" s="3">
        <f>D28+52</f>
        <v>493544</v>
      </c>
      <c r="E27" s="3">
        <f>E28+30</f>
        <v>162976</v>
      </c>
      <c r="F27" s="8">
        <f t="shared" si="38"/>
        <v>902493</v>
      </c>
      <c r="G27" s="22">
        <f t="shared" si="39"/>
        <v>902391.25</v>
      </c>
      <c r="H27" s="7">
        <f t="shared" si="40"/>
        <v>902402.08333333337</v>
      </c>
      <c r="I27" s="3">
        <f>I28+57</f>
        <v>289429</v>
      </c>
      <c r="J27" s="6">
        <f t="shared" si="41"/>
        <v>66</v>
      </c>
      <c r="K27" s="6">
        <f t="shared" si="41"/>
        <v>52</v>
      </c>
      <c r="L27" s="6">
        <f t="shared" si="41"/>
        <v>30</v>
      </c>
      <c r="M27" s="7">
        <f t="shared" si="53"/>
        <v>57</v>
      </c>
      <c r="N27" s="5">
        <f t="shared" si="24"/>
        <v>69.193548387096769</v>
      </c>
      <c r="O27" s="3">
        <f t="shared" si="42"/>
        <v>30</v>
      </c>
      <c r="P27" s="5">
        <f t="shared" si="43"/>
        <v>39.193548387096769</v>
      </c>
      <c r="Q27" s="5">
        <f t="shared" si="44"/>
        <v>10.833333333372138</v>
      </c>
      <c r="R27" s="7">
        <f t="shared" si="28"/>
        <v>419.35483870967744</v>
      </c>
      <c r="S27" s="6">
        <f t="shared" si="45"/>
        <v>148</v>
      </c>
      <c r="T27" s="7">
        <f t="shared" si="46"/>
        <v>271.35483870967744</v>
      </c>
      <c r="U27" s="7">
        <f t="shared" si="47"/>
        <v>1037.9032258064519</v>
      </c>
      <c r="V27" s="6">
        <f t="shared" si="47"/>
        <v>506</v>
      </c>
      <c r="W27" s="7">
        <f t="shared" si="48"/>
        <v>531.90322580645193</v>
      </c>
      <c r="X27" s="7">
        <f t="shared" si="49"/>
        <v>6290.3225806451601</v>
      </c>
      <c r="Y27" s="7">
        <f t="shared" si="49"/>
        <v>2916</v>
      </c>
      <c r="Z27" s="7">
        <f t="shared" si="50"/>
        <v>3374.3225806451601</v>
      </c>
      <c r="AA27" s="24">
        <f t="shared" si="51"/>
        <v>0.93318300307845548</v>
      </c>
      <c r="AB27" s="1"/>
    </row>
    <row r="28" spans="2:28" ht="18" x14ac:dyDescent="0.25">
      <c r="B28" s="3">
        <v>14</v>
      </c>
      <c r="C28" s="3">
        <v>245907</v>
      </c>
      <c r="D28" s="3">
        <v>493492</v>
      </c>
      <c r="E28" s="3">
        <v>162946</v>
      </c>
      <c r="F28" s="8">
        <f t="shared" si="38"/>
        <v>902345</v>
      </c>
      <c r="G28" s="22">
        <f t="shared" si="39"/>
        <v>902212.3125</v>
      </c>
      <c r="H28" s="7">
        <f t="shared" si="40"/>
        <v>902228.77083333337</v>
      </c>
      <c r="I28" s="3">
        <v>289372</v>
      </c>
      <c r="J28" s="6">
        <f t="shared" si="41"/>
        <v>83</v>
      </c>
      <c r="K28" s="6">
        <f t="shared" si="41"/>
        <v>79</v>
      </c>
      <c r="L28" s="6">
        <f t="shared" si="41"/>
        <v>31</v>
      </c>
      <c r="M28" s="7">
        <f t="shared" si="53"/>
        <v>75</v>
      </c>
      <c r="N28" s="5">
        <f t="shared" si="24"/>
        <v>69.193548387096769</v>
      </c>
      <c r="O28" s="3">
        <f t="shared" si="42"/>
        <v>31</v>
      </c>
      <c r="P28" s="5">
        <f t="shared" si="43"/>
        <v>38.193548387096769</v>
      </c>
      <c r="Q28" s="5">
        <f t="shared" si="44"/>
        <v>16.458333333372138</v>
      </c>
      <c r="R28" s="7">
        <f t="shared" si="28"/>
        <v>419.35483870967744</v>
      </c>
      <c r="S28" s="6">
        <f t="shared" si="45"/>
        <v>193</v>
      </c>
      <c r="T28" s="7">
        <f t="shared" si="46"/>
        <v>226.35483870967744</v>
      </c>
      <c r="U28" s="7">
        <f t="shared" si="47"/>
        <v>968.7096774193551</v>
      </c>
      <c r="V28" s="6">
        <f t="shared" si="47"/>
        <v>476</v>
      </c>
      <c r="W28" s="7">
        <f t="shared" si="48"/>
        <v>492.7096774193551</v>
      </c>
      <c r="X28" s="7">
        <f t="shared" si="49"/>
        <v>5870.967741935483</v>
      </c>
      <c r="Y28" s="7">
        <f t="shared" si="49"/>
        <v>2768</v>
      </c>
      <c r="Z28" s="7">
        <f t="shared" si="50"/>
        <v>3102.967741935483</v>
      </c>
      <c r="AA28" s="24">
        <f t="shared" si="51"/>
        <v>0.93209527662259428</v>
      </c>
      <c r="AB28" s="1"/>
    </row>
    <row r="29" spans="2:28" ht="18" x14ac:dyDescent="0.25">
      <c r="B29" s="3">
        <v>13</v>
      </c>
      <c r="C29" s="3">
        <f>C30+75</f>
        <v>245824</v>
      </c>
      <c r="D29" s="3">
        <f>D30+77</f>
        <v>493413</v>
      </c>
      <c r="E29" s="3">
        <f>E30+32</f>
        <v>162915</v>
      </c>
      <c r="F29" s="8">
        <f t="shared" si="38"/>
        <v>902152</v>
      </c>
      <c r="G29" s="22">
        <f t="shared" si="39"/>
        <v>902025.5</v>
      </c>
      <c r="H29" s="7">
        <f t="shared" si="40"/>
        <v>902041.54166666663</v>
      </c>
      <c r="I29" s="3">
        <f>I30+63</f>
        <v>289297</v>
      </c>
      <c r="J29" s="6">
        <f t="shared" si="41"/>
        <v>75</v>
      </c>
      <c r="K29" s="6">
        <f t="shared" si="41"/>
        <v>77</v>
      </c>
      <c r="L29" s="6">
        <f t="shared" si="41"/>
        <v>32</v>
      </c>
      <c r="M29" s="6">
        <f t="shared" si="53"/>
        <v>63</v>
      </c>
      <c r="N29" s="5">
        <f t="shared" si="24"/>
        <v>69.193548387096769</v>
      </c>
      <c r="O29" s="3">
        <f t="shared" si="42"/>
        <v>32</v>
      </c>
      <c r="P29" s="5">
        <f t="shared" si="43"/>
        <v>37.193548387096769</v>
      </c>
      <c r="Q29" s="5">
        <f t="shared" si="44"/>
        <v>16.041666666627862</v>
      </c>
      <c r="R29" s="7">
        <f t="shared" si="28"/>
        <v>419.35483870967744</v>
      </c>
      <c r="S29" s="6">
        <f t="shared" si="45"/>
        <v>184</v>
      </c>
      <c r="T29" s="7">
        <f t="shared" si="46"/>
        <v>235.35483870967744</v>
      </c>
      <c r="U29" s="7">
        <f t="shared" si="47"/>
        <v>899.51612903225828</v>
      </c>
      <c r="V29" s="6">
        <f t="shared" si="47"/>
        <v>445</v>
      </c>
      <c r="W29" s="7">
        <f t="shared" si="48"/>
        <v>454.51612903225828</v>
      </c>
      <c r="X29" s="7">
        <f t="shared" si="49"/>
        <v>5451.6129032258059</v>
      </c>
      <c r="Y29" s="7">
        <f t="shared" si="49"/>
        <v>2575</v>
      </c>
      <c r="Z29" s="7">
        <f t="shared" si="50"/>
        <v>2876.6129032258059</v>
      </c>
      <c r="AA29" s="24">
        <f t="shared" si="51"/>
        <v>0.9460810739814719</v>
      </c>
      <c r="AB29" s="1"/>
    </row>
    <row r="30" spans="2:28" ht="18" x14ac:dyDescent="0.25">
      <c r="B30" s="3">
        <v>12</v>
      </c>
      <c r="C30" s="3">
        <f>C31+67</f>
        <v>245749</v>
      </c>
      <c r="D30" s="3">
        <f>D31+64</f>
        <v>493336</v>
      </c>
      <c r="E30" s="3">
        <f>E31+28</f>
        <v>162883</v>
      </c>
      <c r="F30" s="8">
        <f t="shared" si="38"/>
        <v>901968</v>
      </c>
      <c r="G30" s="22">
        <f t="shared" si="39"/>
        <v>901858.6875</v>
      </c>
      <c r="H30" s="7">
        <f t="shared" si="40"/>
        <v>901872.02083333337</v>
      </c>
      <c r="I30" s="3">
        <f>I31+48</f>
        <v>289234</v>
      </c>
      <c r="J30" s="6">
        <f t="shared" si="41"/>
        <v>67</v>
      </c>
      <c r="K30" s="6">
        <f t="shared" si="41"/>
        <v>64</v>
      </c>
      <c r="L30" s="6">
        <f t="shared" si="41"/>
        <v>28</v>
      </c>
      <c r="M30" s="6">
        <f t="shared" si="53"/>
        <v>48</v>
      </c>
      <c r="N30" s="5">
        <f t="shared" si="24"/>
        <v>69.193548387096769</v>
      </c>
      <c r="O30" s="3">
        <f t="shared" si="42"/>
        <v>28</v>
      </c>
      <c r="P30" s="5">
        <f t="shared" si="43"/>
        <v>41.193548387096769</v>
      </c>
      <c r="Q30" s="5">
        <f t="shared" si="44"/>
        <v>13.333333333372138</v>
      </c>
      <c r="R30" s="7">
        <f t="shared" si="28"/>
        <v>419.35483870967744</v>
      </c>
      <c r="S30" s="6">
        <f t="shared" si="45"/>
        <v>159</v>
      </c>
      <c r="T30" s="7">
        <f t="shared" si="46"/>
        <v>260.35483870967744</v>
      </c>
      <c r="U30" s="7">
        <f t="shared" si="47"/>
        <v>830.32258064516145</v>
      </c>
      <c r="V30" s="6">
        <f t="shared" si="47"/>
        <v>413</v>
      </c>
      <c r="W30" s="7">
        <f t="shared" si="48"/>
        <v>417.32258064516145</v>
      </c>
      <c r="X30" s="7">
        <f t="shared" si="49"/>
        <v>5032.2580645161288</v>
      </c>
      <c r="Y30" s="7">
        <f t="shared" si="49"/>
        <v>2391</v>
      </c>
      <c r="Z30" s="7">
        <f t="shared" si="50"/>
        <v>2641.2580645161288</v>
      </c>
      <c r="AA30" s="24">
        <f t="shared" si="51"/>
        <v>0.95732771078671408</v>
      </c>
      <c r="AB30" s="1"/>
    </row>
    <row r="31" spans="2:28" ht="18" x14ac:dyDescent="0.25">
      <c r="B31" s="3">
        <v>11</v>
      </c>
      <c r="C31" s="3">
        <f>C32+61</f>
        <v>245682</v>
      </c>
      <c r="D31" s="3">
        <f>D32+61</f>
        <v>493272</v>
      </c>
      <c r="E31" s="3">
        <f>E32+21</f>
        <v>162855</v>
      </c>
      <c r="F31" s="8">
        <f t="shared" si="38"/>
        <v>901809</v>
      </c>
      <c r="G31" s="22">
        <f t="shared" si="39"/>
        <v>901710.6875</v>
      </c>
      <c r="H31" s="7">
        <f t="shared" si="40"/>
        <v>901723.39583333337</v>
      </c>
      <c r="I31" s="3">
        <f>I32+47</f>
        <v>289186</v>
      </c>
      <c r="J31" s="6">
        <f t="shared" si="41"/>
        <v>61</v>
      </c>
      <c r="K31" s="6">
        <f t="shared" si="41"/>
        <v>61</v>
      </c>
      <c r="L31" s="6">
        <f t="shared" si="41"/>
        <v>21</v>
      </c>
      <c r="M31" s="6">
        <f t="shared" si="53"/>
        <v>47</v>
      </c>
      <c r="N31" s="5">
        <f t="shared" si="24"/>
        <v>69.193548387096769</v>
      </c>
      <c r="O31" s="3">
        <f t="shared" si="42"/>
        <v>21</v>
      </c>
      <c r="P31" s="5">
        <f t="shared" si="43"/>
        <v>48.193548387096769</v>
      </c>
      <c r="Q31" s="5">
        <f t="shared" si="44"/>
        <v>12.708333333372138</v>
      </c>
      <c r="R31" s="7">
        <f t="shared" si="28"/>
        <v>419.35483870967744</v>
      </c>
      <c r="S31" s="6">
        <f t="shared" si="45"/>
        <v>143</v>
      </c>
      <c r="T31" s="7">
        <f t="shared" si="46"/>
        <v>276.35483870967744</v>
      </c>
      <c r="U31" s="7">
        <f t="shared" si="47"/>
        <v>761.12903225806463</v>
      </c>
      <c r="V31" s="6">
        <f t="shared" si="47"/>
        <v>385</v>
      </c>
      <c r="W31" s="7">
        <f t="shared" si="48"/>
        <v>376.12903225806463</v>
      </c>
      <c r="X31" s="7">
        <f t="shared" si="49"/>
        <v>4612.9032258064517</v>
      </c>
      <c r="Y31" s="7">
        <f t="shared" si="49"/>
        <v>2232</v>
      </c>
      <c r="Z31" s="7">
        <f t="shared" si="50"/>
        <v>2380.9032258064517</v>
      </c>
      <c r="AA31" s="24">
        <f t="shared" si="51"/>
        <v>0.9500036004410265</v>
      </c>
      <c r="AB31" s="1"/>
    </row>
    <row r="32" spans="2:28" ht="18" x14ac:dyDescent="0.25">
      <c r="B32" s="3">
        <v>10</v>
      </c>
      <c r="C32" s="3">
        <f>C33+79</f>
        <v>245621</v>
      </c>
      <c r="D32" s="3">
        <f>D33+73</f>
        <v>493211</v>
      </c>
      <c r="E32" s="3">
        <f>E33+33</f>
        <v>162834</v>
      </c>
      <c r="F32" s="8">
        <f t="shared" si="38"/>
        <v>901666</v>
      </c>
      <c r="G32" s="22">
        <f t="shared" si="39"/>
        <v>901538.8125</v>
      </c>
      <c r="H32" s="7">
        <f t="shared" si="40"/>
        <v>901554.02083333337</v>
      </c>
      <c r="I32" s="3">
        <f>I33+58</f>
        <v>289139</v>
      </c>
      <c r="J32" s="6">
        <f t="shared" si="41"/>
        <v>79</v>
      </c>
      <c r="K32" s="6">
        <f t="shared" si="41"/>
        <v>73</v>
      </c>
      <c r="L32" s="6">
        <f t="shared" si="41"/>
        <v>33</v>
      </c>
      <c r="M32" s="6">
        <f t="shared" si="53"/>
        <v>58</v>
      </c>
      <c r="N32" s="5">
        <f t="shared" si="24"/>
        <v>69.193548387096769</v>
      </c>
      <c r="O32" s="3">
        <f t="shared" si="42"/>
        <v>33</v>
      </c>
      <c r="P32" s="5">
        <f t="shared" si="43"/>
        <v>36.193548387096769</v>
      </c>
      <c r="Q32" s="5">
        <f t="shared" si="44"/>
        <v>15.208333333372138</v>
      </c>
      <c r="R32" s="7">
        <f t="shared" si="28"/>
        <v>419.35483870967744</v>
      </c>
      <c r="S32" s="6">
        <f t="shared" si="45"/>
        <v>185</v>
      </c>
      <c r="T32" s="7">
        <f t="shared" si="46"/>
        <v>234.35483870967744</v>
      </c>
      <c r="U32" s="7">
        <f t="shared" si="47"/>
        <v>691.9354838709678</v>
      </c>
      <c r="V32" s="6">
        <f t="shared" si="47"/>
        <v>364</v>
      </c>
      <c r="W32" s="7">
        <f t="shared" si="48"/>
        <v>327.9354838709678</v>
      </c>
      <c r="X32" s="7">
        <f t="shared" si="49"/>
        <v>4193.5483870967746</v>
      </c>
      <c r="Y32" s="7">
        <f t="shared" si="49"/>
        <v>2089</v>
      </c>
      <c r="Z32" s="7">
        <f t="shared" si="50"/>
        <v>2104.5483870967746</v>
      </c>
      <c r="AA32" s="24">
        <f t="shared" si="51"/>
        <v>0.95420424074733801</v>
      </c>
      <c r="AB32" s="1"/>
    </row>
    <row r="33" spans="2:28" ht="18" x14ac:dyDescent="0.25">
      <c r="B33" s="3">
        <v>9</v>
      </c>
      <c r="C33" s="3">
        <f>C34+87</f>
        <v>245542</v>
      </c>
      <c r="D33" s="3">
        <f>D34+75</f>
        <v>493138</v>
      </c>
      <c r="E33" s="3">
        <f>E34+35</f>
        <v>162801</v>
      </c>
      <c r="F33" s="8">
        <f t="shared" si="38"/>
        <v>901481</v>
      </c>
      <c r="G33" s="22">
        <f t="shared" si="39"/>
        <v>901345.5625</v>
      </c>
      <c r="H33" s="7">
        <f t="shared" si="40"/>
        <v>901361.1875</v>
      </c>
      <c r="I33" s="3">
        <f>I34+55</f>
        <v>289081</v>
      </c>
      <c r="J33" s="6">
        <f t="shared" si="41"/>
        <v>87</v>
      </c>
      <c r="K33" s="6">
        <f t="shared" si="41"/>
        <v>75</v>
      </c>
      <c r="L33" s="6">
        <f t="shared" si="41"/>
        <v>35</v>
      </c>
      <c r="M33" s="6">
        <f t="shared" si="53"/>
        <v>55</v>
      </c>
      <c r="N33" s="5">
        <f t="shared" si="24"/>
        <v>69.193548387096769</v>
      </c>
      <c r="O33" s="3">
        <f t="shared" si="42"/>
        <v>35</v>
      </c>
      <c r="P33" s="5">
        <f t="shared" si="43"/>
        <v>34.193548387096769</v>
      </c>
      <c r="Q33" s="5">
        <f t="shared" si="44"/>
        <v>15.625</v>
      </c>
      <c r="R33" s="7">
        <f t="shared" si="28"/>
        <v>419.35483870967744</v>
      </c>
      <c r="S33" s="6">
        <f t="shared" si="45"/>
        <v>197</v>
      </c>
      <c r="T33" s="7">
        <f t="shared" si="46"/>
        <v>222.35483870967744</v>
      </c>
      <c r="U33" s="7">
        <f t="shared" si="47"/>
        <v>622.74193548387098</v>
      </c>
      <c r="V33" s="6">
        <f t="shared" si="47"/>
        <v>331</v>
      </c>
      <c r="W33" s="7">
        <f t="shared" si="48"/>
        <v>291.74193548387098</v>
      </c>
      <c r="X33" s="7">
        <f t="shared" si="49"/>
        <v>3774.1935483870975</v>
      </c>
      <c r="Y33" s="7">
        <f t="shared" si="49"/>
        <v>1904</v>
      </c>
      <c r="Z33" s="7">
        <f t="shared" si="50"/>
        <v>1870.1935483870975</v>
      </c>
      <c r="AA33" s="24">
        <f t="shared" si="51"/>
        <v>0.96316685749260766</v>
      </c>
      <c r="AB33" s="1"/>
    </row>
    <row r="34" spans="2:28" ht="18" x14ac:dyDescent="0.25">
      <c r="B34" s="3">
        <v>8</v>
      </c>
      <c r="C34" s="3">
        <f>C35+75</f>
        <v>245455</v>
      </c>
      <c r="D34" s="3">
        <f>D35+79</f>
        <v>493063</v>
      </c>
      <c r="E34" s="3">
        <f>E35+32</f>
        <v>162766</v>
      </c>
      <c r="F34" s="8">
        <f t="shared" si="38"/>
        <v>901284</v>
      </c>
      <c r="G34" s="22">
        <f t="shared" si="39"/>
        <v>901156.125</v>
      </c>
      <c r="H34" s="7">
        <f t="shared" si="40"/>
        <v>901172.58333333337</v>
      </c>
      <c r="I34" s="3">
        <f>I35+61</f>
        <v>289026</v>
      </c>
      <c r="J34" s="6">
        <f t="shared" si="41"/>
        <v>75</v>
      </c>
      <c r="K34" s="6">
        <f t="shared" si="41"/>
        <v>79</v>
      </c>
      <c r="L34" s="6">
        <f t="shared" si="41"/>
        <v>32</v>
      </c>
      <c r="M34" s="6">
        <f t="shared" si="53"/>
        <v>61</v>
      </c>
      <c r="N34" s="5">
        <f t="shared" si="24"/>
        <v>69.193548387096769</v>
      </c>
      <c r="O34" s="3">
        <f t="shared" si="42"/>
        <v>32</v>
      </c>
      <c r="P34" s="5">
        <f t="shared" si="43"/>
        <v>37.193548387096769</v>
      </c>
      <c r="Q34" s="5">
        <f t="shared" si="44"/>
        <v>16.458333333372138</v>
      </c>
      <c r="R34" s="7">
        <f t="shared" si="28"/>
        <v>419.35483870967744</v>
      </c>
      <c r="S34" s="6">
        <f t="shared" si="45"/>
        <v>186</v>
      </c>
      <c r="T34" s="7">
        <f t="shared" si="46"/>
        <v>233.35483870967744</v>
      </c>
      <c r="U34" s="7">
        <f t="shared" si="47"/>
        <v>553.54838709677415</v>
      </c>
      <c r="V34" s="6">
        <f t="shared" si="47"/>
        <v>296</v>
      </c>
      <c r="W34" s="7">
        <f t="shared" si="48"/>
        <v>257.54838709677415</v>
      </c>
      <c r="X34" s="7">
        <f t="shared" si="49"/>
        <v>3354.83870967742</v>
      </c>
      <c r="Y34" s="7">
        <f t="shared" si="49"/>
        <v>1707</v>
      </c>
      <c r="Z34" s="7">
        <f t="shared" si="50"/>
        <v>1647.83870967742</v>
      </c>
      <c r="AA34" s="24">
        <f t="shared" si="51"/>
        <v>0.95020474481897499</v>
      </c>
      <c r="AB34" s="1"/>
    </row>
    <row r="35" spans="2:28" ht="18" x14ac:dyDescent="0.25">
      <c r="B35" s="3">
        <v>7</v>
      </c>
      <c r="C35" s="3">
        <f>C36+74</f>
        <v>245380</v>
      </c>
      <c r="D35" s="3">
        <f>D36+76</f>
        <v>492984</v>
      </c>
      <c r="E35" s="3">
        <f>E36+37</f>
        <v>162734</v>
      </c>
      <c r="F35" s="8">
        <f t="shared" si="38"/>
        <v>901098</v>
      </c>
      <c r="G35" s="22">
        <f t="shared" si="39"/>
        <v>900969.4375</v>
      </c>
      <c r="H35" s="7">
        <f t="shared" si="40"/>
        <v>900985.27083333337</v>
      </c>
      <c r="I35" s="3">
        <f>I36+55</f>
        <v>288965</v>
      </c>
      <c r="J35" s="6">
        <f t="shared" si="41"/>
        <v>74</v>
      </c>
      <c r="K35" s="6">
        <f t="shared" si="41"/>
        <v>76</v>
      </c>
      <c r="L35" s="6">
        <f t="shared" si="41"/>
        <v>37</v>
      </c>
      <c r="M35" s="6">
        <f t="shared" si="53"/>
        <v>55</v>
      </c>
      <c r="N35" s="5">
        <f t="shared" si="24"/>
        <v>69.193548387096769</v>
      </c>
      <c r="O35" s="3">
        <f t="shared" si="42"/>
        <v>37</v>
      </c>
      <c r="P35" s="5">
        <f t="shared" si="43"/>
        <v>32.193548387096769</v>
      </c>
      <c r="Q35" s="5">
        <f t="shared" si="44"/>
        <v>15.833333333372138</v>
      </c>
      <c r="R35" s="7">
        <f t="shared" si="28"/>
        <v>419.35483870967744</v>
      </c>
      <c r="S35" s="6">
        <f t="shared" si="45"/>
        <v>187</v>
      </c>
      <c r="T35" s="7">
        <f t="shared" si="46"/>
        <v>232.35483870967744</v>
      </c>
      <c r="U35" s="7">
        <f t="shared" si="47"/>
        <v>484.35483870967738</v>
      </c>
      <c r="V35" s="6">
        <f t="shared" si="47"/>
        <v>264</v>
      </c>
      <c r="W35" s="7">
        <f t="shared" si="48"/>
        <v>220.35483870967738</v>
      </c>
      <c r="X35" s="7">
        <f t="shared" si="49"/>
        <v>2935.4838709677424</v>
      </c>
      <c r="Y35" s="7">
        <f t="shared" si="49"/>
        <v>1521</v>
      </c>
      <c r="Z35" s="7">
        <f t="shared" si="50"/>
        <v>1414.4838709677424</v>
      </c>
      <c r="AA35" s="24">
        <f t="shared" si="51"/>
        <v>0.95936550157127054</v>
      </c>
      <c r="AB35" s="1"/>
    </row>
    <row r="36" spans="2:28" ht="18" x14ac:dyDescent="0.25">
      <c r="B36" s="3">
        <v>6</v>
      </c>
      <c r="C36" s="3">
        <f>C37+61</f>
        <v>245306</v>
      </c>
      <c r="D36" s="3">
        <f>D37+66</f>
        <v>492908</v>
      </c>
      <c r="E36" s="3">
        <f>E37+25</f>
        <v>162697</v>
      </c>
      <c r="F36" s="8">
        <f t="shared" si="38"/>
        <v>900911</v>
      </c>
      <c r="G36" s="22">
        <f t="shared" si="39"/>
        <v>900806.5</v>
      </c>
      <c r="H36" s="7">
        <f t="shared" si="40"/>
        <v>900820.25</v>
      </c>
      <c r="I36" s="3">
        <f>I37+59</f>
        <v>288910</v>
      </c>
      <c r="J36" s="6">
        <f t="shared" si="41"/>
        <v>61</v>
      </c>
      <c r="K36" s="6">
        <f t="shared" si="41"/>
        <v>66</v>
      </c>
      <c r="L36" s="6">
        <f t="shared" si="41"/>
        <v>25</v>
      </c>
      <c r="M36" s="6">
        <f t="shared" si="53"/>
        <v>59</v>
      </c>
      <c r="N36" s="5">
        <f t="shared" si="24"/>
        <v>69.193548387096769</v>
      </c>
      <c r="O36" s="3">
        <f t="shared" si="42"/>
        <v>25</v>
      </c>
      <c r="P36" s="5">
        <f t="shared" si="43"/>
        <v>44.193548387096769</v>
      </c>
      <c r="Q36" s="5">
        <f t="shared" si="44"/>
        <v>13.75</v>
      </c>
      <c r="R36" s="7">
        <f t="shared" si="28"/>
        <v>419.35483870967744</v>
      </c>
      <c r="S36" s="6">
        <f t="shared" si="45"/>
        <v>152</v>
      </c>
      <c r="T36" s="7">
        <f t="shared" si="46"/>
        <v>267.35483870967744</v>
      </c>
      <c r="U36" s="7">
        <f t="shared" si="47"/>
        <v>415.16129032258061</v>
      </c>
      <c r="V36" s="6">
        <f t="shared" si="47"/>
        <v>227</v>
      </c>
      <c r="W36" s="7">
        <f t="shared" si="48"/>
        <v>188.16129032258061</v>
      </c>
      <c r="X36" s="7">
        <f t="shared" si="49"/>
        <v>2516.1290322580649</v>
      </c>
      <c r="Y36" s="7">
        <f t="shared" si="49"/>
        <v>1334</v>
      </c>
      <c r="Z36" s="7">
        <f t="shared" si="50"/>
        <v>1182.1290322580649</v>
      </c>
      <c r="AA36" s="24">
        <f t="shared" si="51"/>
        <v>0.93223468120765707</v>
      </c>
      <c r="AB36" s="1"/>
    </row>
    <row r="37" spans="2:28" ht="18" x14ac:dyDescent="0.25">
      <c r="B37" s="3">
        <v>5</v>
      </c>
      <c r="C37" s="3">
        <f>C38+65</f>
        <v>245245</v>
      </c>
      <c r="D37" s="3">
        <f>D38+67</f>
        <v>492842</v>
      </c>
      <c r="E37" s="3">
        <f>E38+21</f>
        <v>162672</v>
      </c>
      <c r="F37" s="8">
        <f t="shared" si="38"/>
        <v>900759</v>
      </c>
      <c r="G37" s="22">
        <f t="shared" si="39"/>
        <v>900653.8125</v>
      </c>
      <c r="H37" s="7">
        <f t="shared" si="40"/>
        <v>900667.77083333337</v>
      </c>
      <c r="I37" s="3">
        <f>I38+43</f>
        <v>288851</v>
      </c>
      <c r="J37" s="6">
        <f t="shared" si="41"/>
        <v>65</v>
      </c>
      <c r="K37" s="6">
        <f t="shared" si="41"/>
        <v>67</v>
      </c>
      <c r="L37" s="6">
        <f t="shared" si="41"/>
        <v>21</v>
      </c>
      <c r="M37" s="6">
        <f t="shared" si="53"/>
        <v>43</v>
      </c>
      <c r="N37" s="5">
        <f t="shared" si="24"/>
        <v>69.193548387096769</v>
      </c>
      <c r="O37" s="3">
        <f t="shared" si="42"/>
        <v>21</v>
      </c>
      <c r="P37" s="5">
        <f t="shared" si="43"/>
        <v>48.193548387096769</v>
      </c>
      <c r="Q37" s="5">
        <f t="shared" si="44"/>
        <v>13.958333333372138</v>
      </c>
      <c r="R37" s="7">
        <f t="shared" si="28"/>
        <v>419.35483870967744</v>
      </c>
      <c r="S37" s="6">
        <f t="shared" si="45"/>
        <v>153</v>
      </c>
      <c r="T37" s="7">
        <f t="shared" si="46"/>
        <v>266.35483870967744</v>
      </c>
      <c r="U37" s="7">
        <f t="shared" si="47"/>
        <v>345.96774193548384</v>
      </c>
      <c r="V37" s="6">
        <f t="shared" si="47"/>
        <v>202</v>
      </c>
      <c r="W37" s="7">
        <f t="shared" si="48"/>
        <v>143.96774193548384</v>
      </c>
      <c r="X37" s="7">
        <f t="shared" si="49"/>
        <v>2096.7741935483873</v>
      </c>
      <c r="Y37" s="7">
        <f t="shared" si="49"/>
        <v>1182</v>
      </c>
      <c r="Z37" s="7">
        <f t="shared" si="50"/>
        <v>914.7741935483873</v>
      </c>
      <c r="AA37" s="24">
        <f t="shared" si="51"/>
        <v>0.96270217136035541</v>
      </c>
      <c r="AB37" s="1"/>
    </row>
    <row r="38" spans="2:28" ht="18" x14ac:dyDescent="0.25">
      <c r="B38" s="3">
        <v>4</v>
      </c>
      <c r="C38" s="3">
        <f>C39+81</f>
        <v>245180</v>
      </c>
      <c r="D38" s="3">
        <f>D39+77</f>
        <v>492775</v>
      </c>
      <c r="E38" s="3">
        <f>E39+31</f>
        <v>162651</v>
      </c>
      <c r="F38" s="8">
        <f t="shared" si="38"/>
        <v>900606</v>
      </c>
      <c r="G38" s="22">
        <f t="shared" si="39"/>
        <v>900476.0625</v>
      </c>
      <c r="H38" s="7">
        <f t="shared" si="40"/>
        <v>900492.10416666663</v>
      </c>
      <c r="I38" s="3">
        <f>I39+47</f>
        <v>288808</v>
      </c>
      <c r="J38" s="6">
        <f t="shared" si="41"/>
        <v>81</v>
      </c>
      <c r="K38" s="6">
        <f t="shared" si="41"/>
        <v>77</v>
      </c>
      <c r="L38" s="6">
        <f t="shared" si="41"/>
        <v>31</v>
      </c>
      <c r="M38" s="6">
        <f t="shared" si="53"/>
        <v>47</v>
      </c>
      <c r="N38" s="5">
        <f t="shared" si="24"/>
        <v>69.193548387096769</v>
      </c>
      <c r="O38" s="3">
        <f t="shared" si="42"/>
        <v>31</v>
      </c>
      <c r="P38" s="5">
        <f t="shared" si="43"/>
        <v>38.193548387096769</v>
      </c>
      <c r="Q38" s="5">
        <f t="shared" si="44"/>
        <v>16.041666666627862</v>
      </c>
      <c r="R38" s="7">
        <f t="shared" si="28"/>
        <v>419.35483870967744</v>
      </c>
      <c r="S38" s="6">
        <f t="shared" si="45"/>
        <v>189</v>
      </c>
      <c r="T38" s="7">
        <f t="shared" si="46"/>
        <v>230.35483870967744</v>
      </c>
      <c r="U38" s="7">
        <f t="shared" si="47"/>
        <v>276.77419354838707</v>
      </c>
      <c r="V38" s="6">
        <f t="shared" si="47"/>
        <v>181</v>
      </c>
      <c r="W38" s="7">
        <f t="shared" si="48"/>
        <v>95.774193548387075</v>
      </c>
      <c r="X38" s="7">
        <f t="shared" si="49"/>
        <v>1677.4193548387098</v>
      </c>
      <c r="Y38" s="7">
        <f t="shared" si="49"/>
        <v>1029</v>
      </c>
      <c r="Z38" s="7">
        <f t="shared" si="50"/>
        <v>648.41935483870975</v>
      </c>
      <c r="AA38" s="24">
        <f t="shared" si="51"/>
        <v>0.97044378453373226</v>
      </c>
      <c r="AB38" s="1"/>
    </row>
    <row r="39" spans="2:28" ht="18" x14ac:dyDescent="0.25">
      <c r="B39" s="3">
        <v>3</v>
      </c>
      <c r="C39" s="3">
        <f>C40+79</f>
        <v>245099</v>
      </c>
      <c r="D39" s="3">
        <f>D40+88</f>
        <v>492698</v>
      </c>
      <c r="E39" s="3">
        <f>E40+33</f>
        <v>162620</v>
      </c>
      <c r="F39" s="8">
        <f t="shared" si="38"/>
        <v>900417</v>
      </c>
      <c r="G39" s="22">
        <f t="shared" si="39"/>
        <v>900279.5</v>
      </c>
      <c r="H39" s="7">
        <f t="shared" si="40"/>
        <v>900297.83333333337</v>
      </c>
      <c r="I39" s="3">
        <f>I40+60</f>
        <v>288761</v>
      </c>
      <c r="J39" s="6">
        <f t="shared" si="41"/>
        <v>79</v>
      </c>
      <c r="K39" s="6">
        <f t="shared" si="41"/>
        <v>88</v>
      </c>
      <c r="L39" s="6">
        <f t="shared" si="41"/>
        <v>33</v>
      </c>
      <c r="M39" s="6">
        <f t="shared" si="53"/>
        <v>60</v>
      </c>
      <c r="N39" s="5">
        <f t="shared" si="24"/>
        <v>69.193548387096769</v>
      </c>
      <c r="O39" s="3">
        <f t="shared" si="42"/>
        <v>33</v>
      </c>
      <c r="P39" s="5">
        <f t="shared" si="43"/>
        <v>36.193548387096769</v>
      </c>
      <c r="Q39" s="5">
        <f t="shared" si="44"/>
        <v>18.333333333372138</v>
      </c>
      <c r="R39" s="7">
        <f t="shared" si="28"/>
        <v>419.35483870967744</v>
      </c>
      <c r="S39" s="6">
        <f t="shared" si="45"/>
        <v>200</v>
      </c>
      <c r="T39" s="7">
        <f t="shared" si="46"/>
        <v>219.35483870967744</v>
      </c>
      <c r="U39" s="7">
        <f t="shared" si="47"/>
        <v>207.58064516129031</v>
      </c>
      <c r="V39" s="6">
        <f t="shared" si="47"/>
        <v>150</v>
      </c>
      <c r="W39" s="7">
        <f t="shared" si="48"/>
        <v>57.580645161290306</v>
      </c>
      <c r="X39" s="7">
        <f t="shared" si="49"/>
        <v>1258.0645161290322</v>
      </c>
      <c r="Y39" s="7">
        <f t="shared" si="49"/>
        <v>840</v>
      </c>
      <c r="Z39" s="7">
        <f t="shared" si="50"/>
        <v>418.0645161290322</v>
      </c>
      <c r="AA39" s="24">
        <f t="shared" si="51"/>
        <v>0.95782628522115143</v>
      </c>
      <c r="AB39" s="1"/>
    </row>
    <row r="40" spans="2:28" ht="18" x14ac:dyDescent="0.25">
      <c r="B40" s="3">
        <v>2</v>
      </c>
      <c r="C40" s="3">
        <v>245020</v>
      </c>
      <c r="D40" s="3">
        <v>492610</v>
      </c>
      <c r="E40" s="3">
        <v>162587</v>
      </c>
      <c r="F40" s="8">
        <f t="shared" si="38"/>
        <v>900217</v>
      </c>
      <c r="G40" s="22">
        <f t="shared" si="39"/>
        <v>899986.6875</v>
      </c>
      <c r="H40" s="7">
        <f t="shared" si="40"/>
        <v>900014.39583333337</v>
      </c>
      <c r="I40" s="3">
        <v>288701</v>
      </c>
      <c r="J40" s="6">
        <f t="shared" si="41"/>
        <v>141</v>
      </c>
      <c r="K40" s="6">
        <f t="shared" si="41"/>
        <v>133</v>
      </c>
      <c r="L40" s="6">
        <f t="shared" si="41"/>
        <v>61</v>
      </c>
      <c r="M40" s="6">
        <f t="shared" si="53"/>
        <v>103</v>
      </c>
      <c r="N40" s="5">
        <f t="shared" si="24"/>
        <v>69.193548387096769</v>
      </c>
      <c r="O40" s="3">
        <f t="shared" si="42"/>
        <v>61</v>
      </c>
      <c r="P40" s="5">
        <f t="shared" si="43"/>
        <v>8.1935483870967687</v>
      </c>
      <c r="Q40" s="5">
        <f t="shared" si="44"/>
        <v>27.708333333372138</v>
      </c>
      <c r="R40" s="7">
        <f>R41</f>
        <v>419.35483870967744</v>
      </c>
      <c r="S40" s="6">
        <f t="shared" si="45"/>
        <v>335</v>
      </c>
      <c r="T40" s="7">
        <f t="shared" si="46"/>
        <v>84.354838709677438</v>
      </c>
      <c r="U40" s="7">
        <f t="shared" si="47"/>
        <v>138.38709677419354</v>
      </c>
      <c r="V40" s="6">
        <f t="shared" si="47"/>
        <v>117</v>
      </c>
      <c r="W40" s="7">
        <f t="shared" si="48"/>
        <v>21.387096774193537</v>
      </c>
      <c r="X40" s="7">
        <f t="shared" si="49"/>
        <v>838.70967741935488</v>
      </c>
      <c r="Y40" s="7">
        <f t="shared" si="49"/>
        <v>640</v>
      </c>
      <c r="Z40" s="7">
        <f t="shared" si="50"/>
        <v>198.70967741935488</v>
      </c>
      <c r="AA40" s="24">
        <f t="shared" si="51"/>
        <v>0.95584067970849107</v>
      </c>
      <c r="AB40" s="1"/>
    </row>
    <row r="41" spans="2:28" ht="18" x14ac:dyDescent="0.25">
      <c r="B41" s="3">
        <v>1</v>
      </c>
      <c r="C41" s="5">
        <f>C42+138</f>
        <v>244879</v>
      </c>
      <c r="D41" s="5">
        <f>D42+111</f>
        <v>492477</v>
      </c>
      <c r="E41" s="5">
        <f>E42+56</f>
        <v>162526</v>
      </c>
      <c r="F41" s="8">
        <f>C41+D41+E41</f>
        <v>899882</v>
      </c>
      <c r="G41" s="22">
        <f>(C42+D42+E42)+((S41/24)*7.5)</f>
        <v>899672.3125</v>
      </c>
      <c r="H41" s="7">
        <f>G41+((K41/12)*2.5)</f>
        <v>899695.4375</v>
      </c>
      <c r="I41" s="5">
        <f>I42+100</f>
        <v>288598</v>
      </c>
      <c r="J41" s="6">
        <f t="shared" si="41"/>
        <v>138</v>
      </c>
      <c r="K41" s="6">
        <f t="shared" si="41"/>
        <v>111</v>
      </c>
      <c r="L41" s="6">
        <f t="shared" si="41"/>
        <v>56</v>
      </c>
      <c r="M41" s="6">
        <f t="shared" si="53"/>
        <v>100</v>
      </c>
      <c r="N41" s="43">
        <f>O6/31</f>
        <v>69.193548387096769</v>
      </c>
      <c r="O41" s="3">
        <f t="shared" si="42"/>
        <v>56</v>
      </c>
      <c r="P41" s="5">
        <f t="shared" si="43"/>
        <v>13.193548387096769</v>
      </c>
      <c r="Q41" s="5">
        <f t="shared" si="44"/>
        <v>23.125</v>
      </c>
      <c r="R41" s="45">
        <f>S6/31</f>
        <v>419.35483870967744</v>
      </c>
      <c r="S41" s="6">
        <f t="shared" si="45"/>
        <v>305</v>
      </c>
      <c r="T41" s="7">
        <f t="shared" si="46"/>
        <v>114.35483870967744</v>
      </c>
      <c r="U41" s="7">
        <f>N41</f>
        <v>69.193548387096769</v>
      </c>
      <c r="V41" s="6">
        <f>O41</f>
        <v>56</v>
      </c>
      <c r="W41" s="7">
        <f t="shared" si="48"/>
        <v>13.193548387096769</v>
      </c>
      <c r="X41" s="7">
        <f>R41</f>
        <v>419.35483870967744</v>
      </c>
      <c r="Y41" s="7">
        <f>S41</f>
        <v>305</v>
      </c>
      <c r="Z41" s="7">
        <f t="shared" si="50"/>
        <v>114.35483870967744</v>
      </c>
      <c r="AA41" s="24">
        <f t="shared" si="51"/>
        <v>0.95022954097349777</v>
      </c>
      <c r="AB41" s="1"/>
    </row>
    <row r="42" spans="2:28" ht="54" x14ac:dyDescent="0.25">
      <c r="B42" s="33" t="s">
        <v>13</v>
      </c>
      <c r="C42" s="3">
        <v>244741</v>
      </c>
      <c r="D42" s="3">
        <v>492366</v>
      </c>
      <c r="E42" s="3">
        <v>162470</v>
      </c>
      <c r="F42" s="8">
        <f t="shared" ref="F42" si="56">C42+D42+E42</f>
        <v>899577</v>
      </c>
      <c r="G42" s="9">
        <v>899354</v>
      </c>
      <c r="H42" s="9">
        <v>899388</v>
      </c>
      <c r="I42" s="3">
        <v>288498</v>
      </c>
      <c r="J42" s="10"/>
      <c r="K42" s="10"/>
      <c r="L42" s="10"/>
      <c r="M42" s="46">
        <f>SUM(M11:M41)</f>
        <v>2040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5.75" customHeight="1" x14ac:dyDescent="0.25">
      <c r="B45" s="48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39"/>
      <c r="R45" s="62"/>
      <c r="S45" s="62"/>
      <c r="T45" s="62"/>
      <c r="U45" s="62"/>
      <c r="V45" s="62"/>
      <c r="W45" s="62"/>
      <c r="X45" s="10"/>
      <c r="Y45" s="10"/>
      <c r="Z45" s="10"/>
      <c r="AA45" s="10"/>
      <c r="AB45" s="39"/>
    </row>
    <row r="51" spans="26:27" ht="18" x14ac:dyDescent="0.25">
      <c r="Z51" s="10" t="s">
        <v>38</v>
      </c>
    </row>
    <row r="52" spans="26:27" ht="18" x14ac:dyDescent="0.25">
      <c r="Z52" s="10" t="s">
        <v>44</v>
      </c>
      <c r="AA52" s="10"/>
    </row>
    <row r="53" spans="26:27" ht="18" x14ac:dyDescent="0.25">
      <c r="Z53" s="10" t="s">
        <v>45</v>
      </c>
      <c r="AA53" s="10"/>
    </row>
    <row r="54" spans="26:27" ht="18" x14ac:dyDescent="0.25">
      <c r="Z54" s="10" t="s">
        <v>12</v>
      </c>
      <c r="AA54" s="10"/>
    </row>
  </sheetData>
  <mergeCells count="15">
    <mergeCell ref="C45:I45"/>
    <mergeCell ref="J45:M45"/>
    <mergeCell ref="N45:P45"/>
    <mergeCell ref="R45:T45"/>
    <mergeCell ref="U45:W45"/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B2:AB51"/>
  <sheetViews>
    <sheetView topLeftCell="B1" zoomScale="70" zoomScaleNormal="70" zoomScaleSheetLayoutView="93" workbookViewId="0">
      <pane ySplit="8" topLeftCell="A9" activePane="bottomLeft" state="frozen"/>
      <selection pane="bottomLeft" activeCell="U11" sqref="U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36</v>
      </c>
      <c r="D5" s="56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4785</v>
      </c>
      <c r="P6" s="30" t="s">
        <v>26</v>
      </c>
      <c r="Q6" s="11">
        <f>(S6*8)/100</f>
        <v>2320</v>
      </c>
      <c r="R6" s="13" t="s">
        <v>25</v>
      </c>
      <c r="S6" s="11">
        <v>29000</v>
      </c>
      <c r="T6" s="52" t="s">
        <v>41</v>
      </c>
      <c r="U6" s="52">
        <v>399.4</v>
      </c>
      <c r="V6" s="51">
        <f>U6/31</f>
        <v>12.883870967741935</v>
      </c>
    </row>
    <row r="7" spans="2:28" ht="46.5" customHeight="1" x14ac:dyDescent="0.25">
      <c r="B7" s="59" t="s">
        <v>24</v>
      </c>
      <c r="C7" s="57"/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677063</v>
      </c>
      <c r="D11" s="7">
        <v>1351350</v>
      </c>
      <c r="E11" s="7">
        <v>453172</v>
      </c>
      <c r="F11" s="8">
        <f t="shared" ref="F11" si="0">C11+D11+E11</f>
        <v>2481585</v>
      </c>
      <c r="G11" s="22">
        <f t="shared" ref="G11" si="1">(C12+D12+E12)+((S11/24)*9.5)</f>
        <v>2481329.4375</v>
      </c>
      <c r="H11" s="7">
        <f t="shared" ref="H11" si="2">G11+((K11/12)*2.5)</f>
        <v>2481367.1458333335</v>
      </c>
      <c r="I11" s="7">
        <v>789006</v>
      </c>
      <c r="J11" s="6">
        <f t="shared" ref="J11:L11" si="3">C11-C12</f>
        <v>192</v>
      </c>
      <c r="K11" s="6">
        <f t="shared" si="3"/>
        <v>181</v>
      </c>
      <c r="L11" s="6">
        <f t="shared" si="3"/>
        <v>50</v>
      </c>
      <c r="M11" s="6">
        <f t="shared" ref="M11" si="4">I11-I12</f>
        <v>95</v>
      </c>
      <c r="N11" s="5">
        <f t="shared" ref="N11" si="5">N12</f>
        <v>154.35483870967741</v>
      </c>
      <c r="O11" s="23">
        <f t="shared" ref="O11" si="6">L11</f>
        <v>50</v>
      </c>
      <c r="P11" s="5">
        <f t="shared" ref="P11" si="7">N11-O11</f>
        <v>104.35483870967741</v>
      </c>
      <c r="Q11" s="5">
        <f t="shared" ref="Q11" si="8">H11-G11</f>
        <v>37.708333333488554</v>
      </c>
      <c r="R11" s="7">
        <f t="shared" ref="R11" si="9">R12</f>
        <v>935.48387096774195</v>
      </c>
      <c r="S11" s="6">
        <f t="shared" ref="S11" si="10">J11+K11+L11</f>
        <v>423</v>
      </c>
      <c r="T11" s="7">
        <f t="shared" ref="T11" si="11">R11-S11</f>
        <v>512.48387096774195</v>
      </c>
      <c r="U11" s="7">
        <f t="shared" ref="U11:V11" si="12">U12+N11</f>
        <v>4785</v>
      </c>
      <c r="V11" s="7">
        <f t="shared" si="12"/>
        <v>1576</v>
      </c>
      <c r="W11" s="7">
        <f t="shared" ref="W11" si="13">U11-V11</f>
        <v>3209</v>
      </c>
      <c r="X11" s="7">
        <f t="shared" ref="X11:Y11" si="14">X12+R11</f>
        <v>29000.000000000011</v>
      </c>
      <c r="Y11" s="7">
        <f t="shared" si="14"/>
        <v>8610</v>
      </c>
      <c r="Z11" s="7">
        <f t="shared" ref="Z11" si="15">X11-Y11</f>
        <v>20390.000000000011</v>
      </c>
      <c r="AA11" s="24">
        <f t="shared" ref="AA11" si="16">COS(ATAN(M11/S11))</f>
        <v>0.97569612687250051</v>
      </c>
      <c r="AB11" s="25"/>
    </row>
    <row r="12" spans="2:28" ht="18" x14ac:dyDescent="0.25">
      <c r="B12" s="3">
        <v>30</v>
      </c>
      <c r="C12" s="3">
        <v>676871</v>
      </c>
      <c r="D12" s="3">
        <v>1351169</v>
      </c>
      <c r="E12" s="3">
        <v>453122</v>
      </c>
      <c r="F12" s="8">
        <f t="shared" ref="F12" si="17">C12+D12+E12</f>
        <v>2481162</v>
      </c>
      <c r="G12" s="22">
        <f t="shared" ref="G12" si="18">(C13+D13+E13)+((S12/24)*7.5)</f>
        <v>2480927.5625</v>
      </c>
      <c r="H12" s="7">
        <f t="shared" ref="H12" si="19">G12+((K12/12)*1.5)</f>
        <v>2480943.3125</v>
      </c>
      <c r="I12" s="3">
        <v>788911</v>
      </c>
      <c r="J12" s="6">
        <f t="shared" ref="J12" si="20">C12-C13</f>
        <v>182</v>
      </c>
      <c r="K12" s="6">
        <f t="shared" ref="K12" si="21">D12-D13</f>
        <v>126</v>
      </c>
      <c r="L12" s="6">
        <f t="shared" ref="L12" si="22">E12-E13</f>
        <v>33</v>
      </c>
      <c r="M12" s="6">
        <f t="shared" ref="M12" si="23">I12-I13</f>
        <v>92</v>
      </c>
      <c r="N12" s="5">
        <f t="shared" ref="N12:N40" si="24">N13</f>
        <v>154.35483870967741</v>
      </c>
      <c r="O12" s="23">
        <f t="shared" ref="O12" si="25">L12</f>
        <v>33</v>
      </c>
      <c r="P12" s="5">
        <f t="shared" ref="P12" si="26">N12-O12</f>
        <v>121.35483870967741</v>
      </c>
      <c r="Q12" s="5">
        <f t="shared" ref="Q12" si="27">H12-G12</f>
        <v>15.75</v>
      </c>
      <c r="R12" s="7">
        <f t="shared" ref="R12:R39" si="28">R13</f>
        <v>935.48387096774195</v>
      </c>
      <c r="S12" s="6">
        <f t="shared" ref="S12" si="29">J12+K12+L12</f>
        <v>341</v>
      </c>
      <c r="T12" s="7">
        <f t="shared" ref="T12" si="30">R12-S12</f>
        <v>594.48387096774195</v>
      </c>
      <c r="U12" s="7">
        <f t="shared" ref="U12" si="31">U13+N12</f>
        <v>4630.6451612903229</v>
      </c>
      <c r="V12" s="7">
        <f t="shared" ref="V12" si="32">V13+O12</f>
        <v>1526</v>
      </c>
      <c r="W12" s="7">
        <f t="shared" ref="W12" si="33">U12-V12</f>
        <v>3104.6451612903229</v>
      </c>
      <c r="X12" s="7">
        <f t="shared" ref="X12" si="34">X13+R12</f>
        <v>28064.516129032269</v>
      </c>
      <c r="Y12" s="7">
        <f t="shared" ref="Y12" si="35">Y13+S12</f>
        <v>8187</v>
      </c>
      <c r="Z12" s="7">
        <f t="shared" ref="Z12" si="36">X12-Y12</f>
        <v>19877.516129032269</v>
      </c>
      <c r="AA12" s="24">
        <f t="shared" ref="AA12" si="37">COS(ATAN(M12/S12))</f>
        <v>0.96547894081316632</v>
      </c>
      <c r="AB12" s="25"/>
    </row>
    <row r="13" spans="2:28" ht="18" x14ac:dyDescent="0.25">
      <c r="B13" s="3">
        <v>29</v>
      </c>
      <c r="C13" s="3">
        <v>676689</v>
      </c>
      <c r="D13" s="3">
        <v>1351043</v>
      </c>
      <c r="E13" s="3">
        <v>453089</v>
      </c>
      <c r="F13" s="8">
        <f t="shared" ref="F13:F42" si="38">C13+D13+E13</f>
        <v>2480821</v>
      </c>
      <c r="G13" s="22">
        <f t="shared" ref="G13:G40" si="39">(C14+D14+E14)+((S13/24)*7.5)</f>
        <v>2480648.4375</v>
      </c>
      <c r="H13" s="7">
        <f t="shared" ref="H13:H40" si="40">G13+((K13/12)*1.5)</f>
        <v>2480657.9375</v>
      </c>
      <c r="I13" s="3">
        <v>788819</v>
      </c>
      <c r="J13" s="6">
        <f t="shared" ref="J13:L41" si="41">C13-C14</f>
        <v>107</v>
      </c>
      <c r="K13" s="6">
        <f t="shared" si="41"/>
        <v>76</v>
      </c>
      <c r="L13" s="6">
        <f t="shared" si="41"/>
        <v>68</v>
      </c>
      <c r="M13" s="6">
        <f t="shared" ref="M13:M41" si="42">I13-I14</f>
        <v>48</v>
      </c>
      <c r="N13" s="5">
        <f t="shared" si="24"/>
        <v>154.35483870967741</v>
      </c>
      <c r="O13" s="23">
        <f t="shared" ref="O13:O41" si="43">L13</f>
        <v>68</v>
      </c>
      <c r="P13" s="5">
        <f t="shared" ref="P13:P41" si="44">N13-O13</f>
        <v>86.354838709677409</v>
      </c>
      <c r="Q13" s="5">
        <f t="shared" ref="Q13:Q41" si="45">H13-G13</f>
        <v>9.5</v>
      </c>
      <c r="R13" s="7">
        <f t="shared" si="28"/>
        <v>935.48387096774195</v>
      </c>
      <c r="S13" s="6">
        <f t="shared" ref="S13:S41" si="46">J13+K13+L13</f>
        <v>251</v>
      </c>
      <c r="T13" s="7">
        <f t="shared" ref="T13:T41" si="47">R13-S13</f>
        <v>684.48387096774195</v>
      </c>
      <c r="U13" s="7">
        <f t="shared" ref="U13:V40" si="48">U14+N13</f>
        <v>4476.2903225806458</v>
      </c>
      <c r="V13" s="7">
        <f t="shared" si="48"/>
        <v>1493</v>
      </c>
      <c r="W13" s="7">
        <f t="shared" ref="W13:W41" si="49">U13-V13</f>
        <v>2983.2903225806458</v>
      </c>
      <c r="X13" s="7">
        <f t="shared" ref="X13:Y40" si="50">X14+R13</f>
        <v>27129.032258064526</v>
      </c>
      <c r="Y13" s="7">
        <f t="shared" si="50"/>
        <v>7846</v>
      </c>
      <c r="Z13" s="7">
        <f t="shared" ref="Z13:Z41" si="51">X13-Y13</f>
        <v>19283.032258064526</v>
      </c>
      <c r="AA13" s="24">
        <f t="shared" ref="AA13:AA41" si="52">COS(ATAN(M13/S13))</f>
        <v>0.98220129994547334</v>
      </c>
      <c r="AB13" s="25"/>
    </row>
    <row r="14" spans="2:28" ht="18" x14ac:dyDescent="0.25">
      <c r="B14" s="3">
        <v>28</v>
      </c>
      <c r="C14" s="3">
        <f>C15+106</f>
        <v>676582</v>
      </c>
      <c r="D14" s="3">
        <f>D15+85</f>
        <v>1350967</v>
      </c>
      <c r="E14" s="3">
        <f t="shared" ref="E14" si="53">E15+60</f>
        <v>453021</v>
      </c>
      <c r="F14" s="8">
        <f t="shared" si="38"/>
        <v>2480570</v>
      </c>
      <c r="G14" s="22">
        <f>(C15+D15+E15)+((S14/24)*7.5)</f>
        <v>2480397.4375</v>
      </c>
      <c r="H14" s="7">
        <f>G14+((K14/12)*1.5)</f>
        <v>2480408.0625</v>
      </c>
      <c r="I14" s="3">
        <f t="shared" ref="I14" si="54">I15+55</f>
        <v>788771</v>
      </c>
      <c r="J14" s="6">
        <f t="shared" ref="J14:K19" si="55">C14-C15</f>
        <v>106</v>
      </c>
      <c r="K14" s="6">
        <f t="shared" si="55"/>
        <v>85</v>
      </c>
      <c r="L14" s="6">
        <f t="shared" si="41"/>
        <v>60</v>
      </c>
      <c r="M14" s="6">
        <f t="shared" si="42"/>
        <v>55</v>
      </c>
      <c r="N14" s="5">
        <f t="shared" si="24"/>
        <v>154.35483870967741</v>
      </c>
      <c r="O14" s="23">
        <f t="shared" si="43"/>
        <v>60</v>
      </c>
      <c r="P14" s="5">
        <f t="shared" si="44"/>
        <v>94.354838709677409</v>
      </c>
      <c r="Q14" s="5">
        <f t="shared" si="45"/>
        <v>10.625</v>
      </c>
      <c r="R14" s="7">
        <f t="shared" si="28"/>
        <v>935.48387096774195</v>
      </c>
      <c r="S14" s="6">
        <f t="shared" si="46"/>
        <v>251</v>
      </c>
      <c r="T14" s="7">
        <f t="shared" si="47"/>
        <v>684.48387096774195</v>
      </c>
      <c r="U14" s="7">
        <f t="shared" si="48"/>
        <v>4321.9354838709687</v>
      </c>
      <c r="V14" s="7">
        <f t="shared" si="48"/>
        <v>1425</v>
      </c>
      <c r="W14" s="7">
        <f t="shared" si="49"/>
        <v>2896.9354838709687</v>
      </c>
      <c r="X14" s="7">
        <f t="shared" si="50"/>
        <v>26193.548387096784</v>
      </c>
      <c r="Y14" s="7">
        <f t="shared" si="50"/>
        <v>7595</v>
      </c>
      <c r="Z14" s="7">
        <f t="shared" si="51"/>
        <v>18598.548387096784</v>
      </c>
      <c r="AA14" s="24">
        <f t="shared" si="52"/>
        <v>0.97682378918217816</v>
      </c>
      <c r="AB14" s="25"/>
    </row>
    <row r="15" spans="2:28" ht="18" x14ac:dyDescent="0.25">
      <c r="B15" s="3">
        <v>27</v>
      </c>
      <c r="C15" s="3">
        <f>C16+99</f>
        <v>676476</v>
      </c>
      <c r="D15" s="3">
        <f t="shared" ref="D15" si="56">D16+84</f>
        <v>1350882</v>
      </c>
      <c r="E15" s="3">
        <f>E16+63</f>
        <v>452961</v>
      </c>
      <c r="F15" s="8">
        <f t="shared" si="38"/>
        <v>2480319</v>
      </c>
      <c r="G15" s="22">
        <f t="shared" si="39"/>
        <v>2480149.875</v>
      </c>
      <c r="H15" s="7">
        <f>G15+((K15/12)*1.5)</f>
        <v>2480160.375</v>
      </c>
      <c r="I15" s="3">
        <f>I16+58</f>
        <v>788716</v>
      </c>
      <c r="J15" s="6">
        <f t="shared" si="55"/>
        <v>99</v>
      </c>
      <c r="K15" s="6">
        <f t="shared" si="55"/>
        <v>84</v>
      </c>
      <c r="L15" s="6">
        <f t="shared" si="41"/>
        <v>63</v>
      </c>
      <c r="M15" s="6">
        <f t="shared" si="42"/>
        <v>58</v>
      </c>
      <c r="N15" s="5">
        <f t="shared" si="24"/>
        <v>154.35483870967741</v>
      </c>
      <c r="O15" s="23">
        <f t="shared" si="43"/>
        <v>63</v>
      </c>
      <c r="P15" s="5">
        <f t="shared" si="44"/>
        <v>91.354838709677409</v>
      </c>
      <c r="Q15" s="5">
        <f t="shared" si="45"/>
        <v>10.5</v>
      </c>
      <c r="R15" s="7">
        <f t="shared" si="28"/>
        <v>935.48387096774195</v>
      </c>
      <c r="S15" s="6">
        <f t="shared" si="46"/>
        <v>246</v>
      </c>
      <c r="T15" s="7">
        <f t="shared" si="47"/>
        <v>689.48387096774195</v>
      </c>
      <c r="U15" s="7">
        <f t="shared" si="48"/>
        <v>4167.5806451612916</v>
      </c>
      <c r="V15" s="7">
        <f t="shared" si="48"/>
        <v>1365</v>
      </c>
      <c r="W15" s="7">
        <f t="shared" si="49"/>
        <v>2802.5806451612916</v>
      </c>
      <c r="X15" s="7">
        <f t="shared" si="50"/>
        <v>25258.064516129041</v>
      </c>
      <c r="Y15" s="7">
        <f t="shared" si="50"/>
        <v>7344</v>
      </c>
      <c r="Z15" s="7">
        <f t="shared" si="51"/>
        <v>17914.064516129041</v>
      </c>
      <c r="AA15" s="24">
        <f t="shared" si="52"/>
        <v>0.97331328983802989</v>
      </c>
      <c r="AB15" s="25"/>
    </row>
    <row r="16" spans="2:28" ht="18" x14ac:dyDescent="0.25">
      <c r="B16" s="3">
        <v>26</v>
      </c>
      <c r="C16" s="3">
        <f>C17+102</f>
        <v>676377</v>
      </c>
      <c r="D16" s="3">
        <f>D17+91</f>
        <v>1350798</v>
      </c>
      <c r="E16" s="3">
        <f>E17+66</f>
        <v>452898</v>
      </c>
      <c r="F16" s="9">
        <f>C16+D16+E16</f>
        <v>2480073</v>
      </c>
      <c r="G16" s="22">
        <f t="shared" si="39"/>
        <v>2479894.9375</v>
      </c>
      <c r="H16" s="7">
        <f t="shared" si="40"/>
        <v>2479906.3125</v>
      </c>
      <c r="I16" s="3">
        <f>I17+57</f>
        <v>788658</v>
      </c>
      <c r="J16" s="6">
        <f t="shared" si="55"/>
        <v>102</v>
      </c>
      <c r="K16" s="6">
        <f t="shared" si="55"/>
        <v>91</v>
      </c>
      <c r="L16" s="6">
        <f>E16-E17</f>
        <v>66</v>
      </c>
      <c r="M16" s="6">
        <f>I16-I17</f>
        <v>57</v>
      </c>
      <c r="N16" s="5">
        <f t="shared" si="24"/>
        <v>154.35483870967741</v>
      </c>
      <c r="O16" s="3">
        <f>L16</f>
        <v>66</v>
      </c>
      <c r="P16" s="5">
        <f>N16-O16</f>
        <v>88.354838709677409</v>
      </c>
      <c r="Q16" s="5">
        <f>H16-G16</f>
        <v>11.375</v>
      </c>
      <c r="R16" s="7">
        <f t="shared" si="28"/>
        <v>935.48387096774195</v>
      </c>
      <c r="S16" s="6">
        <f>J16+K16+L16</f>
        <v>259</v>
      </c>
      <c r="T16" s="7">
        <f>R16-S16</f>
        <v>676.48387096774195</v>
      </c>
      <c r="U16" s="7">
        <f t="shared" ref="U16:V19" si="57">U17+N16</f>
        <v>4013.2258064516141</v>
      </c>
      <c r="V16" s="7">
        <f t="shared" si="57"/>
        <v>1302</v>
      </c>
      <c r="W16" s="7">
        <f>U16-V16</f>
        <v>2711.2258064516141</v>
      </c>
      <c r="X16" s="7">
        <f t="shared" ref="X16:Y19" si="58">X17+R16</f>
        <v>24322.580645161299</v>
      </c>
      <c r="Y16" s="7">
        <f t="shared" si="58"/>
        <v>7098</v>
      </c>
      <c r="Z16" s="7">
        <f>X16-Y16</f>
        <v>17224.580645161299</v>
      </c>
      <c r="AA16" s="24">
        <f>COS(ATAN(M16/S16))</f>
        <v>0.97662863863195415</v>
      </c>
      <c r="AB16" s="25"/>
    </row>
    <row r="17" spans="2:28" ht="18" x14ac:dyDescent="0.25">
      <c r="B17" s="3">
        <v>25</v>
      </c>
      <c r="C17" s="3">
        <f>C18+108</f>
        <v>676275</v>
      </c>
      <c r="D17" s="3">
        <f>D18+88</f>
        <v>1350707</v>
      </c>
      <c r="E17" s="3">
        <f>E18+58</f>
        <v>452832</v>
      </c>
      <c r="F17" s="8">
        <f t="shared" si="38"/>
        <v>2479814</v>
      </c>
      <c r="G17" s="22">
        <f t="shared" si="39"/>
        <v>2479639.375</v>
      </c>
      <c r="H17" s="7">
        <f t="shared" si="40"/>
        <v>2479650.375</v>
      </c>
      <c r="I17" s="3">
        <f>I18+61</f>
        <v>788601</v>
      </c>
      <c r="J17" s="6">
        <f t="shared" si="55"/>
        <v>108</v>
      </c>
      <c r="K17" s="6">
        <f t="shared" si="55"/>
        <v>88</v>
      </c>
      <c r="L17" s="6">
        <f>E17-E18</f>
        <v>58</v>
      </c>
      <c r="M17" s="6">
        <f>I17-I18</f>
        <v>61</v>
      </c>
      <c r="N17" s="5">
        <f t="shared" si="24"/>
        <v>154.35483870967741</v>
      </c>
      <c r="O17" s="3">
        <f>L17</f>
        <v>58</v>
      </c>
      <c r="P17" s="5">
        <f>N17-O17</f>
        <v>96.354838709677409</v>
      </c>
      <c r="Q17" s="5">
        <f>H17-G17</f>
        <v>11</v>
      </c>
      <c r="R17" s="7">
        <f t="shared" si="28"/>
        <v>935.48387096774195</v>
      </c>
      <c r="S17" s="6">
        <f>J17+K17+L17</f>
        <v>254</v>
      </c>
      <c r="T17" s="7">
        <f>R17-S17</f>
        <v>681.48387096774195</v>
      </c>
      <c r="U17" s="7">
        <f t="shared" si="57"/>
        <v>3858.8709677419365</v>
      </c>
      <c r="V17" s="7">
        <f t="shared" si="57"/>
        <v>1236</v>
      </c>
      <c r="W17" s="7">
        <f>U17-V17</f>
        <v>2622.8709677419365</v>
      </c>
      <c r="X17" s="7">
        <f t="shared" si="58"/>
        <v>23387.096774193556</v>
      </c>
      <c r="Y17" s="7">
        <f t="shared" si="58"/>
        <v>6839</v>
      </c>
      <c r="Z17" s="7">
        <f>X17-Y17</f>
        <v>16548.096774193556</v>
      </c>
      <c r="AA17" s="24">
        <f>COS(ATAN(M17/S17))</f>
        <v>0.97235254239993019</v>
      </c>
      <c r="AB17" s="25"/>
    </row>
    <row r="18" spans="2:28" ht="18" x14ac:dyDescent="0.25">
      <c r="B18" s="3">
        <v>24</v>
      </c>
      <c r="C18" s="3">
        <f>C19+119</f>
        <v>676167</v>
      </c>
      <c r="D18" s="3">
        <f>D19+90</f>
        <v>1350619</v>
      </c>
      <c r="E18" s="3">
        <f>E19+61</f>
        <v>452774</v>
      </c>
      <c r="F18" s="8">
        <f t="shared" si="38"/>
        <v>2479560</v>
      </c>
      <c r="G18" s="22">
        <f t="shared" si="39"/>
        <v>2479374.375</v>
      </c>
      <c r="H18" s="7">
        <f t="shared" si="40"/>
        <v>2479385.625</v>
      </c>
      <c r="I18" s="3">
        <f>I19+59</f>
        <v>788540</v>
      </c>
      <c r="J18" s="6">
        <f t="shared" si="55"/>
        <v>119</v>
      </c>
      <c r="K18" s="6">
        <f t="shared" si="55"/>
        <v>90</v>
      </c>
      <c r="L18" s="6">
        <f>E18-E19</f>
        <v>61</v>
      </c>
      <c r="M18" s="6">
        <f>I18-I19</f>
        <v>59</v>
      </c>
      <c r="N18" s="5">
        <f t="shared" si="24"/>
        <v>154.35483870967741</v>
      </c>
      <c r="O18" s="3">
        <f>L18</f>
        <v>61</v>
      </c>
      <c r="P18" s="5">
        <f>N18-O18</f>
        <v>93.354838709677409</v>
      </c>
      <c r="Q18" s="5">
        <f>H18-G18</f>
        <v>11.25</v>
      </c>
      <c r="R18" s="7">
        <f t="shared" si="28"/>
        <v>935.48387096774195</v>
      </c>
      <c r="S18" s="6">
        <f>J18+K18+L18</f>
        <v>270</v>
      </c>
      <c r="T18" s="7">
        <f>R18-S18</f>
        <v>665.48387096774195</v>
      </c>
      <c r="U18" s="7">
        <f t="shared" si="57"/>
        <v>3704.516129032259</v>
      </c>
      <c r="V18" s="7">
        <f t="shared" si="57"/>
        <v>1178</v>
      </c>
      <c r="W18" s="7">
        <f>U18-V18</f>
        <v>2526.516129032259</v>
      </c>
      <c r="X18" s="7">
        <f t="shared" si="58"/>
        <v>22451.612903225814</v>
      </c>
      <c r="Y18" s="7">
        <f t="shared" si="58"/>
        <v>6585</v>
      </c>
      <c r="Z18" s="7">
        <f>X18-Y18</f>
        <v>15866.612903225814</v>
      </c>
      <c r="AA18" s="24">
        <f>COS(ATAN(M18/S18))</f>
        <v>0.97694720373551103</v>
      </c>
      <c r="AB18" s="25"/>
    </row>
    <row r="19" spans="2:28" ht="18" x14ac:dyDescent="0.25">
      <c r="B19" s="3">
        <v>23</v>
      </c>
      <c r="C19" s="3">
        <f>C20+121</f>
        <v>676048</v>
      </c>
      <c r="D19" s="3">
        <f>D20+81</f>
        <v>1350529</v>
      </c>
      <c r="E19" s="3">
        <f>E20+57</f>
        <v>452713</v>
      </c>
      <c r="F19" s="8">
        <f t="shared" si="38"/>
        <v>2479290</v>
      </c>
      <c r="G19" s="22">
        <f t="shared" si="39"/>
        <v>2479111.9375</v>
      </c>
      <c r="H19" s="7">
        <f t="shared" si="40"/>
        <v>2479122.0625</v>
      </c>
      <c r="I19" s="3">
        <f>I20+57</f>
        <v>788481</v>
      </c>
      <c r="J19" s="6">
        <f t="shared" si="55"/>
        <v>121</v>
      </c>
      <c r="K19" s="6">
        <f t="shared" si="55"/>
        <v>81</v>
      </c>
      <c r="L19" s="6">
        <f>E19-E20</f>
        <v>57</v>
      </c>
      <c r="M19" s="6">
        <f>I19-I20</f>
        <v>57</v>
      </c>
      <c r="N19" s="5">
        <f t="shared" si="24"/>
        <v>154.35483870967741</v>
      </c>
      <c r="O19" s="3">
        <f>L19</f>
        <v>57</v>
      </c>
      <c r="P19" s="5">
        <f>N19-O19</f>
        <v>97.354838709677409</v>
      </c>
      <c r="Q19" s="5">
        <f>H19-G19</f>
        <v>10.125</v>
      </c>
      <c r="R19" s="7">
        <f t="shared" si="28"/>
        <v>935.48387096774195</v>
      </c>
      <c r="S19" s="6">
        <f>J19+K19+L19</f>
        <v>259</v>
      </c>
      <c r="T19" s="7">
        <f>R19-S19</f>
        <v>676.48387096774195</v>
      </c>
      <c r="U19" s="7">
        <f t="shared" si="57"/>
        <v>3550.1612903225814</v>
      </c>
      <c r="V19" s="7">
        <f t="shared" si="57"/>
        <v>1117</v>
      </c>
      <c r="W19" s="7">
        <f>U19-V19</f>
        <v>2433.1612903225814</v>
      </c>
      <c r="X19" s="7">
        <f t="shared" si="58"/>
        <v>21516.129032258072</v>
      </c>
      <c r="Y19" s="7">
        <f t="shared" si="58"/>
        <v>6315</v>
      </c>
      <c r="Z19" s="7">
        <f>X19-Y19</f>
        <v>15201.129032258072</v>
      </c>
      <c r="AA19" s="24">
        <f>COS(ATAN(M19/S19))</f>
        <v>0.97662863863195415</v>
      </c>
      <c r="AB19" s="1"/>
    </row>
    <row r="20" spans="2:28" ht="18" x14ac:dyDescent="0.25">
      <c r="B20" s="3">
        <v>22</v>
      </c>
      <c r="C20" s="3">
        <f>C21+130</f>
        <v>675927</v>
      </c>
      <c r="D20" s="3">
        <f>D21+84</f>
        <v>1350448</v>
      </c>
      <c r="E20" s="3">
        <f>E21+49</f>
        <v>452656</v>
      </c>
      <c r="F20" s="8">
        <f t="shared" si="38"/>
        <v>2479031</v>
      </c>
      <c r="G20" s="22">
        <f t="shared" si="39"/>
        <v>2478850.1875</v>
      </c>
      <c r="H20" s="7">
        <f t="shared" si="40"/>
        <v>2478860.6875</v>
      </c>
      <c r="I20" s="3">
        <f>I21+55</f>
        <v>788424</v>
      </c>
      <c r="J20" s="6">
        <f t="shared" si="41"/>
        <v>130</v>
      </c>
      <c r="K20" s="6">
        <f t="shared" si="41"/>
        <v>84</v>
      </c>
      <c r="L20" s="6">
        <f t="shared" si="41"/>
        <v>49</v>
      </c>
      <c r="M20" s="6">
        <f t="shared" si="42"/>
        <v>55</v>
      </c>
      <c r="N20" s="5">
        <f t="shared" si="24"/>
        <v>154.35483870967741</v>
      </c>
      <c r="O20" s="3">
        <f t="shared" si="43"/>
        <v>49</v>
      </c>
      <c r="P20" s="5">
        <f t="shared" si="44"/>
        <v>105.35483870967741</v>
      </c>
      <c r="Q20" s="5">
        <f t="shared" si="45"/>
        <v>10.5</v>
      </c>
      <c r="R20" s="7">
        <f t="shared" si="28"/>
        <v>935.48387096774195</v>
      </c>
      <c r="S20" s="6">
        <f t="shared" si="46"/>
        <v>263</v>
      </c>
      <c r="T20" s="7">
        <f t="shared" si="47"/>
        <v>672.48387096774195</v>
      </c>
      <c r="U20" s="7">
        <f t="shared" si="48"/>
        <v>3395.8064516129039</v>
      </c>
      <c r="V20" s="7">
        <f t="shared" si="48"/>
        <v>1060</v>
      </c>
      <c r="W20" s="7">
        <f t="shared" si="49"/>
        <v>2335.8064516129039</v>
      </c>
      <c r="X20" s="7">
        <f t="shared" si="50"/>
        <v>20580.645161290329</v>
      </c>
      <c r="Y20" s="7">
        <f t="shared" si="50"/>
        <v>6056</v>
      </c>
      <c r="Z20" s="7">
        <f t="shared" si="51"/>
        <v>14524.645161290329</v>
      </c>
      <c r="AA20" s="24">
        <f t="shared" si="52"/>
        <v>0.97882532200497541</v>
      </c>
      <c r="AB20" s="1"/>
    </row>
    <row r="21" spans="2:28" ht="18" x14ac:dyDescent="0.25">
      <c r="B21" s="3">
        <v>21</v>
      </c>
      <c r="C21" s="3">
        <v>675797</v>
      </c>
      <c r="D21" s="3">
        <v>1350364</v>
      </c>
      <c r="E21" s="3">
        <v>452607</v>
      </c>
      <c r="F21" s="8">
        <f t="shared" si="38"/>
        <v>2478768</v>
      </c>
      <c r="G21" s="22">
        <f t="shared" si="39"/>
        <v>2478554.1875</v>
      </c>
      <c r="H21" s="7">
        <f t="shared" si="40"/>
        <v>2478562.8125</v>
      </c>
      <c r="I21" s="3">
        <v>788369</v>
      </c>
      <c r="J21" s="6">
        <f t="shared" si="41"/>
        <v>194</v>
      </c>
      <c r="K21" s="6">
        <f t="shared" si="41"/>
        <v>69</v>
      </c>
      <c r="L21" s="6">
        <f t="shared" si="41"/>
        <v>48</v>
      </c>
      <c r="M21" s="6">
        <f t="shared" si="42"/>
        <v>60</v>
      </c>
      <c r="N21" s="5">
        <f t="shared" si="24"/>
        <v>154.35483870967741</v>
      </c>
      <c r="O21" s="3">
        <f t="shared" si="43"/>
        <v>48</v>
      </c>
      <c r="P21" s="5">
        <f t="shared" si="44"/>
        <v>106.35483870967741</v>
      </c>
      <c r="Q21" s="5">
        <f t="shared" si="45"/>
        <v>8.625</v>
      </c>
      <c r="R21" s="7">
        <f t="shared" si="28"/>
        <v>935.48387096774195</v>
      </c>
      <c r="S21" s="6">
        <f t="shared" si="46"/>
        <v>311</v>
      </c>
      <c r="T21" s="7">
        <f t="shared" si="47"/>
        <v>624.48387096774195</v>
      </c>
      <c r="U21" s="7">
        <f t="shared" si="48"/>
        <v>3241.4516129032263</v>
      </c>
      <c r="V21" s="7">
        <f t="shared" si="48"/>
        <v>1011</v>
      </c>
      <c r="W21" s="7">
        <f t="shared" si="49"/>
        <v>2230.4516129032263</v>
      </c>
      <c r="X21" s="7">
        <f t="shared" si="50"/>
        <v>19645.161290322587</v>
      </c>
      <c r="Y21" s="7">
        <f t="shared" si="50"/>
        <v>5793</v>
      </c>
      <c r="Z21" s="7">
        <f t="shared" si="51"/>
        <v>13852.161290322587</v>
      </c>
      <c r="AA21" s="24">
        <f t="shared" si="52"/>
        <v>0.98189367562854368</v>
      </c>
      <c r="AB21" s="1"/>
    </row>
    <row r="22" spans="2:28" ht="18" x14ac:dyDescent="0.25">
      <c r="B22" s="3">
        <v>20</v>
      </c>
      <c r="C22" s="3">
        <f>C23+197</f>
        <v>675603</v>
      </c>
      <c r="D22" s="3">
        <f t="shared" ref="D22" si="59">D23+56</f>
        <v>1350295</v>
      </c>
      <c r="E22" s="3">
        <f>E23+51</f>
        <v>452559</v>
      </c>
      <c r="F22" s="8">
        <f t="shared" si="38"/>
        <v>2478457</v>
      </c>
      <c r="G22" s="22">
        <f t="shared" si="39"/>
        <v>2478248</v>
      </c>
      <c r="H22" s="7">
        <f t="shared" si="40"/>
        <v>2478255</v>
      </c>
      <c r="I22" s="3">
        <f>I23+66</f>
        <v>788309</v>
      </c>
      <c r="J22" s="6">
        <f t="shared" si="41"/>
        <v>197</v>
      </c>
      <c r="K22" s="6">
        <f t="shared" si="41"/>
        <v>56</v>
      </c>
      <c r="L22" s="6">
        <f t="shared" si="41"/>
        <v>51</v>
      </c>
      <c r="M22" s="6">
        <f t="shared" si="42"/>
        <v>66</v>
      </c>
      <c r="N22" s="5">
        <f t="shared" si="24"/>
        <v>154.35483870967741</v>
      </c>
      <c r="O22" s="3">
        <f t="shared" si="43"/>
        <v>51</v>
      </c>
      <c r="P22" s="5">
        <f t="shared" si="44"/>
        <v>103.35483870967741</v>
      </c>
      <c r="Q22" s="5">
        <f t="shared" si="45"/>
        <v>7</v>
      </c>
      <c r="R22" s="7">
        <f t="shared" si="28"/>
        <v>935.48387096774195</v>
      </c>
      <c r="S22" s="6">
        <f t="shared" si="46"/>
        <v>304</v>
      </c>
      <c r="T22" s="7">
        <f t="shared" si="47"/>
        <v>631.48387096774195</v>
      </c>
      <c r="U22" s="7">
        <f t="shared" si="48"/>
        <v>3087.0967741935488</v>
      </c>
      <c r="V22" s="7">
        <f t="shared" si="48"/>
        <v>963</v>
      </c>
      <c r="W22" s="7">
        <f t="shared" si="49"/>
        <v>2124.0967741935488</v>
      </c>
      <c r="X22" s="7">
        <f t="shared" si="50"/>
        <v>18709.677419354844</v>
      </c>
      <c r="Y22" s="7">
        <f t="shared" si="50"/>
        <v>5482</v>
      </c>
      <c r="Z22" s="7">
        <f t="shared" si="51"/>
        <v>13227.677419354844</v>
      </c>
      <c r="AA22" s="24">
        <f t="shared" si="52"/>
        <v>0.97723435249937529</v>
      </c>
      <c r="AB22" s="1"/>
    </row>
    <row r="23" spans="2:28" ht="18" x14ac:dyDescent="0.25">
      <c r="B23" s="3">
        <v>19</v>
      </c>
      <c r="C23" s="3">
        <f>C24+170</f>
        <v>675406</v>
      </c>
      <c r="D23" s="3">
        <f>D24+57</f>
        <v>1350239</v>
      </c>
      <c r="E23" s="3">
        <f>E24+47</f>
        <v>452508</v>
      </c>
      <c r="F23" s="8">
        <f t="shared" si="38"/>
        <v>2478153</v>
      </c>
      <c r="G23" s="22">
        <f t="shared" si="39"/>
        <v>2477964.625</v>
      </c>
      <c r="H23" s="7">
        <f>G23+((K23/12)*1.5)</f>
        <v>2477971.75</v>
      </c>
      <c r="I23" s="3">
        <f>I24+63</f>
        <v>788243</v>
      </c>
      <c r="J23" s="6">
        <f t="shared" si="41"/>
        <v>170</v>
      </c>
      <c r="K23" s="6">
        <f t="shared" si="41"/>
        <v>57</v>
      </c>
      <c r="L23" s="6">
        <f t="shared" si="41"/>
        <v>47</v>
      </c>
      <c r="M23" s="6">
        <f t="shared" si="42"/>
        <v>63</v>
      </c>
      <c r="N23" s="5">
        <f t="shared" si="24"/>
        <v>154.35483870967741</v>
      </c>
      <c r="O23" s="3">
        <f t="shared" si="43"/>
        <v>47</v>
      </c>
      <c r="P23" s="5">
        <f t="shared" si="44"/>
        <v>107.35483870967741</v>
      </c>
      <c r="Q23" s="5">
        <f t="shared" si="45"/>
        <v>7.125</v>
      </c>
      <c r="R23" s="7">
        <f t="shared" si="28"/>
        <v>935.48387096774195</v>
      </c>
      <c r="S23" s="6">
        <f t="shared" si="46"/>
        <v>274</v>
      </c>
      <c r="T23" s="7">
        <f t="shared" si="47"/>
        <v>661.48387096774195</v>
      </c>
      <c r="U23" s="7">
        <f t="shared" si="48"/>
        <v>2932.7419354838712</v>
      </c>
      <c r="V23" s="7">
        <f t="shared" si="48"/>
        <v>912</v>
      </c>
      <c r="W23" s="7">
        <f t="shared" si="49"/>
        <v>2020.7419354838712</v>
      </c>
      <c r="X23" s="7">
        <f t="shared" si="50"/>
        <v>17774.193548387102</v>
      </c>
      <c r="Y23" s="7">
        <f t="shared" si="50"/>
        <v>5178</v>
      </c>
      <c r="Z23" s="7">
        <f t="shared" si="51"/>
        <v>12596.193548387102</v>
      </c>
      <c r="AA23" s="24">
        <f t="shared" si="52"/>
        <v>0.97457072364641795</v>
      </c>
      <c r="AB23" s="1"/>
    </row>
    <row r="24" spans="2:28" ht="18" x14ac:dyDescent="0.25">
      <c r="B24" s="3">
        <v>18</v>
      </c>
      <c r="C24" s="3">
        <f>C25+192</f>
        <v>675236</v>
      </c>
      <c r="D24" s="3">
        <f>D25+53</f>
        <v>1350182</v>
      </c>
      <c r="E24" s="3">
        <f>E25+55</f>
        <v>452461</v>
      </c>
      <c r="F24" s="8">
        <f t="shared" si="38"/>
        <v>2477879</v>
      </c>
      <c r="G24" s="22">
        <f t="shared" si="39"/>
        <v>2477672.75</v>
      </c>
      <c r="H24" s="7">
        <f t="shared" si="40"/>
        <v>2477679.375</v>
      </c>
      <c r="I24" s="3">
        <f>I25+64</f>
        <v>788180</v>
      </c>
      <c r="J24" s="6">
        <f t="shared" si="41"/>
        <v>192</v>
      </c>
      <c r="K24" s="6">
        <f t="shared" si="41"/>
        <v>53</v>
      </c>
      <c r="L24" s="6">
        <f t="shared" si="41"/>
        <v>55</v>
      </c>
      <c r="M24" s="6">
        <f t="shared" si="42"/>
        <v>64</v>
      </c>
      <c r="N24" s="5">
        <f t="shared" si="24"/>
        <v>154.35483870967741</v>
      </c>
      <c r="O24" s="3">
        <f t="shared" si="43"/>
        <v>55</v>
      </c>
      <c r="P24" s="5">
        <f t="shared" si="44"/>
        <v>99.354838709677409</v>
      </c>
      <c r="Q24" s="5">
        <f t="shared" si="45"/>
        <v>6.625</v>
      </c>
      <c r="R24" s="7">
        <f t="shared" si="28"/>
        <v>935.48387096774195</v>
      </c>
      <c r="S24" s="6">
        <f t="shared" si="46"/>
        <v>300</v>
      </c>
      <c r="T24" s="7">
        <f t="shared" si="47"/>
        <v>635.48387096774195</v>
      </c>
      <c r="U24" s="7">
        <f t="shared" si="48"/>
        <v>2778.3870967741937</v>
      </c>
      <c r="V24" s="7">
        <f t="shared" si="48"/>
        <v>865</v>
      </c>
      <c r="W24" s="7">
        <f t="shared" si="49"/>
        <v>1913.3870967741937</v>
      </c>
      <c r="X24" s="7">
        <f t="shared" si="50"/>
        <v>16838.70967741936</v>
      </c>
      <c r="Y24" s="7">
        <f t="shared" si="50"/>
        <v>4904</v>
      </c>
      <c r="Z24" s="7">
        <f t="shared" si="51"/>
        <v>11934.70967741936</v>
      </c>
      <c r="AA24" s="24">
        <f t="shared" si="52"/>
        <v>0.97799283642430757</v>
      </c>
      <c r="AB24" s="1"/>
    </row>
    <row r="25" spans="2:28" ht="18" x14ac:dyDescent="0.25">
      <c r="B25" s="3">
        <v>17</v>
      </c>
      <c r="C25" s="3">
        <f>C26+169</f>
        <v>675044</v>
      </c>
      <c r="D25" s="3">
        <f>D26+48</f>
        <v>1350129</v>
      </c>
      <c r="E25" s="3">
        <f t="shared" ref="E25" si="60">E26+50</f>
        <v>452406</v>
      </c>
      <c r="F25" s="8">
        <f t="shared" si="38"/>
        <v>2477579</v>
      </c>
      <c r="G25" s="22">
        <f t="shared" si="39"/>
        <v>2477395.4375</v>
      </c>
      <c r="H25" s="7">
        <f t="shared" si="40"/>
        <v>2477401.4375</v>
      </c>
      <c r="I25" s="3">
        <f>I26+57</f>
        <v>788116</v>
      </c>
      <c r="J25" s="6">
        <f t="shared" si="41"/>
        <v>169</v>
      </c>
      <c r="K25" s="6">
        <f t="shared" si="41"/>
        <v>48</v>
      </c>
      <c r="L25" s="6">
        <f t="shared" si="41"/>
        <v>50</v>
      </c>
      <c r="M25" s="7">
        <f t="shared" si="42"/>
        <v>57</v>
      </c>
      <c r="N25" s="5">
        <f t="shared" si="24"/>
        <v>154.35483870967741</v>
      </c>
      <c r="O25" s="3">
        <f t="shared" si="43"/>
        <v>50</v>
      </c>
      <c r="P25" s="5">
        <f t="shared" si="44"/>
        <v>104.35483870967741</v>
      </c>
      <c r="Q25" s="5">
        <f t="shared" si="45"/>
        <v>6</v>
      </c>
      <c r="R25" s="7">
        <f t="shared" si="28"/>
        <v>935.48387096774195</v>
      </c>
      <c r="S25" s="6">
        <f t="shared" si="46"/>
        <v>267</v>
      </c>
      <c r="T25" s="7">
        <f t="shared" si="47"/>
        <v>668.48387096774195</v>
      </c>
      <c r="U25" s="7">
        <f t="shared" si="48"/>
        <v>2624.0322580645161</v>
      </c>
      <c r="V25" s="6">
        <f t="shared" si="48"/>
        <v>810</v>
      </c>
      <c r="W25" s="7">
        <f t="shared" si="49"/>
        <v>1814.0322580645161</v>
      </c>
      <c r="X25" s="7">
        <f t="shared" si="50"/>
        <v>15903.225806451619</v>
      </c>
      <c r="Y25" s="7">
        <f t="shared" si="50"/>
        <v>4604</v>
      </c>
      <c r="Z25" s="7">
        <f t="shared" si="51"/>
        <v>11299.225806451619</v>
      </c>
      <c r="AA25" s="24">
        <f t="shared" si="52"/>
        <v>0.97796293120343647</v>
      </c>
      <c r="AB25" s="1"/>
    </row>
    <row r="26" spans="2:28" ht="18" x14ac:dyDescent="0.25">
      <c r="B26" s="3">
        <v>16</v>
      </c>
      <c r="C26" s="3">
        <f>C27+148</f>
        <v>674875</v>
      </c>
      <c r="D26" s="3">
        <f>D27+59</f>
        <v>1350081</v>
      </c>
      <c r="E26" s="3">
        <f>E27+53</f>
        <v>452356</v>
      </c>
      <c r="F26" s="8">
        <f t="shared" si="38"/>
        <v>2477312</v>
      </c>
      <c r="G26" s="22">
        <f t="shared" si="39"/>
        <v>2477133.25</v>
      </c>
      <c r="H26" s="7">
        <f t="shared" si="40"/>
        <v>2477140.625</v>
      </c>
      <c r="I26" s="3">
        <f>I27+54</f>
        <v>788059</v>
      </c>
      <c r="J26" s="6">
        <f t="shared" si="41"/>
        <v>148</v>
      </c>
      <c r="K26" s="6">
        <f t="shared" si="41"/>
        <v>59</v>
      </c>
      <c r="L26" s="6">
        <f t="shared" si="41"/>
        <v>53</v>
      </c>
      <c r="M26" s="7">
        <f t="shared" si="42"/>
        <v>54</v>
      </c>
      <c r="N26" s="5">
        <f t="shared" si="24"/>
        <v>154.35483870967741</v>
      </c>
      <c r="O26" s="3">
        <f t="shared" si="43"/>
        <v>53</v>
      </c>
      <c r="P26" s="5">
        <f t="shared" si="44"/>
        <v>101.35483870967741</v>
      </c>
      <c r="Q26" s="5">
        <f t="shared" si="45"/>
        <v>7.375</v>
      </c>
      <c r="R26" s="7">
        <f t="shared" si="28"/>
        <v>935.48387096774195</v>
      </c>
      <c r="S26" s="6">
        <f t="shared" si="46"/>
        <v>260</v>
      </c>
      <c r="T26" s="7">
        <f t="shared" si="47"/>
        <v>675.48387096774195</v>
      </c>
      <c r="U26" s="7">
        <f t="shared" si="48"/>
        <v>2469.6774193548385</v>
      </c>
      <c r="V26" s="6">
        <f t="shared" si="48"/>
        <v>760</v>
      </c>
      <c r="W26" s="7">
        <f t="shared" si="49"/>
        <v>1709.6774193548385</v>
      </c>
      <c r="X26" s="7">
        <f t="shared" si="50"/>
        <v>14967.741935483877</v>
      </c>
      <c r="Y26" s="7">
        <f t="shared" si="50"/>
        <v>4337</v>
      </c>
      <c r="Z26" s="7">
        <f t="shared" si="51"/>
        <v>10630.741935483877</v>
      </c>
      <c r="AA26" s="24">
        <f t="shared" si="52"/>
        <v>0.97910555242802799</v>
      </c>
      <c r="AB26" s="1"/>
    </row>
    <row r="27" spans="2:28" ht="18" x14ac:dyDescent="0.25">
      <c r="B27" s="3">
        <v>15</v>
      </c>
      <c r="C27" s="3">
        <f>C28+139</f>
        <v>674727</v>
      </c>
      <c r="D27" s="3">
        <f>D28+56</f>
        <v>1350022</v>
      </c>
      <c r="E27" s="3">
        <f>E28+50</f>
        <v>452303</v>
      </c>
      <c r="F27" s="8">
        <f t="shared" si="38"/>
        <v>2477052</v>
      </c>
      <c r="G27" s="22">
        <f t="shared" si="39"/>
        <v>2476883.5625</v>
      </c>
      <c r="H27" s="7">
        <f t="shared" si="40"/>
        <v>2476890.5625</v>
      </c>
      <c r="I27" s="3">
        <f>I28+59</f>
        <v>788005</v>
      </c>
      <c r="J27" s="6">
        <f t="shared" si="41"/>
        <v>139</v>
      </c>
      <c r="K27" s="6">
        <f t="shared" si="41"/>
        <v>56</v>
      </c>
      <c r="L27" s="6">
        <f t="shared" si="41"/>
        <v>50</v>
      </c>
      <c r="M27" s="7">
        <f t="shared" si="42"/>
        <v>59</v>
      </c>
      <c r="N27" s="5">
        <f t="shared" si="24"/>
        <v>154.35483870967741</v>
      </c>
      <c r="O27" s="3">
        <f t="shared" si="43"/>
        <v>50</v>
      </c>
      <c r="P27" s="5">
        <f t="shared" si="44"/>
        <v>104.35483870967741</v>
      </c>
      <c r="Q27" s="5">
        <f t="shared" si="45"/>
        <v>7</v>
      </c>
      <c r="R27" s="7">
        <f t="shared" si="28"/>
        <v>935.48387096774195</v>
      </c>
      <c r="S27" s="6">
        <f t="shared" si="46"/>
        <v>245</v>
      </c>
      <c r="T27" s="7">
        <f t="shared" si="47"/>
        <v>690.48387096774195</v>
      </c>
      <c r="U27" s="7">
        <f t="shared" si="48"/>
        <v>2315.322580645161</v>
      </c>
      <c r="V27" s="6">
        <f t="shared" si="48"/>
        <v>707</v>
      </c>
      <c r="W27" s="7">
        <f t="shared" si="49"/>
        <v>1608.322580645161</v>
      </c>
      <c r="X27" s="7">
        <f t="shared" si="50"/>
        <v>14032.258064516134</v>
      </c>
      <c r="Y27" s="7">
        <f t="shared" si="50"/>
        <v>4077</v>
      </c>
      <c r="Z27" s="7">
        <f t="shared" si="51"/>
        <v>9955.2580645161343</v>
      </c>
      <c r="AA27" s="24">
        <f t="shared" si="52"/>
        <v>0.97220691296204342</v>
      </c>
      <c r="AB27" s="1"/>
    </row>
    <row r="28" spans="2:28" ht="18" x14ac:dyDescent="0.25">
      <c r="B28" s="3">
        <v>14</v>
      </c>
      <c r="C28" s="3">
        <f>C29+157</f>
        <v>674588</v>
      </c>
      <c r="D28" s="3">
        <v>1349966</v>
      </c>
      <c r="E28" s="3">
        <v>452253</v>
      </c>
      <c r="F28" s="8">
        <f t="shared" si="38"/>
        <v>2476807</v>
      </c>
      <c r="G28" s="22">
        <f t="shared" si="39"/>
        <v>2476613.125</v>
      </c>
      <c r="H28" s="7">
        <f t="shared" si="40"/>
        <v>2476624.125</v>
      </c>
      <c r="I28" s="3">
        <v>787946</v>
      </c>
      <c r="J28" s="6">
        <f t="shared" si="41"/>
        <v>157</v>
      </c>
      <c r="K28" s="6">
        <f t="shared" si="41"/>
        <v>88</v>
      </c>
      <c r="L28" s="6">
        <f t="shared" si="41"/>
        <v>37</v>
      </c>
      <c r="M28" s="7">
        <f t="shared" si="42"/>
        <v>54</v>
      </c>
      <c r="N28" s="5">
        <f t="shared" si="24"/>
        <v>154.35483870967741</v>
      </c>
      <c r="O28" s="3">
        <f t="shared" si="43"/>
        <v>37</v>
      </c>
      <c r="P28" s="5">
        <f t="shared" si="44"/>
        <v>117.35483870967741</v>
      </c>
      <c r="Q28" s="5">
        <f t="shared" si="45"/>
        <v>11</v>
      </c>
      <c r="R28" s="7">
        <f t="shared" si="28"/>
        <v>935.48387096774195</v>
      </c>
      <c r="S28" s="6">
        <f t="shared" si="46"/>
        <v>282</v>
      </c>
      <c r="T28" s="7">
        <f t="shared" si="47"/>
        <v>653.48387096774195</v>
      </c>
      <c r="U28" s="7">
        <f t="shared" si="48"/>
        <v>2160.9677419354834</v>
      </c>
      <c r="V28" s="6">
        <f t="shared" si="48"/>
        <v>657</v>
      </c>
      <c r="W28" s="7">
        <f t="shared" si="49"/>
        <v>1503.9677419354834</v>
      </c>
      <c r="X28" s="7">
        <f t="shared" si="50"/>
        <v>13096.774193548392</v>
      </c>
      <c r="Y28" s="7">
        <f t="shared" si="50"/>
        <v>3832</v>
      </c>
      <c r="Z28" s="7">
        <f t="shared" si="51"/>
        <v>9264.7741935483918</v>
      </c>
      <c r="AA28" s="24">
        <f t="shared" si="52"/>
        <v>0.98215519189214628</v>
      </c>
      <c r="AB28" s="1"/>
    </row>
    <row r="29" spans="2:28" ht="18" x14ac:dyDescent="0.25">
      <c r="B29" s="3">
        <v>13</v>
      </c>
      <c r="C29" s="3">
        <f>C30+99</f>
        <v>674431</v>
      </c>
      <c r="D29" s="3">
        <f>D30+92</f>
        <v>1349878</v>
      </c>
      <c r="E29" s="3">
        <f>E30+33</f>
        <v>452216</v>
      </c>
      <c r="F29" s="8">
        <f t="shared" si="38"/>
        <v>2476525</v>
      </c>
      <c r="G29" s="22">
        <f t="shared" si="39"/>
        <v>2476371</v>
      </c>
      <c r="H29" s="7">
        <f t="shared" si="40"/>
        <v>2476382.5</v>
      </c>
      <c r="I29" s="3">
        <f>I30+48</f>
        <v>787892</v>
      </c>
      <c r="J29" s="6">
        <f t="shared" si="41"/>
        <v>99</v>
      </c>
      <c r="K29" s="6">
        <f t="shared" si="41"/>
        <v>92</v>
      </c>
      <c r="L29" s="6">
        <f t="shared" si="41"/>
        <v>33</v>
      </c>
      <c r="M29" s="6">
        <f t="shared" si="42"/>
        <v>48</v>
      </c>
      <c r="N29" s="5">
        <f t="shared" si="24"/>
        <v>154.35483870967741</v>
      </c>
      <c r="O29" s="3">
        <f t="shared" si="43"/>
        <v>33</v>
      </c>
      <c r="P29" s="5">
        <f t="shared" si="44"/>
        <v>121.35483870967741</v>
      </c>
      <c r="Q29" s="5">
        <f t="shared" si="45"/>
        <v>11.5</v>
      </c>
      <c r="R29" s="7">
        <f t="shared" si="28"/>
        <v>935.48387096774195</v>
      </c>
      <c r="S29" s="6">
        <f t="shared" si="46"/>
        <v>224</v>
      </c>
      <c r="T29" s="7">
        <f t="shared" si="47"/>
        <v>711.48387096774195</v>
      </c>
      <c r="U29" s="7">
        <f t="shared" si="48"/>
        <v>2006.6129032258059</v>
      </c>
      <c r="V29" s="6">
        <f t="shared" si="48"/>
        <v>620</v>
      </c>
      <c r="W29" s="7">
        <f t="shared" si="49"/>
        <v>1386.6129032258059</v>
      </c>
      <c r="X29" s="7">
        <f t="shared" si="50"/>
        <v>12161.290322580649</v>
      </c>
      <c r="Y29" s="7">
        <f t="shared" si="50"/>
        <v>3550</v>
      </c>
      <c r="Z29" s="7">
        <f t="shared" si="51"/>
        <v>8611.2903225806494</v>
      </c>
      <c r="AA29" s="24">
        <f t="shared" si="52"/>
        <v>0.97780241407740953</v>
      </c>
      <c r="AB29" s="1"/>
    </row>
    <row r="30" spans="2:28" ht="18" x14ac:dyDescent="0.25">
      <c r="B30" s="3">
        <v>12</v>
      </c>
      <c r="C30" s="3">
        <f>C31+79</f>
        <v>674332</v>
      </c>
      <c r="D30" s="3">
        <f>D31+83</f>
        <v>1349786</v>
      </c>
      <c r="E30" s="3">
        <f>E31+27</f>
        <v>452183</v>
      </c>
      <c r="F30" s="8">
        <f t="shared" si="38"/>
        <v>2476301</v>
      </c>
      <c r="G30" s="22">
        <f t="shared" si="39"/>
        <v>2476171.0625</v>
      </c>
      <c r="H30" s="7">
        <f t="shared" si="40"/>
        <v>2476181.4375</v>
      </c>
      <c r="I30" s="3">
        <f>I31+41</f>
        <v>787844</v>
      </c>
      <c r="J30" s="6">
        <f t="shared" ref="J30:L32" si="61">C30-C31</f>
        <v>79</v>
      </c>
      <c r="K30" s="6">
        <f t="shared" si="61"/>
        <v>83</v>
      </c>
      <c r="L30" s="6">
        <f t="shared" si="61"/>
        <v>27</v>
      </c>
      <c r="M30" s="6">
        <f t="shared" si="42"/>
        <v>41</v>
      </c>
      <c r="N30" s="5">
        <f t="shared" si="24"/>
        <v>154.35483870967741</v>
      </c>
      <c r="O30" s="3">
        <f t="shared" si="43"/>
        <v>27</v>
      </c>
      <c r="P30" s="5">
        <f t="shared" si="44"/>
        <v>127.35483870967741</v>
      </c>
      <c r="Q30" s="5">
        <f t="shared" si="45"/>
        <v>10.375</v>
      </c>
      <c r="R30" s="7">
        <f t="shared" si="28"/>
        <v>935.48387096774195</v>
      </c>
      <c r="S30" s="6">
        <f t="shared" si="46"/>
        <v>189</v>
      </c>
      <c r="T30" s="7">
        <f t="shared" si="47"/>
        <v>746.48387096774195</v>
      </c>
      <c r="U30" s="7">
        <f t="shared" si="48"/>
        <v>1852.2580645161286</v>
      </c>
      <c r="V30" s="6">
        <f t="shared" si="48"/>
        <v>587</v>
      </c>
      <c r="W30" s="7">
        <f t="shared" si="49"/>
        <v>1265.2580645161286</v>
      </c>
      <c r="X30" s="7">
        <f t="shared" si="50"/>
        <v>11225.806451612907</v>
      </c>
      <c r="Y30" s="7">
        <f t="shared" si="50"/>
        <v>3326</v>
      </c>
      <c r="Z30" s="7">
        <f t="shared" si="51"/>
        <v>7899.806451612907</v>
      </c>
      <c r="AA30" s="24">
        <f t="shared" si="52"/>
        <v>0.97726960423658926</v>
      </c>
      <c r="AB30" s="1"/>
    </row>
    <row r="31" spans="2:28" ht="18" x14ac:dyDescent="0.25">
      <c r="B31" s="3">
        <v>11</v>
      </c>
      <c r="C31" s="3">
        <f>C32+62</f>
        <v>674253</v>
      </c>
      <c r="D31" s="3">
        <f>D32+83</f>
        <v>1349703</v>
      </c>
      <c r="E31" s="3">
        <f>E32+31</f>
        <v>452156</v>
      </c>
      <c r="F31" s="8">
        <f>C31+D31+E31</f>
        <v>2476112</v>
      </c>
      <c r="G31" s="22">
        <f t="shared" si="39"/>
        <v>2475991</v>
      </c>
      <c r="H31" s="7">
        <f t="shared" si="40"/>
        <v>2476001.375</v>
      </c>
      <c r="I31" s="3">
        <f>I32+47</f>
        <v>787803</v>
      </c>
      <c r="J31" s="6">
        <f t="shared" si="61"/>
        <v>62</v>
      </c>
      <c r="K31" s="6">
        <f t="shared" si="61"/>
        <v>83</v>
      </c>
      <c r="L31" s="6">
        <f t="shared" si="61"/>
        <v>31</v>
      </c>
      <c r="M31" s="6">
        <f t="shared" si="42"/>
        <v>47</v>
      </c>
      <c r="N31" s="5">
        <f t="shared" si="24"/>
        <v>154.35483870967741</v>
      </c>
      <c r="O31" s="3">
        <f t="shared" si="43"/>
        <v>31</v>
      </c>
      <c r="P31" s="5">
        <f t="shared" si="44"/>
        <v>123.35483870967741</v>
      </c>
      <c r="Q31" s="5">
        <f t="shared" si="45"/>
        <v>10.375</v>
      </c>
      <c r="R31" s="7">
        <f t="shared" si="28"/>
        <v>935.48387096774195</v>
      </c>
      <c r="S31" s="6">
        <f t="shared" si="46"/>
        <v>176</v>
      </c>
      <c r="T31" s="7">
        <f t="shared" si="47"/>
        <v>759.48387096774195</v>
      </c>
      <c r="U31" s="7">
        <f t="shared" si="48"/>
        <v>1697.9032258064512</v>
      </c>
      <c r="V31" s="6">
        <f t="shared" si="48"/>
        <v>560</v>
      </c>
      <c r="W31" s="7">
        <f t="shared" si="49"/>
        <v>1137.9032258064512</v>
      </c>
      <c r="X31" s="7">
        <f t="shared" si="50"/>
        <v>10290.322580645165</v>
      </c>
      <c r="Y31" s="7">
        <f t="shared" si="50"/>
        <v>3137</v>
      </c>
      <c r="Z31" s="7">
        <f t="shared" si="51"/>
        <v>7153.3225806451646</v>
      </c>
      <c r="AA31" s="24">
        <f t="shared" si="52"/>
        <v>0.96614376793644685</v>
      </c>
      <c r="AB31" s="1"/>
    </row>
    <row r="32" spans="2:28" ht="18" x14ac:dyDescent="0.25">
      <c r="B32" s="3">
        <v>10</v>
      </c>
      <c r="C32" s="3">
        <f>C33+59</f>
        <v>674191</v>
      </c>
      <c r="D32" s="3">
        <f>D33+97</f>
        <v>1349620</v>
      </c>
      <c r="E32" s="3">
        <f>E33+36</f>
        <v>452125</v>
      </c>
      <c r="F32" s="8">
        <f>C32+D32+E32</f>
        <v>2475936</v>
      </c>
      <c r="G32" s="22">
        <f t="shared" si="39"/>
        <v>2475804</v>
      </c>
      <c r="H32" s="7">
        <f t="shared" si="40"/>
        <v>2475816.125</v>
      </c>
      <c r="I32" s="3">
        <f>I33+53</f>
        <v>787756</v>
      </c>
      <c r="J32" s="6">
        <f t="shared" si="61"/>
        <v>59</v>
      </c>
      <c r="K32" s="6">
        <f t="shared" si="61"/>
        <v>97</v>
      </c>
      <c r="L32" s="6">
        <f t="shared" si="61"/>
        <v>36</v>
      </c>
      <c r="M32" s="6">
        <f t="shared" si="42"/>
        <v>53</v>
      </c>
      <c r="N32" s="5">
        <f t="shared" si="24"/>
        <v>154.35483870967741</v>
      </c>
      <c r="O32" s="3">
        <f t="shared" si="43"/>
        <v>36</v>
      </c>
      <c r="P32" s="5">
        <f t="shared" si="44"/>
        <v>118.35483870967741</v>
      </c>
      <c r="Q32" s="5">
        <f t="shared" si="45"/>
        <v>12.125</v>
      </c>
      <c r="R32" s="7">
        <f t="shared" si="28"/>
        <v>935.48387096774195</v>
      </c>
      <c r="S32" s="6">
        <f t="shared" si="46"/>
        <v>192</v>
      </c>
      <c r="T32" s="7">
        <f t="shared" si="47"/>
        <v>743.48387096774195</v>
      </c>
      <c r="U32" s="7">
        <f t="shared" si="48"/>
        <v>1543.5483870967739</v>
      </c>
      <c r="V32" s="6">
        <f t="shared" si="48"/>
        <v>529</v>
      </c>
      <c r="W32" s="7">
        <f t="shared" si="49"/>
        <v>1014.5483870967739</v>
      </c>
      <c r="X32" s="7">
        <f t="shared" si="50"/>
        <v>9354.8387096774222</v>
      </c>
      <c r="Y32" s="7">
        <f t="shared" si="50"/>
        <v>2961</v>
      </c>
      <c r="Z32" s="7">
        <f t="shared" si="51"/>
        <v>6393.8387096774222</v>
      </c>
      <c r="AA32" s="24">
        <f t="shared" si="52"/>
        <v>0.96394822410821124</v>
      </c>
      <c r="AB32" s="1"/>
    </row>
    <row r="33" spans="2:28" ht="18" x14ac:dyDescent="0.25">
      <c r="B33" s="3">
        <v>9</v>
      </c>
      <c r="C33" s="3">
        <f>C34+78</f>
        <v>674132</v>
      </c>
      <c r="D33" s="3">
        <f>D34+95</f>
        <v>1349523</v>
      </c>
      <c r="E33" s="3">
        <f>E34+38</f>
        <v>452089</v>
      </c>
      <c r="F33" s="9">
        <f>C33+D33+E33</f>
        <v>2475744</v>
      </c>
      <c r="G33" s="22">
        <f t="shared" si="39"/>
        <v>2475598.9375</v>
      </c>
      <c r="H33" s="7">
        <f t="shared" si="40"/>
        <v>2475610.8125</v>
      </c>
      <c r="I33" s="3">
        <f>I34+49</f>
        <v>787703</v>
      </c>
      <c r="J33" s="6">
        <f t="shared" si="41"/>
        <v>78</v>
      </c>
      <c r="K33" s="6">
        <f t="shared" si="41"/>
        <v>95</v>
      </c>
      <c r="L33" s="6">
        <f t="shared" si="41"/>
        <v>38</v>
      </c>
      <c r="M33" s="6">
        <f t="shared" si="42"/>
        <v>49</v>
      </c>
      <c r="N33" s="5">
        <f t="shared" si="24"/>
        <v>154.35483870967741</v>
      </c>
      <c r="O33" s="3">
        <f t="shared" si="43"/>
        <v>38</v>
      </c>
      <c r="P33" s="5">
        <f t="shared" si="44"/>
        <v>116.35483870967741</v>
      </c>
      <c r="Q33" s="5">
        <f t="shared" si="45"/>
        <v>11.875</v>
      </c>
      <c r="R33" s="7">
        <f t="shared" si="28"/>
        <v>935.48387096774195</v>
      </c>
      <c r="S33" s="6">
        <f t="shared" si="46"/>
        <v>211</v>
      </c>
      <c r="T33" s="7">
        <f t="shared" si="47"/>
        <v>724.48387096774195</v>
      </c>
      <c r="U33" s="7">
        <f t="shared" si="48"/>
        <v>1389.1935483870966</v>
      </c>
      <c r="V33" s="6">
        <f t="shared" si="48"/>
        <v>493</v>
      </c>
      <c r="W33" s="7">
        <f t="shared" si="49"/>
        <v>896.1935483870966</v>
      </c>
      <c r="X33" s="7">
        <f t="shared" si="50"/>
        <v>8419.3548387096798</v>
      </c>
      <c r="Y33" s="7">
        <f t="shared" si="50"/>
        <v>2769</v>
      </c>
      <c r="Z33" s="7">
        <f t="shared" si="51"/>
        <v>5650.3548387096798</v>
      </c>
      <c r="AA33" s="24">
        <f t="shared" si="52"/>
        <v>0.97407903844961408</v>
      </c>
      <c r="AB33" s="1"/>
    </row>
    <row r="34" spans="2:28" ht="18" x14ac:dyDescent="0.25">
      <c r="B34" s="3">
        <v>8</v>
      </c>
      <c r="C34" s="3">
        <f>C35+66</f>
        <v>674054</v>
      </c>
      <c r="D34" s="3">
        <f>D35+89</f>
        <v>1349428</v>
      </c>
      <c r="E34" s="3">
        <f>E35+39</f>
        <v>452051</v>
      </c>
      <c r="F34" s="8">
        <f t="shared" si="38"/>
        <v>2475533</v>
      </c>
      <c r="G34" s="22">
        <f t="shared" si="39"/>
        <v>2475399.625</v>
      </c>
      <c r="H34" s="7">
        <f t="shared" si="40"/>
        <v>2475410.75</v>
      </c>
      <c r="I34" s="3">
        <f>I35+59</f>
        <v>787654</v>
      </c>
      <c r="J34" s="6">
        <f t="shared" si="41"/>
        <v>66</v>
      </c>
      <c r="K34" s="6">
        <f t="shared" si="41"/>
        <v>89</v>
      </c>
      <c r="L34" s="6">
        <f t="shared" si="41"/>
        <v>39</v>
      </c>
      <c r="M34" s="6">
        <f t="shared" si="42"/>
        <v>59</v>
      </c>
      <c r="N34" s="5">
        <f t="shared" si="24"/>
        <v>154.35483870967741</v>
      </c>
      <c r="O34" s="3">
        <f t="shared" si="43"/>
        <v>39</v>
      </c>
      <c r="P34" s="5">
        <f t="shared" si="44"/>
        <v>115.35483870967741</v>
      </c>
      <c r="Q34" s="5">
        <f t="shared" si="45"/>
        <v>11.125</v>
      </c>
      <c r="R34" s="7">
        <f t="shared" si="28"/>
        <v>935.48387096774195</v>
      </c>
      <c r="S34" s="6">
        <f t="shared" si="46"/>
        <v>194</v>
      </c>
      <c r="T34" s="7">
        <f t="shared" si="47"/>
        <v>741.48387096774195</v>
      </c>
      <c r="U34" s="7">
        <f t="shared" si="48"/>
        <v>1234.8387096774193</v>
      </c>
      <c r="V34" s="6">
        <f t="shared" si="48"/>
        <v>455</v>
      </c>
      <c r="W34" s="7">
        <f t="shared" si="49"/>
        <v>779.83870967741927</v>
      </c>
      <c r="X34" s="7">
        <f t="shared" si="50"/>
        <v>7483.8709677419374</v>
      </c>
      <c r="Y34" s="7">
        <f t="shared" si="50"/>
        <v>2558</v>
      </c>
      <c r="Z34" s="7">
        <f t="shared" si="51"/>
        <v>4925.8709677419374</v>
      </c>
      <c r="AA34" s="24">
        <f t="shared" si="52"/>
        <v>0.95673358575998912</v>
      </c>
      <c r="AB34" s="1"/>
    </row>
    <row r="35" spans="2:28" ht="18" x14ac:dyDescent="0.25">
      <c r="B35" s="3">
        <v>7</v>
      </c>
      <c r="C35" s="3">
        <f>C36+57</f>
        <v>673988</v>
      </c>
      <c r="D35" s="3">
        <f>D36+93</f>
        <v>1349339</v>
      </c>
      <c r="E35" s="3">
        <f>E36+29</f>
        <v>452012</v>
      </c>
      <c r="F35" s="8">
        <f t="shared" si="38"/>
        <v>2475339</v>
      </c>
      <c r="G35" s="22">
        <f t="shared" si="39"/>
        <v>2475215.9375</v>
      </c>
      <c r="H35" s="7">
        <f t="shared" si="40"/>
        <v>2475227.5625</v>
      </c>
      <c r="I35" s="3">
        <f>I36+53</f>
        <v>787595</v>
      </c>
      <c r="J35" s="6">
        <f t="shared" si="41"/>
        <v>57</v>
      </c>
      <c r="K35" s="6">
        <f t="shared" si="41"/>
        <v>93</v>
      </c>
      <c r="L35" s="6">
        <f t="shared" si="41"/>
        <v>29</v>
      </c>
      <c r="M35" s="6">
        <f t="shared" si="42"/>
        <v>53</v>
      </c>
      <c r="N35" s="5">
        <f t="shared" si="24"/>
        <v>154.35483870967741</v>
      </c>
      <c r="O35" s="3">
        <f t="shared" si="43"/>
        <v>29</v>
      </c>
      <c r="P35" s="5">
        <f t="shared" si="44"/>
        <v>125.35483870967741</v>
      </c>
      <c r="Q35" s="5">
        <f t="shared" si="45"/>
        <v>11.625</v>
      </c>
      <c r="R35" s="7">
        <f t="shared" si="28"/>
        <v>935.48387096774195</v>
      </c>
      <c r="S35" s="6">
        <f t="shared" si="46"/>
        <v>179</v>
      </c>
      <c r="T35" s="7">
        <f t="shared" si="47"/>
        <v>756.48387096774195</v>
      </c>
      <c r="U35" s="7">
        <f t="shared" si="48"/>
        <v>1080.483870967742</v>
      </c>
      <c r="V35" s="6">
        <f t="shared" si="48"/>
        <v>416</v>
      </c>
      <c r="W35" s="7">
        <f t="shared" si="49"/>
        <v>664.48387096774195</v>
      </c>
      <c r="X35" s="7">
        <f t="shared" si="50"/>
        <v>6548.387096774195</v>
      </c>
      <c r="Y35" s="7">
        <f t="shared" si="50"/>
        <v>2364</v>
      </c>
      <c r="Z35" s="7">
        <f t="shared" si="51"/>
        <v>4184.387096774195</v>
      </c>
      <c r="AA35" s="24">
        <f t="shared" si="52"/>
        <v>0.95885213536998848</v>
      </c>
      <c r="AB35" s="1"/>
    </row>
    <row r="36" spans="2:28" ht="18" x14ac:dyDescent="0.25">
      <c r="B36" s="3">
        <v>6</v>
      </c>
      <c r="C36" s="3">
        <f>C37+54</f>
        <v>673931</v>
      </c>
      <c r="D36" s="3">
        <f>D37+76</f>
        <v>1349246</v>
      </c>
      <c r="E36" s="3">
        <f>E37+27</f>
        <v>451983</v>
      </c>
      <c r="F36" s="8">
        <f t="shared" si="38"/>
        <v>2475160</v>
      </c>
      <c r="G36" s="22">
        <f t="shared" si="39"/>
        <v>2475052.0625</v>
      </c>
      <c r="H36" s="7">
        <f t="shared" si="40"/>
        <v>2475061.5625</v>
      </c>
      <c r="I36" s="3">
        <f>I37+42</f>
        <v>787542</v>
      </c>
      <c r="J36" s="6">
        <f t="shared" si="41"/>
        <v>54</v>
      </c>
      <c r="K36" s="6">
        <f t="shared" si="41"/>
        <v>76</v>
      </c>
      <c r="L36" s="6">
        <f t="shared" si="41"/>
        <v>27</v>
      </c>
      <c r="M36" s="6">
        <f t="shared" si="42"/>
        <v>42</v>
      </c>
      <c r="N36" s="5">
        <f t="shared" si="24"/>
        <v>154.35483870967741</v>
      </c>
      <c r="O36" s="3">
        <f t="shared" si="43"/>
        <v>27</v>
      </c>
      <c r="P36" s="5">
        <f t="shared" si="44"/>
        <v>127.35483870967741</v>
      </c>
      <c r="Q36" s="5">
        <f t="shared" si="45"/>
        <v>9.5</v>
      </c>
      <c r="R36" s="7">
        <f t="shared" si="28"/>
        <v>935.48387096774195</v>
      </c>
      <c r="S36" s="6">
        <f t="shared" si="46"/>
        <v>157</v>
      </c>
      <c r="T36" s="7">
        <f t="shared" si="47"/>
        <v>778.48387096774195</v>
      </c>
      <c r="U36" s="7">
        <f t="shared" si="48"/>
        <v>926.12903225806451</v>
      </c>
      <c r="V36" s="6">
        <f t="shared" si="48"/>
        <v>387</v>
      </c>
      <c r="W36" s="7">
        <f t="shared" si="49"/>
        <v>539.12903225806451</v>
      </c>
      <c r="X36" s="7">
        <f t="shared" si="50"/>
        <v>5612.9032258064526</v>
      </c>
      <c r="Y36" s="7">
        <f t="shared" si="50"/>
        <v>2185</v>
      </c>
      <c r="Z36" s="7">
        <f t="shared" si="51"/>
        <v>3427.9032258064526</v>
      </c>
      <c r="AA36" s="24">
        <f t="shared" si="52"/>
        <v>0.96603038507086958</v>
      </c>
      <c r="AB36" s="1"/>
    </row>
    <row r="37" spans="2:28" ht="18" x14ac:dyDescent="0.25">
      <c r="B37" s="3">
        <v>5</v>
      </c>
      <c r="C37" s="3">
        <f>C38+143</f>
        <v>673877</v>
      </c>
      <c r="D37" s="3">
        <f>D38+81</f>
        <v>1349170</v>
      </c>
      <c r="E37" s="3">
        <f>E38+39</f>
        <v>451956</v>
      </c>
      <c r="F37" s="8">
        <f t="shared" si="38"/>
        <v>2475003</v>
      </c>
      <c r="G37" s="22">
        <f t="shared" si="39"/>
        <v>2474822.1875</v>
      </c>
      <c r="H37" s="7">
        <f t="shared" si="40"/>
        <v>2474832.3125</v>
      </c>
      <c r="I37" s="3">
        <f>I38+41</f>
        <v>787500</v>
      </c>
      <c r="J37" s="6">
        <f t="shared" si="41"/>
        <v>143</v>
      </c>
      <c r="K37" s="6">
        <f t="shared" si="41"/>
        <v>81</v>
      </c>
      <c r="L37" s="6">
        <f t="shared" si="41"/>
        <v>39</v>
      </c>
      <c r="M37" s="6">
        <f t="shared" si="42"/>
        <v>41</v>
      </c>
      <c r="N37" s="5">
        <f t="shared" si="24"/>
        <v>154.35483870967741</v>
      </c>
      <c r="O37" s="3">
        <f t="shared" si="43"/>
        <v>39</v>
      </c>
      <c r="P37" s="5">
        <f t="shared" si="44"/>
        <v>115.35483870967741</v>
      </c>
      <c r="Q37" s="5">
        <f t="shared" si="45"/>
        <v>10.125</v>
      </c>
      <c r="R37" s="7">
        <f t="shared" si="28"/>
        <v>935.48387096774195</v>
      </c>
      <c r="S37" s="6">
        <f t="shared" si="46"/>
        <v>263</v>
      </c>
      <c r="T37" s="7">
        <f t="shared" si="47"/>
        <v>672.48387096774195</v>
      </c>
      <c r="U37" s="7">
        <f t="shared" si="48"/>
        <v>771.77419354838707</v>
      </c>
      <c r="V37" s="6">
        <f t="shared" si="48"/>
        <v>360</v>
      </c>
      <c r="W37" s="7">
        <f t="shared" si="49"/>
        <v>411.77419354838707</v>
      </c>
      <c r="X37" s="7">
        <f t="shared" si="50"/>
        <v>4677.4193548387102</v>
      </c>
      <c r="Y37" s="7">
        <f t="shared" si="50"/>
        <v>2028</v>
      </c>
      <c r="Z37" s="7">
        <f t="shared" si="51"/>
        <v>2649.4193548387102</v>
      </c>
      <c r="AA37" s="24">
        <f t="shared" si="52"/>
        <v>0.98806569514642806</v>
      </c>
      <c r="AB37" s="1"/>
    </row>
    <row r="38" spans="2:28" ht="18" x14ac:dyDescent="0.25">
      <c r="B38" s="3">
        <v>4</v>
      </c>
      <c r="C38" s="3">
        <f>C39+176</f>
        <v>673734</v>
      </c>
      <c r="D38" s="3">
        <f>D39+91</f>
        <v>1349089</v>
      </c>
      <c r="E38" s="3">
        <f>E39+37</f>
        <v>451917</v>
      </c>
      <c r="F38" s="8">
        <f t="shared" si="38"/>
        <v>2474740</v>
      </c>
      <c r="G38" s="22">
        <f t="shared" si="39"/>
        <v>2474531</v>
      </c>
      <c r="H38" s="7">
        <f t="shared" si="40"/>
        <v>2474542.375</v>
      </c>
      <c r="I38" s="3">
        <f>I39+51</f>
        <v>787459</v>
      </c>
      <c r="J38" s="6">
        <f t="shared" si="41"/>
        <v>176</v>
      </c>
      <c r="K38" s="6">
        <f t="shared" si="41"/>
        <v>91</v>
      </c>
      <c r="L38" s="6">
        <f t="shared" si="41"/>
        <v>37</v>
      </c>
      <c r="M38" s="6">
        <f t="shared" si="42"/>
        <v>51</v>
      </c>
      <c r="N38" s="5">
        <f t="shared" si="24"/>
        <v>154.35483870967741</v>
      </c>
      <c r="O38" s="3">
        <f t="shared" si="43"/>
        <v>37</v>
      </c>
      <c r="P38" s="5">
        <f t="shared" si="44"/>
        <v>117.35483870967741</v>
      </c>
      <c r="Q38" s="5">
        <f t="shared" si="45"/>
        <v>11.375</v>
      </c>
      <c r="R38" s="7">
        <f t="shared" si="28"/>
        <v>935.48387096774195</v>
      </c>
      <c r="S38" s="6">
        <f t="shared" si="46"/>
        <v>304</v>
      </c>
      <c r="T38" s="7">
        <f t="shared" si="47"/>
        <v>631.48387096774195</v>
      </c>
      <c r="U38" s="7">
        <f t="shared" si="48"/>
        <v>617.41935483870964</v>
      </c>
      <c r="V38" s="6">
        <f t="shared" si="48"/>
        <v>321</v>
      </c>
      <c r="W38" s="7">
        <f t="shared" si="49"/>
        <v>296.41935483870964</v>
      </c>
      <c r="X38" s="7">
        <f t="shared" si="50"/>
        <v>3741.9354838709678</v>
      </c>
      <c r="Y38" s="7">
        <f t="shared" si="50"/>
        <v>1765</v>
      </c>
      <c r="Z38" s="7">
        <f t="shared" si="51"/>
        <v>1976.9354838709678</v>
      </c>
      <c r="AA38" s="24">
        <f t="shared" si="52"/>
        <v>0.98621800386404657</v>
      </c>
      <c r="AB38" s="1"/>
    </row>
    <row r="39" spans="2:28" ht="18" x14ac:dyDescent="0.25">
      <c r="B39" s="3">
        <v>3</v>
      </c>
      <c r="C39" s="3">
        <v>673558</v>
      </c>
      <c r="D39" s="3">
        <v>1348998</v>
      </c>
      <c r="E39" s="3">
        <v>451880</v>
      </c>
      <c r="F39" s="8">
        <f t="shared" si="38"/>
        <v>2474436</v>
      </c>
      <c r="G39" s="22">
        <f t="shared" si="39"/>
        <v>2474025.5625</v>
      </c>
      <c r="H39" s="7">
        <f t="shared" si="40"/>
        <v>2474071.0625</v>
      </c>
      <c r="I39" s="3">
        <v>787408</v>
      </c>
      <c r="J39" s="6">
        <f t="shared" si="41"/>
        <v>113</v>
      </c>
      <c r="K39" s="6">
        <f t="shared" si="41"/>
        <v>364</v>
      </c>
      <c r="L39" s="6">
        <f t="shared" si="41"/>
        <v>120</v>
      </c>
      <c r="M39" s="6">
        <f t="shared" si="42"/>
        <v>279</v>
      </c>
      <c r="N39" s="5">
        <f t="shared" si="24"/>
        <v>154.35483870967741</v>
      </c>
      <c r="O39" s="3">
        <f t="shared" si="43"/>
        <v>120</v>
      </c>
      <c r="P39" s="5">
        <f t="shared" si="44"/>
        <v>34.354838709677409</v>
      </c>
      <c r="Q39" s="5">
        <f t="shared" si="45"/>
        <v>45.5</v>
      </c>
      <c r="R39" s="7">
        <f t="shared" si="28"/>
        <v>935.48387096774195</v>
      </c>
      <c r="S39" s="6">
        <f t="shared" si="46"/>
        <v>597</v>
      </c>
      <c r="T39" s="7">
        <f t="shared" si="47"/>
        <v>338.48387096774195</v>
      </c>
      <c r="U39" s="7">
        <f t="shared" si="48"/>
        <v>463.0645161290322</v>
      </c>
      <c r="V39" s="6">
        <f t="shared" si="48"/>
        <v>284</v>
      </c>
      <c r="W39" s="7">
        <f t="shared" si="49"/>
        <v>179.0645161290322</v>
      </c>
      <c r="X39" s="7">
        <f t="shared" si="50"/>
        <v>2806.4516129032259</v>
      </c>
      <c r="Y39" s="7">
        <f t="shared" si="50"/>
        <v>1461</v>
      </c>
      <c r="Z39" s="7">
        <f t="shared" si="51"/>
        <v>1345.4516129032259</v>
      </c>
      <c r="AA39" s="24">
        <f t="shared" si="52"/>
        <v>0.90595039267591093</v>
      </c>
      <c r="AB39" s="1"/>
    </row>
    <row r="40" spans="2:28" ht="18" x14ac:dyDescent="0.25">
      <c r="B40" s="3">
        <v>2</v>
      </c>
      <c r="C40" s="3">
        <v>673445</v>
      </c>
      <c r="D40" s="3">
        <v>1348634</v>
      </c>
      <c r="E40" s="3">
        <v>451760</v>
      </c>
      <c r="F40" s="8">
        <f t="shared" si="38"/>
        <v>2473839</v>
      </c>
      <c r="G40" s="22">
        <f t="shared" si="39"/>
        <v>2473528.9375</v>
      </c>
      <c r="H40" s="7">
        <f t="shared" si="40"/>
        <v>2473555.3125</v>
      </c>
      <c r="I40" s="3">
        <v>787129</v>
      </c>
      <c r="J40" s="6">
        <f t="shared" si="41"/>
        <v>161</v>
      </c>
      <c r="K40" s="6">
        <f t="shared" si="41"/>
        <v>211</v>
      </c>
      <c r="L40" s="6">
        <f t="shared" si="41"/>
        <v>79</v>
      </c>
      <c r="M40" s="6">
        <f t="shared" si="42"/>
        <v>98</v>
      </c>
      <c r="N40" s="5">
        <f t="shared" si="24"/>
        <v>154.35483870967741</v>
      </c>
      <c r="O40" s="3">
        <f t="shared" si="43"/>
        <v>79</v>
      </c>
      <c r="P40" s="5">
        <f t="shared" si="44"/>
        <v>75.354838709677409</v>
      </c>
      <c r="Q40" s="5">
        <f t="shared" si="45"/>
        <v>26.375</v>
      </c>
      <c r="R40" s="7">
        <f>R41</f>
        <v>935.48387096774195</v>
      </c>
      <c r="S40" s="6">
        <f t="shared" si="46"/>
        <v>451</v>
      </c>
      <c r="T40" s="7">
        <f t="shared" si="47"/>
        <v>484.48387096774195</v>
      </c>
      <c r="U40" s="7">
        <f t="shared" si="48"/>
        <v>308.70967741935482</v>
      </c>
      <c r="V40" s="6">
        <f t="shared" si="48"/>
        <v>164</v>
      </c>
      <c r="W40" s="7">
        <f t="shared" si="49"/>
        <v>144.70967741935482</v>
      </c>
      <c r="X40" s="7">
        <f t="shared" si="50"/>
        <v>1870.9677419354839</v>
      </c>
      <c r="Y40" s="7">
        <f t="shared" si="50"/>
        <v>864</v>
      </c>
      <c r="Z40" s="7">
        <f t="shared" si="51"/>
        <v>1006.9677419354839</v>
      </c>
      <c r="AA40" s="24">
        <f t="shared" si="52"/>
        <v>0.97719591512101067</v>
      </c>
      <c r="AB40" s="1"/>
    </row>
    <row r="41" spans="2:28" ht="18" x14ac:dyDescent="0.25">
      <c r="B41" s="3">
        <v>1</v>
      </c>
      <c r="C41" s="5">
        <f>C42+141</f>
        <v>673284</v>
      </c>
      <c r="D41" s="5">
        <f>D42+187</f>
        <v>1348423</v>
      </c>
      <c r="E41" s="5">
        <f>E42+85</f>
        <v>451681</v>
      </c>
      <c r="F41" s="8">
        <f t="shared" si="38"/>
        <v>2473388</v>
      </c>
      <c r="G41" s="22">
        <f>(C42+D42+E42)+((S41/24)*7.5)</f>
        <v>2473104.0625</v>
      </c>
      <c r="H41" s="7">
        <f>G41+((K41/12)*1.5)</f>
        <v>2473127.4375</v>
      </c>
      <c r="I41" s="5">
        <f>I42+91</f>
        <v>787031</v>
      </c>
      <c r="J41" s="6">
        <f t="shared" si="41"/>
        <v>141</v>
      </c>
      <c r="K41" s="6">
        <f t="shared" si="41"/>
        <v>187</v>
      </c>
      <c r="L41" s="6">
        <f t="shared" si="41"/>
        <v>85</v>
      </c>
      <c r="M41" s="6">
        <f t="shared" si="42"/>
        <v>91</v>
      </c>
      <c r="N41" s="43">
        <f>O6/31</f>
        <v>154.35483870967741</v>
      </c>
      <c r="O41" s="3">
        <f t="shared" si="43"/>
        <v>85</v>
      </c>
      <c r="P41" s="5">
        <f t="shared" si="44"/>
        <v>69.354838709677409</v>
      </c>
      <c r="Q41" s="5">
        <f t="shared" si="45"/>
        <v>23.375</v>
      </c>
      <c r="R41" s="45">
        <f>S6/31</f>
        <v>935.48387096774195</v>
      </c>
      <c r="S41" s="6">
        <f t="shared" si="46"/>
        <v>413</v>
      </c>
      <c r="T41" s="7">
        <f t="shared" si="47"/>
        <v>522.48387096774195</v>
      </c>
      <c r="U41" s="7">
        <f>N41</f>
        <v>154.35483870967741</v>
      </c>
      <c r="V41" s="6">
        <f>O41</f>
        <v>85</v>
      </c>
      <c r="W41" s="7">
        <f t="shared" si="49"/>
        <v>69.354838709677409</v>
      </c>
      <c r="X41" s="7">
        <f>R41</f>
        <v>935.48387096774195</v>
      </c>
      <c r="Y41" s="7">
        <f>S41</f>
        <v>413</v>
      </c>
      <c r="Z41" s="7">
        <f t="shared" si="51"/>
        <v>522.48387096774195</v>
      </c>
      <c r="AA41" s="24">
        <f t="shared" si="52"/>
        <v>0.97657494855079419</v>
      </c>
      <c r="AB41" s="1"/>
    </row>
    <row r="42" spans="2:28" ht="54" x14ac:dyDescent="0.25">
      <c r="B42" s="33" t="s">
        <v>13</v>
      </c>
      <c r="C42" s="3">
        <v>673143</v>
      </c>
      <c r="D42" s="3">
        <v>1348236</v>
      </c>
      <c r="E42" s="3">
        <v>451596</v>
      </c>
      <c r="F42" s="8">
        <f t="shared" si="38"/>
        <v>2472975</v>
      </c>
      <c r="G42" s="9">
        <v>2472664</v>
      </c>
      <c r="H42" s="9">
        <v>24727005</v>
      </c>
      <c r="I42" s="3">
        <v>786940</v>
      </c>
      <c r="J42" s="10"/>
      <c r="K42" s="10" t="s">
        <v>39</v>
      </c>
      <c r="L42" s="10"/>
      <c r="M42" s="46">
        <f>SUM(M11:M41)</f>
        <v>2066</v>
      </c>
      <c r="N42" s="10"/>
      <c r="O42" s="10"/>
      <c r="P42" s="10"/>
      <c r="Q42" s="4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2:AB51"/>
  <sheetViews>
    <sheetView topLeftCell="F1" zoomScale="70" zoomScaleNormal="70" zoomScaleSheetLayoutView="98" workbookViewId="0">
      <pane ySplit="8" topLeftCell="A9" activePane="bottomLeft" state="frozen"/>
      <selection pane="bottomLeft" activeCell="U11" sqref="U11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61" t="s">
        <v>33</v>
      </c>
      <c r="D5" s="61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4950</v>
      </c>
      <c r="P6" s="30" t="s">
        <v>26</v>
      </c>
      <c r="Q6" s="11">
        <f>(S6*8)/100</f>
        <v>2400</v>
      </c>
      <c r="R6" s="13" t="s">
        <v>25</v>
      </c>
      <c r="S6" s="11">
        <v>30000</v>
      </c>
      <c r="T6" s="52" t="s">
        <v>41</v>
      </c>
      <c r="U6" s="52">
        <v>377.5</v>
      </c>
      <c r="V6" s="51">
        <f>U6/31</f>
        <v>12.17741935483871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448064</v>
      </c>
      <c r="D11" s="7">
        <v>606471</v>
      </c>
      <c r="E11" s="7">
        <v>400124</v>
      </c>
      <c r="F11" s="8">
        <f t="shared" ref="F11" si="0">C11+D11+E11</f>
        <v>1454659</v>
      </c>
      <c r="G11" s="22">
        <f t="shared" ref="G11" si="1">(C12+D12+E12)+((S11/24)*9.5)</f>
        <v>1454397.3958333333</v>
      </c>
      <c r="H11" s="7">
        <f t="shared" ref="H11" si="2">G11+((K11/12)*2.5)</f>
        <v>1454427.3958333333</v>
      </c>
      <c r="I11" s="7">
        <v>274936</v>
      </c>
      <c r="J11" s="6">
        <f t="shared" ref="J11:L11" si="3">C11-C12</f>
        <v>274</v>
      </c>
      <c r="K11" s="6">
        <f t="shared" si="3"/>
        <v>144</v>
      </c>
      <c r="L11" s="6">
        <f t="shared" si="3"/>
        <v>15</v>
      </c>
      <c r="M11" s="6">
        <f t="shared" ref="M11" si="4">I11-I12</f>
        <v>77</v>
      </c>
      <c r="N11" s="5">
        <f t="shared" ref="N11" si="5">N12</f>
        <v>159.67741935483872</v>
      </c>
      <c r="O11" s="23">
        <f t="shared" ref="O11" si="6">L11</f>
        <v>15</v>
      </c>
      <c r="P11" s="5">
        <f t="shared" ref="P11" si="7">N11-O11</f>
        <v>144.67741935483872</v>
      </c>
      <c r="Q11" s="5">
        <f t="shared" ref="Q11" si="8">H11-G11</f>
        <v>30</v>
      </c>
      <c r="R11" s="7">
        <f t="shared" ref="R11" si="9">R12</f>
        <v>967.74193548387098</v>
      </c>
      <c r="S11" s="6">
        <f t="shared" ref="S11" si="10">J11+K11+L11</f>
        <v>433</v>
      </c>
      <c r="T11" s="7">
        <f t="shared" ref="T11" si="11">R11-S11</f>
        <v>534.74193548387098</v>
      </c>
      <c r="U11" s="7">
        <f t="shared" ref="U11:V11" si="12">U12+N11</f>
        <v>4950</v>
      </c>
      <c r="V11" s="7">
        <f t="shared" si="12"/>
        <v>4211</v>
      </c>
      <c r="W11" s="7">
        <f t="shared" ref="W11" si="13">U11-V11</f>
        <v>739</v>
      </c>
      <c r="X11" s="7">
        <f t="shared" ref="X11:Y11" si="14">X12+R11</f>
        <v>30000.000000000004</v>
      </c>
      <c r="Y11" s="7">
        <f t="shared" si="14"/>
        <v>14093</v>
      </c>
      <c r="Z11" s="7">
        <f t="shared" ref="Z11" si="15">X11-Y11</f>
        <v>15907.000000000004</v>
      </c>
      <c r="AA11" s="24">
        <f t="shared" ref="AA11" si="16">COS(ATAN(M11/S11))</f>
        <v>0.9845537988746641</v>
      </c>
      <c r="AB11" s="25"/>
    </row>
    <row r="12" spans="2:28" ht="18" x14ac:dyDescent="0.25">
      <c r="B12" s="3">
        <v>30</v>
      </c>
      <c r="C12" s="3">
        <v>447790</v>
      </c>
      <c r="D12" s="3">
        <v>606327</v>
      </c>
      <c r="E12" s="3">
        <v>400109</v>
      </c>
      <c r="F12" s="8">
        <f t="shared" ref="F12" si="17">C12+D12+E12</f>
        <v>1454226</v>
      </c>
      <c r="G12" s="22">
        <f t="shared" ref="G12" si="18">(C13+D13+E13)+((S12/24)*5)</f>
        <v>1453891.9166666667</v>
      </c>
      <c r="H12" s="7">
        <f t="shared" ref="H12" si="19">G12+((K12/12)*3)</f>
        <v>1453921.4166666667</v>
      </c>
      <c r="I12" s="3">
        <v>274859</v>
      </c>
      <c r="J12" s="6">
        <f t="shared" ref="J12" si="20">C12-C13</f>
        <v>291</v>
      </c>
      <c r="K12" s="6">
        <f t="shared" ref="K12" si="21">D12-D13</f>
        <v>118</v>
      </c>
      <c r="L12" s="6">
        <f t="shared" ref="L12" si="22">E12-E13</f>
        <v>13</v>
      </c>
      <c r="M12" s="6">
        <f t="shared" ref="M12" si="23">I12-I13</f>
        <v>94</v>
      </c>
      <c r="N12" s="5">
        <f t="shared" ref="N12:N40" si="24">N13</f>
        <v>159.67741935483872</v>
      </c>
      <c r="O12" s="23">
        <f t="shared" ref="O12" si="25">L12</f>
        <v>13</v>
      </c>
      <c r="P12" s="5">
        <f t="shared" ref="P12" si="26">N12-O12</f>
        <v>146.67741935483872</v>
      </c>
      <c r="Q12" s="5">
        <f t="shared" ref="Q12" si="27">H12-G12</f>
        <v>29.5</v>
      </c>
      <c r="R12" s="7">
        <f t="shared" ref="R12:R39" si="28">R13</f>
        <v>967.74193548387098</v>
      </c>
      <c r="S12" s="6">
        <f t="shared" ref="S12" si="29">J12+K12+L12</f>
        <v>422</v>
      </c>
      <c r="T12" s="7">
        <f t="shared" ref="T12" si="30">R12-S12</f>
        <v>545.74193548387098</v>
      </c>
      <c r="U12" s="7">
        <f t="shared" ref="U12" si="31">U13+N12</f>
        <v>4790.322580645161</v>
      </c>
      <c r="V12" s="7">
        <f t="shared" ref="V12" si="32">V13+O12</f>
        <v>4196</v>
      </c>
      <c r="W12" s="7">
        <f t="shared" ref="W12" si="33">U12-V12</f>
        <v>594.322580645161</v>
      </c>
      <c r="X12" s="7">
        <f t="shared" ref="X12" si="34">X13+R12</f>
        <v>29032.258064516132</v>
      </c>
      <c r="Y12" s="7">
        <f t="shared" ref="Y12" si="35">Y13+S12</f>
        <v>13660</v>
      </c>
      <c r="Z12" s="7">
        <f t="shared" ref="Z12" si="36">X12-Y12</f>
        <v>15372.258064516132</v>
      </c>
      <c r="AA12" s="24">
        <f t="shared" ref="AA12" si="37">COS(ATAN(M12/S12))</f>
        <v>0.97607809112504962</v>
      </c>
      <c r="AB12" s="25"/>
    </row>
    <row r="13" spans="2:28" ht="18" x14ac:dyDescent="0.25">
      <c r="B13" s="3">
        <v>29</v>
      </c>
      <c r="C13" s="3">
        <v>447499</v>
      </c>
      <c r="D13" s="3">
        <v>606209</v>
      </c>
      <c r="E13" s="3">
        <v>400096</v>
      </c>
      <c r="F13" s="8">
        <f t="shared" ref="F13:F41" si="38">C13+D13+E13</f>
        <v>1453804</v>
      </c>
      <c r="G13" s="22">
        <f t="shared" ref="G13:G40" si="39">(C14+D14+E14)+((S13/24)*5)</f>
        <v>1453396.2916666667</v>
      </c>
      <c r="H13" s="7">
        <f t="shared" ref="H13:H40" si="40">G13+((K13/12)*3)</f>
        <v>1453424.2916666667</v>
      </c>
      <c r="I13" s="3">
        <v>274765</v>
      </c>
      <c r="J13" s="6">
        <f t="shared" ref="J13:L41" si="41">C13-C14</f>
        <v>213</v>
      </c>
      <c r="K13" s="6">
        <f t="shared" si="41"/>
        <v>112</v>
      </c>
      <c r="L13" s="6">
        <f t="shared" si="41"/>
        <v>190</v>
      </c>
      <c r="M13" s="6">
        <f t="shared" ref="M13:M41" si="42">I13-I14</f>
        <v>88</v>
      </c>
      <c r="N13" s="5">
        <f t="shared" si="24"/>
        <v>159.67741935483872</v>
      </c>
      <c r="O13" s="23">
        <f t="shared" ref="O13:O41" si="43">L13</f>
        <v>190</v>
      </c>
      <c r="P13" s="5">
        <f t="shared" ref="P13:P41" si="44">N13-O13</f>
        <v>-30.322580645161281</v>
      </c>
      <c r="Q13" s="5">
        <f t="shared" ref="Q13:Q41" si="45">H13-G13</f>
        <v>28</v>
      </c>
      <c r="R13" s="7">
        <f t="shared" si="28"/>
        <v>967.74193548387098</v>
      </c>
      <c r="S13" s="6">
        <f t="shared" ref="S13:S41" si="46">J13+K13+L13</f>
        <v>515</v>
      </c>
      <c r="T13" s="7">
        <f t="shared" ref="T13:T41" si="47">R13-S13</f>
        <v>452.74193548387098</v>
      </c>
      <c r="U13" s="7">
        <f t="shared" ref="U13:V40" si="48">U14+N13</f>
        <v>4630.645161290322</v>
      </c>
      <c r="V13" s="7">
        <f t="shared" si="48"/>
        <v>4183</v>
      </c>
      <c r="W13" s="7">
        <f t="shared" ref="W13:W41" si="49">U13-V13</f>
        <v>447.64516129032199</v>
      </c>
      <c r="X13" s="7">
        <f t="shared" ref="X13:Y40" si="50">X14+R13</f>
        <v>28064.516129032261</v>
      </c>
      <c r="Y13" s="7">
        <f t="shared" si="50"/>
        <v>13238</v>
      </c>
      <c r="Z13" s="7">
        <f t="shared" ref="Z13:Z41" si="51">X13-Y13</f>
        <v>14826.516129032261</v>
      </c>
      <c r="AA13" s="24">
        <f t="shared" ref="AA13:AA41" si="52">COS(ATAN(M13/S13))</f>
        <v>0.98571318251617579</v>
      </c>
      <c r="AB13" s="25"/>
    </row>
    <row r="14" spans="2:28" ht="18" x14ac:dyDescent="0.25">
      <c r="B14" s="3">
        <v>28</v>
      </c>
      <c r="C14" s="3">
        <f t="shared" ref="C14:C19" si="53">C15+188</f>
        <v>447286</v>
      </c>
      <c r="D14" s="3">
        <f>D15+103</f>
        <v>606097</v>
      </c>
      <c r="E14" s="3">
        <f>E15+199</f>
        <v>399906</v>
      </c>
      <c r="F14" s="8">
        <f t="shared" si="38"/>
        <v>1453289</v>
      </c>
      <c r="G14" s="22">
        <f t="shared" si="39"/>
        <v>1452901.0833333333</v>
      </c>
      <c r="H14" s="7">
        <f t="shared" si="40"/>
        <v>1452926.8333333333</v>
      </c>
      <c r="I14" s="3">
        <f t="shared" ref="I14" si="54">I15+77</f>
        <v>274677</v>
      </c>
      <c r="J14" s="6">
        <f t="shared" si="41"/>
        <v>188</v>
      </c>
      <c r="K14" s="6">
        <f t="shared" si="41"/>
        <v>103</v>
      </c>
      <c r="L14" s="6">
        <f t="shared" si="41"/>
        <v>199</v>
      </c>
      <c r="M14" s="6">
        <f t="shared" si="42"/>
        <v>77</v>
      </c>
      <c r="N14" s="5">
        <f t="shared" si="24"/>
        <v>159.67741935483872</v>
      </c>
      <c r="O14" s="23">
        <f t="shared" si="43"/>
        <v>199</v>
      </c>
      <c r="P14" s="5">
        <f t="shared" si="44"/>
        <v>-39.322580645161281</v>
      </c>
      <c r="Q14" s="5">
        <f t="shared" si="45"/>
        <v>25.75</v>
      </c>
      <c r="R14" s="7">
        <f t="shared" si="28"/>
        <v>967.74193548387098</v>
      </c>
      <c r="S14" s="6">
        <f t="shared" si="46"/>
        <v>490</v>
      </c>
      <c r="T14" s="7">
        <f t="shared" si="47"/>
        <v>477.74193548387098</v>
      </c>
      <c r="U14" s="7">
        <f t="shared" si="48"/>
        <v>4470.967741935483</v>
      </c>
      <c r="V14" s="7">
        <f t="shared" si="48"/>
        <v>3993</v>
      </c>
      <c r="W14" s="7">
        <f t="shared" si="49"/>
        <v>477.96774193548299</v>
      </c>
      <c r="X14" s="7">
        <f t="shared" si="50"/>
        <v>27096.77419354839</v>
      </c>
      <c r="Y14" s="7">
        <f t="shared" si="50"/>
        <v>12723</v>
      </c>
      <c r="Z14" s="7">
        <f t="shared" si="51"/>
        <v>14373.77419354839</v>
      </c>
      <c r="AA14" s="24">
        <f t="shared" si="52"/>
        <v>0.98787712540448613</v>
      </c>
      <c r="AB14" s="25"/>
    </row>
    <row r="15" spans="2:28" ht="18" x14ac:dyDescent="0.25">
      <c r="B15" s="3">
        <v>27</v>
      </c>
      <c r="C15" s="3">
        <f t="shared" si="53"/>
        <v>447098</v>
      </c>
      <c r="D15" s="3">
        <f t="shared" ref="D15" si="55">D16+99</f>
        <v>605994</v>
      </c>
      <c r="E15" s="3">
        <f>E16+147</f>
        <v>399707</v>
      </c>
      <c r="F15" s="8">
        <f t="shared" si="38"/>
        <v>1452799</v>
      </c>
      <c r="G15" s="22">
        <f t="shared" si="39"/>
        <v>1452455.4166666667</v>
      </c>
      <c r="H15" s="7">
        <f t="shared" si="40"/>
        <v>1452480.1666666667</v>
      </c>
      <c r="I15" s="3">
        <f>I16+80</f>
        <v>274600</v>
      </c>
      <c r="J15" s="6">
        <f t="shared" si="41"/>
        <v>188</v>
      </c>
      <c r="K15" s="6">
        <f t="shared" si="41"/>
        <v>99</v>
      </c>
      <c r="L15" s="6">
        <f t="shared" si="41"/>
        <v>147</v>
      </c>
      <c r="M15" s="6">
        <f t="shared" si="42"/>
        <v>80</v>
      </c>
      <c r="N15" s="5">
        <f t="shared" si="24"/>
        <v>159.67741935483872</v>
      </c>
      <c r="O15" s="23">
        <f t="shared" si="43"/>
        <v>147</v>
      </c>
      <c r="P15" s="5">
        <f t="shared" si="44"/>
        <v>12.677419354838719</v>
      </c>
      <c r="Q15" s="5">
        <f t="shared" si="45"/>
        <v>24.75</v>
      </c>
      <c r="R15" s="7">
        <f t="shared" si="28"/>
        <v>967.74193548387098</v>
      </c>
      <c r="S15" s="6">
        <f t="shared" si="46"/>
        <v>434</v>
      </c>
      <c r="T15" s="7">
        <f t="shared" si="47"/>
        <v>533.74193548387098</v>
      </c>
      <c r="U15" s="7">
        <f t="shared" si="48"/>
        <v>4311.290322580644</v>
      </c>
      <c r="V15" s="7">
        <f t="shared" si="48"/>
        <v>3794</v>
      </c>
      <c r="W15" s="7">
        <f t="shared" si="49"/>
        <v>517.29032258064399</v>
      </c>
      <c r="X15" s="7">
        <f t="shared" si="50"/>
        <v>26129.032258064519</v>
      </c>
      <c r="Y15" s="7">
        <f t="shared" si="50"/>
        <v>12233</v>
      </c>
      <c r="Z15" s="7">
        <f t="shared" si="51"/>
        <v>13896.032258064519</v>
      </c>
      <c r="AA15" s="24">
        <f t="shared" si="52"/>
        <v>0.98343193359235659</v>
      </c>
      <c r="AB15" s="25"/>
    </row>
    <row r="16" spans="2:28" ht="18" x14ac:dyDescent="0.25">
      <c r="B16" s="3">
        <v>26</v>
      </c>
      <c r="C16" s="3">
        <f t="shared" si="53"/>
        <v>446910</v>
      </c>
      <c r="D16" s="3">
        <f>D17+110</f>
        <v>605895</v>
      </c>
      <c r="E16" s="3">
        <f>E17+151</f>
        <v>399560</v>
      </c>
      <c r="F16" s="8">
        <f t="shared" si="38"/>
        <v>1452365</v>
      </c>
      <c r="G16" s="22">
        <f t="shared" si="39"/>
        <v>1452009.5416666667</v>
      </c>
      <c r="H16" s="7">
        <f t="shared" si="40"/>
        <v>1452037.0416666667</v>
      </c>
      <c r="I16" s="3">
        <f>I17+90</f>
        <v>274520</v>
      </c>
      <c r="J16" s="6">
        <f t="shared" si="41"/>
        <v>188</v>
      </c>
      <c r="K16" s="6">
        <f t="shared" si="41"/>
        <v>110</v>
      </c>
      <c r="L16" s="6">
        <f t="shared" si="41"/>
        <v>151</v>
      </c>
      <c r="M16" s="6">
        <f t="shared" si="42"/>
        <v>90</v>
      </c>
      <c r="N16" s="5">
        <f t="shared" si="24"/>
        <v>159.67741935483872</v>
      </c>
      <c r="O16" s="23">
        <f t="shared" si="43"/>
        <v>151</v>
      </c>
      <c r="P16" s="5">
        <f t="shared" si="44"/>
        <v>8.6774193548387188</v>
      </c>
      <c r="Q16" s="5">
        <f t="shared" si="45"/>
        <v>27.5</v>
      </c>
      <c r="R16" s="7">
        <f t="shared" si="28"/>
        <v>967.74193548387098</v>
      </c>
      <c r="S16" s="6">
        <f t="shared" si="46"/>
        <v>449</v>
      </c>
      <c r="T16" s="7">
        <f t="shared" si="47"/>
        <v>518.74193548387098</v>
      </c>
      <c r="U16" s="7">
        <f t="shared" si="48"/>
        <v>4151.612903225805</v>
      </c>
      <c r="V16" s="7">
        <f t="shared" si="48"/>
        <v>3647</v>
      </c>
      <c r="W16" s="7">
        <f t="shared" si="49"/>
        <v>504.61290322580498</v>
      </c>
      <c r="X16" s="7">
        <f t="shared" si="50"/>
        <v>25161.290322580648</v>
      </c>
      <c r="Y16" s="7">
        <f t="shared" si="50"/>
        <v>11799</v>
      </c>
      <c r="Z16" s="7">
        <f t="shared" si="51"/>
        <v>13362.290322580648</v>
      </c>
      <c r="AA16" s="24">
        <f t="shared" si="52"/>
        <v>0.98049659599431493</v>
      </c>
      <c r="AB16" s="25"/>
    </row>
    <row r="17" spans="2:28" ht="18" x14ac:dyDescent="0.25">
      <c r="B17" s="3">
        <v>25</v>
      </c>
      <c r="C17" s="3">
        <f t="shared" si="53"/>
        <v>446722</v>
      </c>
      <c r="D17" s="3">
        <f>D18+105</f>
        <v>605785</v>
      </c>
      <c r="E17" s="3">
        <f>E18+138</f>
        <v>399409</v>
      </c>
      <c r="F17" s="8">
        <f t="shared" si="38"/>
        <v>1451916</v>
      </c>
      <c r="G17" s="22">
        <f t="shared" si="39"/>
        <v>1451574.7916666667</v>
      </c>
      <c r="H17" s="7">
        <f t="shared" si="40"/>
        <v>1451601.0416666667</v>
      </c>
      <c r="I17" s="3">
        <f>I18+86</f>
        <v>274430</v>
      </c>
      <c r="J17" s="6">
        <f t="shared" si="41"/>
        <v>188</v>
      </c>
      <c r="K17" s="6">
        <f t="shared" si="41"/>
        <v>105</v>
      </c>
      <c r="L17" s="6">
        <f t="shared" si="41"/>
        <v>138</v>
      </c>
      <c r="M17" s="6">
        <f t="shared" si="42"/>
        <v>86</v>
      </c>
      <c r="N17" s="5">
        <f t="shared" si="24"/>
        <v>159.67741935483872</v>
      </c>
      <c r="O17" s="23">
        <f t="shared" si="43"/>
        <v>138</v>
      </c>
      <c r="P17" s="5">
        <f t="shared" si="44"/>
        <v>21.677419354838719</v>
      </c>
      <c r="Q17" s="5">
        <f t="shared" si="45"/>
        <v>26.25</v>
      </c>
      <c r="R17" s="7">
        <f t="shared" si="28"/>
        <v>967.74193548387098</v>
      </c>
      <c r="S17" s="6">
        <f t="shared" si="46"/>
        <v>431</v>
      </c>
      <c r="T17" s="7">
        <f t="shared" si="47"/>
        <v>536.74193548387098</v>
      </c>
      <c r="U17" s="7">
        <f t="shared" si="48"/>
        <v>3991.9354838709664</v>
      </c>
      <c r="V17" s="7">
        <f t="shared" si="48"/>
        <v>3496</v>
      </c>
      <c r="W17" s="7">
        <f t="shared" si="49"/>
        <v>495.93548387096644</v>
      </c>
      <c r="X17" s="7">
        <f t="shared" si="50"/>
        <v>24193.548387096776</v>
      </c>
      <c r="Y17" s="7">
        <f t="shared" si="50"/>
        <v>11350</v>
      </c>
      <c r="Z17" s="7">
        <f t="shared" si="51"/>
        <v>12843.548387096776</v>
      </c>
      <c r="AA17" s="24">
        <f t="shared" si="52"/>
        <v>0.98066809083313389</v>
      </c>
      <c r="AB17" s="25"/>
    </row>
    <row r="18" spans="2:28" ht="18" x14ac:dyDescent="0.25">
      <c r="B18" s="3">
        <v>24</v>
      </c>
      <c r="C18" s="3">
        <f t="shared" si="53"/>
        <v>446534</v>
      </c>
      <c r="D18" s="3">
        <f>D19+100</f>
        <v>605680</v>
      </c>
      <c r="E18" s="3">
        <f>E19+147</f>
        <v>399271</v>
      </c>
      <c r="F18" s="9">
        <f>C18+D18+E18</f>
        <v>1451485</v>
      </c>
      <c r="G18" s="22">
        <f t="shared" si="39"/>
        <v>1451140.625</v>
      </c>
      <c r="H18" s="7">
        <f t="shared" si="40"/>
        <v>1451165.625</v>
      </c>
      <c r="I18" s="3">
        <f>I19+70</f>
        <v>274344</v>
      </c>
      <c r="J18" s="6">
        <f t="shared" si="41"/>
        <v>188</v>
      </c>
      <c r="K18" s="6">
        <f t="shared" si="41"/>
        <v>100</v>
      </c>
      <c r="L18" s="6">
        <f t="shared" si="41"/>
        <v>147</v>
      </c>
      <c r="M18" s="6">
        <f t="shared" si="42"/>
        <v>70</v>
      </c>
      <c r="N18" s="5">
        <f t="shared" si="24"/>
        <v>159.67741935483872</v>
      </c>
      <c r="O18" s="23">
        <f t="shared" si="43"/>
        <v>147</v>
      </c>
      <c r="P18" s="5">
        <f t="shared" si="44"/>
        <v>12.677419354838719</v>
      </c>
      <c r="Q18" s="5">
        <f t="shared" si="45"/>
        <v>25</v>
      </c>
      <c r="R18" s="7">
        <f t="shared" si="28"/>
        <v>967.74193548387098</v>
      </c>
      <c r="S18" s="6">
        <f t="shared" si="46"/>
        <v>435</v>
      </c>
      <c r="T18" s="7">
        <f t="shared" si="47"/>
        <v>532.74193548387098</v>
      </c>
      <c r="U18" s="7">
        <f t="shared" si="48"/>
        <v>3832.2580645161279</v>
      </c>
      <c r="V18" s="7">
        <f t="shared" si="48"/>
        <v>3358</v>
      </c>
      <c r="W18" s="7">
        <f t="shared" si="49"/>
        <v>474.25806451612789</v>
      </c>
      <c r="X18" s="7">
        <f t="shared" si="50"/>
        <v>23225.806451612905</v>
      </c>
      <c r="Y18" s="7">
        <f t="shared" si="50"/>
        <v>10919</v>
      </c>
      <c r="Z18" s="7">
        <f t="shared" si="51"/>
        <v>12306.806451612905</v>
      </c>
      <c r="AA18" s="24">
        <f t="shared" si="52"/>
        <v>0.98729860319651652</v>
      </c>
      <c r="AB18" s="25"/>
    </row>
    <row r="19" spans="2:28" ht="18" x14ac:dyDescent="0.25">
      <c r="B19" s="3">
        <v>23</v>
      </c>
      <c r="C19" s="3">
        <f t="shared" si="53"/>
        <v>446346</v>
      </c>
      <c r="D19" s="3">
        <f>D20+104</f>
        <v>605580</v>
      </c>
      <c r="E19" s="3">
        <f>E20+152</f>
        <v>399124</v>
      </c>
      <c r="F19" s="9">
        <f>C19+D19+E19</f>
        <v>1451050</v>
      </c>
      <c r="G19" s="22">
        <f t="shared" si="39"/>
        <v>1450698.5</v>
      </c>
      <c r="H19" s="7">
        <f t="shared" si="40"/>
        <v>1450724.5</v>
      </c>
      <c r="I19" s="3">
        <f>I20+66</f>
        <v>274274</v>
      </c>
      <c r="J19" s="6">
        <f t="shared" si="41"/>
        <v>188</v>
      </c>
      <c r="K19" s="6">
        <f t="shared" si="41"/>
        <v>104</v>
      </c>
      <c r="L19" s="6">
        <f t="shared" si="41"/>
        <v>152</v>
      </c>
      <c r="M19" s="6">
        <f t="shared" si="42"/>
        <v>66</v>
      </c>
      <c r="N19" s="5">
        <f t="shared" si="24"/>
        <v>159.67741935483872</v>
      </c>
      <c r="O19" s="3">
        <f t="shared" si="43"/>
        <v>152</v>
      </c>
      <c r="P19" s="5">
        <f t="shared" si="44"/>
        <v>7.6774193548387188</v>
      </c>
      <c r="Q19" s="5">
        <f t="shared" si="45"/>
        <v>26</v>
      </c>
      <c r="R19" s="7">
        <f t="shared" si="28"/>
        <v>967.74193548387098</v>
      </c>
      <c r="S19" s="6">
        <f t="shared" si="46"/>
        <v>444</v>
      </c>
      <c r="T19" s="7">
        <f t="shared" si="47"/>
        <v>523.74193548387098</v>
      </c>
      <c r="U19" s="7">
        <f t="shared" si="48"/>
        <v>3672.5806451612893</v>
      </c>
      <c r="V19" s="7">
        <f t="shared" si="48"/>
        <v>3211</v>
      </c>
      <c r="W19" s="7">
        <f t="shared" si="49"/>
        <v>461.58064516128934</v>
      </c>
      <c r="X19" s="7">
        <f t="shared" si="50"/>
        <v>22258.064516129034</v>
      </c>
      <c r="Y19" s="7">
        <f t="shared" si="50"/>
        <v>10484</v>
      </c>
      <c r="Z19" s="7">
        <f t="shared" si="51"/>
        <v>11774.064516129034</v>
      </c>
      <c r="AA19" s="24">
        <f t="shared" si="52"/>
        <v>0.9891315765273101</v>
      </c>
      <c r="AB19" s="1"/>
    </row>
    <row r="20" spans="2:28" ht="18" x14ac:dyDescent="0.25">
      <c r="B20" s="3">
        <v>22</v>
      </c>
      <c r="C20" s="3">
        <f>C21+188</f>
        <v>446158</v>
      </c>
      <c r="D20" s="3">
        <f>D21+99</f>
        <v>605476</v>
      </c>
      <c r="E20" s="3">
        <f>E21+141</f>
        <v>398972</v>
      </c>
      <c r="F20" s="9">
        <f>C20+D20+E20</f>
        <v>1450606</v>
      </c>
      <c r="G20" s="22">
        <f t="shared" si="39"/>
        <v>1450267.1666666667</v>
      </c>
      <c r="H20" s="7">
        <f t="shared" si="40"/>
        <v>1450291.9166666667</v>
      </c>
      <c r="I20" s="3">
        <f>I21+62</f>
        <v>274208</v>
      </c>
      <c r="J20" s="6">
        <f t="shared" si="41"/>
        <v>188</v>
      </c>
      <c r="K20" s="6">
        <f t="shared" si="41"/>
        <v>99</v>
      </c>
      <c r="L20" s="6">
        <f t="shared" si="41"/>
        <v>141</v>
      </c>
      <c r="M20" s="6">
        <f t="shared" si="42"/>
        <v>62</v>
      </c>
      <c r="N20" s="5">
        <f t="shared" si="24"/>
        <v>159.67741935483872</v>
      </c>
      <c r="O20" s="3">
        <f t="shared" si="43"/>
        <v>141</v>
      </c>
      <c r="P20" s="5">
        <f t="shared" si="44"/>
        <v>18.677419354838719</v>
      </c>
      <c r="Q20" s="5">
        <f t="shared" si="45"/>
        <v>24.75</v>
      </c>
      <c r="R20" s="7">
        <f t="shared" si="28"/>
        <v>967.74193548387098</v>
      </c>
      <c r="S20" s="6">
        <f t="shared" si="46"/>
        <v>428</v>
      </c>
      <c r="T20" s="7">
        <f t="shared" si="47"/>
        <v>539.74193548387098</v>
      </c>
      <c r="U20" s="7">
        <f t="shared" si="48"/>
        <v>3512.9032258064508</v>
      </c>
      <c r="V20" s="7">
        <f t="shared" si="48"/>
        <v>3059</v>
      </c>
      <c r="W20" s="7">
        <f t="shared" si="49"/>
        <v>453.90322580645079</v>
      </c>
      <c r="X20" s="7">
        <f t="shared" si="50"/>
        <v>21290.322580645163</v>
      </c>
      <c r="Y20" s="7">
        <f t="shared" si="50"/>
        <v>10040</v>
      </c>
      <c r="Z20" s="7">
        <f t="shared" si="51"/>
        <v>11250.322580645163</v>
      </c>
      <c r="AA20" s="24">
        <f t="shared" si="52"/>
        <v>0.98967011055843546</v>
      </c>
      <c r="AB20" s="1"/>
    </row>
    <row r="21" spans="2:28" ht="18" x14ac:dyDescent="0.25">
      <c r="B21" s="3">
        <v>21</v>
      </c>
      <c r="C21" s="3">
        <v>445970</v>
      </c>
      <c r="D21" s="3">
        <v>605377</v>
      </c>
      <c r="E21" s="3">
        <v>398831</v>
      </c>
      <c r="F21" s="8">
        <f t="shared" si="38"/>
        <v>1450178</v>
      </c>
      <c r="G21" s="22">
        <f t="shared" si="39"/>
        <v>1449916.75</v>
      </c>
      <c r="H21" s="7">
        <f t="shared" si="40"/>
        <v>1449937.25</v>
      </c>
      <c r="I21" s="3">
        <v>274146</v>
      </c>
      <c r="J21" s="6">
        <f t="shared" si="41"/>
        <v>171</v>
      </c>
      <c r="K21" s="6">
        <f t="shared" si="41"/>
        <v>82</v>
      </c>
      <c r="L21" s="6">
        <f t="shared" si="41"/>
        <v>77</v>
      </c>
      <c r="M21" s="6">
        <f t="shared" si="42"/>
        <v>53</v>
      </c>
      <c r="N21" s="5">
        <f t="shared" si="24"/>
        <v>159.67741935483872</v>
      </c>
      <c r="O21" s="3">
        <f t="shared" si="43"/>
        <v>77</v>
      </c>
      <c r="P21" s="5">
        <f t="shared" si="44"/>
        <v>82.677419354838719</v>
      </c>
      <c r="Q21" s="5">
        <f t="shared" si="45"/>
        <v>20.5</v>
      </c>
      <c r="R21" s="7">
        <f t="shared" si="28"/>
        <v>967.74193548387098</v>
      </c>
      <c r="S21" s="6">
        <f t="shared" si="46"/>
        <v>330</v>
      </c>
      <c r="T21" s="7">
        <f t="shared" si="47"/>
        <v>637.74193548387098</v>
      </c>
      <c r="U21" s="7">
        <f t="shared" si="48"/>
        <v>3353.2258064516122</v>
      </c>
      <c r="V21" s="7">
        <f t="shared" si="48"/>
        <v>2918</v>
      </c>
      <c r="W21" s="7">
        <f t="shared" si="49"/>
        <v>435.22580645161224</v>
      </c>
      <c r="X21" s="7">
        <f t="shared" si="50"/>
        <v>20322.580645161292</v>
      </c>
      <c r="Y21" s="7">
        <f t="shared" si="50"/>
        <v>9612</v>
      </c>
      <c r="Z21" s="7">
        <f t="shared" si="51"/>
        <v>10710.580645161292</v>
      </c>
      <c r="AA21" s="24">
        <f t="shared" si="52"/>
        <v>0.9873471066263716</v>
      </c>
      <c r="AB21" s="1"/>
    </row>
    <row r="22" spans="2:28" ht="18" x14ac:dyDescent="0.25">
      <c r="B22" s="3">
        <v>20</v>
      </c>
      <c r="C22" s="3">
        <f>C23+163</f>
        <v>445799</v>
      </c>
      <c r="D22" s="3">
        <f>D23+79</f>
        <v>605295</v>
      </c>
      <c r="E22" s="3">
        <f>E23+74</f>
        <v>398754</v>
      </c>
      <c r="F22" s="8">
        <f t="shared" si="38"/>
        <v>1449848</v>
      </c>
      <c r="G22" s="22">
        <f t="shared" si="39"/>
        <v>1449597.8333333333</v>
      </c>
      <c r="H22" s="7">
        <f t="shared" si="40"/>
        <v>1449617.5833333333</v>
      </c>
      <c r="I22" s="3">
        <f t="shared" ref="I22" si="56">I23+62</f>
        <v>274093</v>
      </c>
      <c r="J22" s="6">
        <f t="shared" si="41"/>
        <v>163</v>
      </c>
      <c r="K22" s="6">
        <f t="shared" si="41"/>
        <v>79</v>
      </c>
      <c r="L22" s="6">
        <f t="shared" si="41"/>
        <v>74</v>
      </c>
      <c r="M22" s="6">
        <f t="shared" si="42"/>
        <v>62</v>
      </c>
      <c r="N22" s="5">
        <f t="shared" si="24"/>
        <v>159.67741935483872</v>
      </c>
      <c r="O22" s="3">
        <f t="shared" si="43"/>
        <v>74</v>
      </c>
      <c r="P22" s="5">
        <f t="shared" si="44"/>
        <v>85.677419354838719</v>
      </c>
      <c r="Q22" s="5">
        <v>11</v>
      </c>
      <c r="R22" s="7">
        <f t="shared" si="28"/>
        <v>967.74193548387098</v>
      </c>
      <c r="S22" s="6">
        <f t="shared" si="46"/>
        <v>316</v>
      </c>
      <c r="T22" s="7">
        <f t="shared" si="47"/>
        <v>651.74193548387098</v>
      </c>
      <c r="U22" s="7">
        <f t="shared" si="48"/>
        <v>3193.5483870967737</v>
      </c>
      <c r="V22" s="7">
        <f t="shared" si="48"/>
        <v>2841</v>
      </c>
      <c r="W22" s="7">
        <f t="shared" si="49"/>
        <v>352.54838709677369</v>
      </c>
      <c r="X22" s="7">
        <f t="shared" si="50"/>
        <v>19354.83870967742</v>
      </c>
      <c r="Y22" s="7">
        <f t="shared" si="50"/>
        <v>9282</v>
      </c>
      <c r="Z22" s="7">
        <f t="shared" si="51"/>
        <v>10072.83870967742</v>
      </c>
      <c r="AA22" s="24">
        <f t="shared" si="52"/>
        <v>0.98129074859036824</v>
      </c>
      <c r="AB22" s="1"/>
    </row>
    <row r="23" spans="2:28" ht="18" x14ac:dyDescent="0.25">
      <c r="B23" s="3">
        <v>19</v>
      </c>
      <c r="C23" s="3">
        <f>C24+171</f>
        <v>445636</v>
      </c>
      <c r="D23" s="3">
        <f>D24+66</f>
        <v>605216</v>
      </c>
      <c r="E23" s="3">
        <f>E24+63</f>
        <v>398680</v>
      </c>
      <c r="F23" s="9">
        <f>C23+D23+E23</f>
        <v>1449532</v>
      </c>
      <c r="G23" s="22">
        <f t="shared" si="39"/>
        <v>1449294.5</v>
      </c>
      <c r="H23" s="7">
        <f t="shared" si="40"/>
        <v>1449311</v>
      </c>
      <c r="I23" s="3">
        <f>I24+61</f>
        <v>274031</v>
      </c>
      <c r="J23" s="6">
        <f t="shared" si="41"/>
        <v>171</v>
      </c>
      <c r="K23" s="6">
        <f t="shared" si="41"/>
        <v>66</v>
      </c>
      <c r="L23" s="6">
        <f t="shared" si="41"/>
        <v>63</v>
      </c>
      <c r="M23" s="6">
        <f t="shared" si="42"/>
        <v>61</v>
      </c>
      <c r="N23" s="5">
        <f t="shared" si="24"/>
        <v>159.67741935483872</v>
      </c>
      <c r="O23" s="3">
        <f t="shared" si="43"/>
        <v>63</v>
      </c>
      <c r="P23" s="5">
        <f t="shared" si="44"/>
        <v>96.677419354838719</v>
      </c>
      <c r="Q23" s="5">
        <f t="shared" si="45"/>
        <v>16.5</v>
      </c>
      <c r="R23" s="7">
        <f t="shared" si="28"/>
        <v>967.74193548387098</v>
      </c>
      <c r="S23" s="6">
        <f t="shared" si="46"/>
        <v>300</v>
      </c>
      <c r="T23" s="7">
        <f t="shared" si="47"/>
        <v>667.74193548387098</v>
      </c>
      <c r="U23" s="7">
        <f t="shared" si="48"/>
        <v>3033.8709677419351</v>
      </c>
      <c r="V23" s="7">
        <f t="shared" si="48"/>
        <v>2767</v>
      </c>
      <c r="W23" s="7">
        <f t="shared" si="49"/>
        <v>266.87096774193515</v>
      </c>
      <c r="X23" s="7">
        <f t="shared" si="50"/>
        <v>18387.096774193549</v>
      </c>
      <c r="Y23" s="7">
        <f t="shared" si="50"/>
        <v>8966</v>
      </c>
      <c r="Z23" s="7">
        <f t="shared" si="51"/>
        <v>9421.0967741935492</v>
      </c>
      <c r="AA23" s="24">
        <f t="shared" si="52"/>
        <v>0.97994747404544635</v>
      </c>
      <c r="AB23" s="1"/>
    </row>
    <row r="24" spans="2:28" ht="18" x14ac:dyDescent="0.25">
      <c r="B24" s="3">
        <v>18</v>
      </c>
      <c r="C24" s="3">
        <f>C25+166</f>
        <v>445465</v>
      </c>
      <c r="D24" s="3">
        <f>D25+62</f>
        <v>605150</v>
      </c>
      <c r="E24" s="3">
        <f>E25+68</f>
        <v>398617</v>
      </c>
      <c r="F24" s="8">
        <f t="shared" si="38"/>
        <v>1449232</v>
      </c>
      <c r="G24" s="22">
        <f t="shared" si="39"/>
        <v>1448997.6666666667</v>
      </c>
      <c r="H24" s="7">
        <f t="shared" si="40"/>
        <v>1449013.1666666667</v>
      </c>
      <c r="I24" s="3">
        <f>I25+67</f>
        <v>273970</v>
      </c>
      <c r="J24" s="6">
        <f t="shared" si="41"/>
        <v>166</v>
      </c>
      <c r="K24" s="6">
        <f t="shared" si="41"/>
        <v>62</v>
      </c>
      <c r="L24" s="6">
        <f t="shared" si="41"/>
        <v>68</v>
      </c>
      <c r="M24" s="6">
        <f t="shared" si="42"/>
        <v>67</v>
      </c>
      <c r="N24" s="5">
        <f t="shared" si="24"/>
        <v>159.67741935483872</v>
      </c>
      <c r="O24" s="3">
        <f t="shared" si="43"/>
        <v>68</v>
      </c>
      <c r="P24" s="5">
        <f t="shared" si="44"/>
        <v>91.677419354838719</v>
      </c>
      <c r="Q24" s="5">
        <v>10</v>
      </c>
      <c r="R24" s="7">
        <f t="shared" si="28"/>
        <v>967.74193548387098</v>
      </c>
      <c r="S24" s="6">
        <f t="shared" si="46"/>
        <v>296</v>
      </c>
      <c r="T24" s="7">
        <f t="shared" si="47"/>
        <v>671.74193548387098</v>
      </c>
      <c r="U24" s="7">
        <f t="shared" si="48"/>
        <v>2874.1935483870966</v>
      </c>
      <c r="V24" s="7">
        <f t="shared" si="48"/>
        <v>2704</v>
      </c>
      <c r="W24" s="7">
        <f t="shared" si="49"/>
        <v>170.1935483870966</v>
      </c>
      <c r="X24" s="7">
        <f t="shared" si="50"/>
        <v>17419.354838709678</v>
      </c>
      <c r="Y24" s="7">
        <f t="shared" si="50"/>
        <v>8666</v>
      </c>
      <c r="Z24" s="7">
        <f t="shared" si="51"/>
        <v>8753.354838709678</v>
      </c>
      <c r="AA24" s="24">
        <f t="shared" si="52"/>
        <v>0.97532668704556402</v>
      </c>
      <c r="AB24" s="1"/>
    </row>
    <row r="25" spans="2:28" ht="18" x14ac:dyDescent="0.25">
      <c r="B25" s="3">
        <v>17</v>
      </c>
      <c r="C25" s="3">
        <f>C26+164</f>
        <v>445299</v>
      </c>
      <c r="D25" s="3">
        <f t="shared" ref="D25" si="57">D26+70</f>
        <v>605088</v>
      </c>
      <c r="E25" s="3">
        <f>E26+65</f>
        <v>398549</v>
      </c>
      <c r="F25" s="8">
        <f t="shared" si="38"/>
        <v>1448936</v>
      </c>
      <c r="G25" s="22">
        <f t="shared" si="39"/>
        <v>1448699.2916666667</v>
      </c>
      <c r="H25" s="7">
        <f t="shared" si="40"/>
        <v>1448716.7916666667</v>
      </c>
      <c r="I25" s="3">
        <f>I26+63</f>
        <v>273903</v>
      </c>
      <c r="J25" s="6">
        <f t="shared" si="41"/>
        <v>164</v>
      </c>
      <c r="K25" s="6">
        <f t="shared" si="41"/>
        <v>70</v>
      </c>
      <c r="L25" s="6">
        <f t="shared" si="41"/>
        <v>65</v>
      </c>
      <c r="M25" s="7">
        <f t="shared" si="42"/>
        <v>63</v>
      </c>
      <c r="N25" s="5">
        <f t="shared" si="24"/>
        <v>159.67741935483872</v>
      </c>
      <c r="O25" s="3">
        <f t="shared" si="43"/>
        <v>65</v>
      </c>
      <c r="P25" s="5">
        <f t="shared" si="44"/>
        <v>94.677419354838719</v>
      </c>
      <c r="Q25" s="5">
        <v>14</v>
      </c>
      <c r="R25" s="7">
        <f t="shared" si="28"/>
        <v>967.74193548387098</v>
      </c>
      <c r="S25" s="6">
        <f t="shared" si="46"/>
        <v>299</v>
      </c>
      <c r="T25" s="7">
        <f t="shared" si="47"/>
        <v>668.74193548387098</v>
      </c>
      <c r="U25" s="7">
        <f t="shared" si="48"/>
        <v>2714.516129032258</v>
      </c>
      <c r="V25" s="6">
        <f t="shared" si="48"/>
        <v>2636</v>
      </c>
      <c r="W25" s="7">
        <f t="shared" si="49"/>
        <v>78.51612903225805</v>
      </c>
      <c r="X25" s="7">
        <f t="shared" si="50"/>
        <v>16451.612903225807</v>
      </c>
      <c r="Y25" s="7">
        <f t="shared" si="50"/>
        <v>8370</v>
      </c>
      <c r="Z25" s="7">
        <f t="shared" si="51"/>
        <v>8081.6129032258068</v>
      </c>
      <c r="AA25" s="24">
        <f t="shared" si="52"/>
        <v>0.97851504826926794</v>
      </c>
      <c r="AB25" s="1"/>
    </row>
    <row r="26" spans="2:28" ht="18" x14ac:dyDescent="0.25">
      <c r="B26" s="3">
        <v>16</v>
      </c>
      <c r="C26" s="3">
        <f t="shared" ref="C26" si="58">C27+167</f>
        <v>445135</v>
      </c>
      <c r="D26" s="3">
        <f>D27+71</f>
        <v>605018</v>
      </c>
      <c r="E26" s="3">
        <f>E27+71</f>
        <v>398484</v>
      </c>
      <c r="F26" s="8">
        <f t="shared" si="38"/>
        <v>1448637</v>
      </c>
      <c r="G26" s="22">
        <f t="shared" si="39"/>
        <v>1448392.375</v>
      </c>
      <c r="H26" s="7">
        <f t="shared" si="40"/>
        <v>1448410.125</v>
      </c>
      <c r="I26" s="3">
        <f>I27+60</f>
        <v>273840</v>
      </c>
      <c r="J26" s="6">
        <f t="shared" si="41"/>
        <v>167</v>
      </c>
      <c r="K26" s="6">
        <f t="shared" si="41"/>
        <v>71</v>
      </c>
      <c r="L26" s="6">
        <f t="shared" si="41"/>
        <v>71</v>
      </c>
      <c r="M26" s="7">
        <f t="shared" si="42"/>
        <v>60</v>
      </c>
      <c r="N26" s="5">
        <f t="shared" si="24"/>
        <v>159.67741935483872</v>
      </c>
      <c r="O26" s="3">
        <f t="shared" si="43"/>
        <v>71</v>
      </c>
      <c r="P26" s="5">
        <f t="shared" si="44"/>
        <v>88.677419354838719</v>
      </c>
      <c r="Q26" s="5">
        <f t="shared" si="45"/>
        <v>17.75</v>
      </c>
      <c r="R26" s="7">
        <f t="shared" si="28"/>
        <v>967.74193548387098</v>
      </c>
      <c r="S26" s="6">
        <f t="shared" si="46"/>
        <v>309</v>
      </c>
      <c r="T26" s="7">
        <f t="shared" si="47"/>
        <v>658.74193548387098</v>
      </c>
      <c r="U26" s="7">
        <f t="shared" si="48"/>
        <v>2554.8387096774195</v>
      </c>
      <c r="V26" s="6">
        <f t="shared" si="48"/>
        <v>2571</v>
      </c>
      <c r="W26" s="7">
        <f t="shared" si="49"/>
        <v>-16.161290322580498</v>
      </c>
      <c r="X26" s="7">
        <f t="shared" si="50"/>
        <v>15483.870967741937</v>
      </c>
      <c r="Y26" s="7">
        <f t="shared" si="50"/>
        <v>8071</v>
      </c>
      <c r="Z26" s="7">
        <f t="shared" si="51"/>
        <v>7412.8709677419374</v>
      </c>
      <c r="AA26" s="24">
        <f t="shared" si="52"/>
        <v>0.9816649588223979</v>
      </c>
      <c r="AB26" s="1"/>
    </row>
    <row r="27" spans="2:28" ht="18" x14ac:dyDescent="0.25">
      <c r="B27" s="3">
        <v>15</v>
      </c>
      <c r="C27" s="3">
        <f>C28+172</f>
        <v>444968</v>
      </c>
      <c r="D27" s="3">
        <f>D28+66</f>
        <v>604947</v>
      </c>
      <c r="E27" s="3">
        <f>E28+69</f>
        <v>398413</v>
      </c>
      <c r="F27" s="8">
        <f t="shared" si="38"/>
        <v>1448328</v>
      </c>
      <c r="G27" s="22">
        <f t="shared" si="39"/>
        <v>1448084.9583333333</v>
      </c>
      <c r="H27" s="7">
        <f t="shared" si="40"/>
        <v>1448101.4583333333</v>
      </c>
      <c r="I27" s="3">
        <f>I28+72</f>
        <v>273780</v>
      </c>
      <c r="J27" s="6">
        <f t="shared" si="41"/>
        <v>172</v>
      </c>
      <c r="K27" s="6">
        <f t="shared" si="41"/>
        <v>66</v>
      </c>
      <c r="L27" s="6">
        <f t="shared" si="41"/>
        <v>69</v>
      </c>
      <c r="M27" s="7">
        <f t="shared" si="42"/>
        <v>72</v>
      </c>
      <c r="N27" s="5">
        <f t="shared" si="24"/>
        <v>159.67741935483872</v>
      </c>
      <c r="O27" s="3">
        <f t="shared" si="43"/>
        <v>69</v>
      </c>
      <c r="P27" s="5">
        <f t="shared" si="44"/>
        <v>90.677419354838719</v>
      </c>
      <c r="Q27" s="5">
        <f t="shared" si="45"/>
        <v>16.5</v>
      </c>
      <c r="R27" s="7">
        <f t="shared" si="28"/>
        <v>967.74193548387098</v>
      </c>
      <c r="S27" s="6">
        <f t="shared" si="46"/>
        <v>307</v>
      </c>
      <c r="T27" s="7">
        <f t="shared" si="47"/>
        <v>660.74193548387098</v>
      </c>
      <c r="U27" s="7">
        <f t="shared" si="48"/>
        <v>2395.161290322581</v>
      </c>
      <c r="V27" s="6">
        <f t="shared" si="48"/>
        <v>2500</v>
      </c>
      <c r="W27" s="7">
        <f t="shared" si="49"/>
        <v>-104.83870967741905</v>
      </c>
      <c r="X27" s="7">
        <f t="shared" si="50"/>
        <v>14516.129032258066</v>
      </c>
      <c r="Y27" s="7">
        <f t="shared" si="50"/>
        <v>7762</v>
      </c>
      <c r="Z27" s="7">
        <f t="shared" si="51"/>
        <v>6754.1290322580662</v>
      </c>
      <c r="AA27" s="24">
        <f t="shared" si="52"/>
        <v>0.97358327383820797</v>
      </c>
      <c r="AB27" s="1"/>
    </row>
    <row r="28" spans="2:28" ht="18" x14ac:dyDescent="0.25">
      <c r="B28" s="3">
        <v>14</v>
      </c>
      <c r="C28" s="3">
        <v>444796</v>
      </c>
      <c r="D28" s="3">
        <v>604881</v>
      </c>
      <c r="E28" s="3">
        <v>398344</v>
      </c>
      <c r="F28" s="8">
        <f t="shared" si="38"/>
        <v>1448021</v>
      </c>
      <c r="G28" s="22">
        <f t="shared" si="39"/>
        <v>1447610.9166666667</v>
      </c>
      <c r="H28" s="7">
        <f t="shared" si="40"/>
        <v>1447640.1666666667</v>
      </c>
      <c r="I28" s="3">
        <v>273708</v>
      </c>
      <c r="J28" s="6">
        <f t="shared" si="41"/>
        <v>208</v>
      </c>
      <c r="K28" s="6">
        <f t="shared" si="41"/>
        <v>117</v>
      </c>
      <c r="L28" s="6">
        <f t="shared" si="41"/>
        <v>193</v>
      </c>
      <c r="M28" s="7">
        <f t="shared" si="42"/>
        <v>95</v>
      </c>
      <c r="N28" s="5">
        <f t="shared" si="24"/>
        <v>159.67741935483872</v>
      </c>
      <c r="O28" s="3">
        <f t="shared" si="43"/>
        <v>193</v>
      </c>
      <c r="P28" s="5">
        <f t="shared" si="44"/>
        <v>-33.322580645161281</v>
      </c>
      <c r="Q28" s="5">
        <f t="shared" si="45"/>
        <v>29.25</v>
      </c>
      <c r="R28" s="7">
        <f t="shared" si="28"/>
        <v>967.74193548387098</v>
      </c>
      <c r="S28" s="6">
        <f t="shared" si="46"/>
        <v>518</v>
      </c>
      <c r="T28" s="7">
        <f t="shared" si="47"/>
        <v>449.74193548387098</v>
      </c>
      <c r="U28" s="7">
        <f t="shared" si="48"/>
        <v>2235.4838709677424</v>
      </c>
      <c r="V28" s="6">
        <f t="shared" si="48"/>
        <v>2431</v>
      </c>
      <c r="W28" s="7">
        <f t="shared" si="49"/>
        <v>-195.5161290322576</v>
      </c>
      <c r="X28" s="7">
        <f t="shared" si="50"/>
        <v>13548.387096774195</v>
      </c>
      <c r="Y28" s="7">
        <f t="shared" si="50"/>
        <v>7455</v>
      </c>
      <c r="Z28" s="7">
        <f t="shared" si="51"/>
        <v>6093.387096774195</v>
      </c>
      <c r="AA28" s="24">
        <f t="shared" si="52"/>
        <v>0.98359532883313594</v>
      </c>
      <c r="AB28" s="1"/>
    </row>
    <row r="29" spans="2:28" ht="18" x14ac:dyDescent="0.25">
      <c r="B29" s="3">
        <v>13</v>
      </c>
      <c r="C29" s="3">
        <f>C30+210</f>
        <v>444588</v>
      </c>
      <c r="D29" s="3">
        <f>D30+115</f>
        <v>604764</v>
      </c>
      <c r="E29" s="3">
        <f>E30+168</f>
        <v>398151</v>
      </c>
      <c r="F29" s="8">
        <f t="shared" si="38"/>
        <v>1447503</v>
      </c>
      <c r="G29" s="22">
        <f t="shared" si="39"/>
        <v>1447112.7083333333</v>
      </c>
      <c r="H29" s="7">
        <f t="shared" si="40"/>
        <v>1447141.4583333333</v>
      </c>
      <c r="I29" s="3">
        <f>I30+108</f>
        <v>273613</v>
      </c>
      <c r="J29" s="6">
        <f t="shared" si="41"/>
        <v>210</v>
      </c>
      <c r="K29" s="6">
        <f t="shared" si="41"/>
        <v>115</v>
      </c>
      <c r="L29" s="6">
        <f t="shared" si="41"/>
        <v>168</v>
      </c>
      <c r="M29" s="6">
        <f t="shared" si="42"/>
        <v>108</v>
      </c>
      <c r="N29" s="5">
        <f t="shared" si="24"/>
        <v>159.67741935483872</v>
      </c>
      <c r="O29" s="3">
        <f t="shared" si="43"/>
        <v>168</v>
      </c>
      <c r="P29" s="5">
        <f t="shared" si="44"/>
        <v>-8.3225806451612812</v>
      </c>
      <c r="Q29" s="5">
        <f t="shared" si="45"/>
        <v>28.75</v>
      </c>
      <c r="R29" s="7">
        <f t="shared" si="28"/>
        <v>967.74193548387098</v>
      </c>
      <c r="S29" s="6">
        <f t="shared" si="46"/>
        <v>493</v>
      </c>
      <c r="T29" s="7">
        <f t="shared" si="47"/>
        <v>474.74193548387098</v>
      </c>
      <c r="U29" s="7">
        <f t="shared" si="48"/>
        <v>2075.8064516129039</v>
      </c>
      <c r="V29" s="6">
        <f t="shared" si="48"/>
        <v>2238</v>
      </c>
      <c r="W29" s="7">
        <f t="shared" si="49"/>
        <v>-162.19354838709614</v>
      </c>
      <c r="X29" s="7">
        <f t="shared" si="50"/>
        <v>12580.645161290324</v>
      </c>
      <c r="Y29" s="7">
        <f t="shared" si="50"/>
        <v>6937</v>
      </c>
      <c r="Z29" s="7">
        <f t="shared" si="51"/>
        <v>5643.6451612903238</v>
      </c>
      <c r="AA29" s="24">
        <f t="shared" si="52"/>
        <v>0.97683534143519479</v>
      </c>
      <c r="AB29" s="1"/>
    </row>
    <row r="30" spans="2:28" ht="18" x14ac:dyDescent="0.25">
      <c r="B30" s="3">
        <v>12</v>
      </c>
      <c r="C30" s="3">
        <f>C31+201</f>
        <v>444378</v>
      </c>
      <c r="D30" s="3">
        <f>D31+107</f>
        <v>604649</v>
      </c>
      <c r="E30" s="3">
        <f>E31+159</f>
        <v>397983</v>
      </c>
      <c r="F30" s="8">
        <f t="shared" si="38"/>
        <v>1447010</v>
      </c>
      <c r="G30" s="22">
        <f t="shared" si="39"/>
        <v>1446640.2916666667</v>
      </c>
      <c r="H30" s="7">
        <f t="shared" si="40"/>
        <v>1446667.0416666667</v>
      </c>
      <c r="I30" s="3">
        <f>I31+86</f>
        <v>273505</v>
      </c>
      <c r="J30" s="6">
        <f t="shared" si="41"/>
        <v>201</v>
      </c>
      <c r="K30" s="6">
        <f t="shared" si="41"/>
        <v>107</v>
      </c>
      <c r="L30" s="6">
        <f t="shared" si="41"/>
        <v>159</v>
      </c>
      <c r="M30" s="6">
        <f t="shared" si="42"/>
        <v>86</v>
      </c>
      <c r="N30" s="5">
        <f t="shared" si="24"/>
        <v>159.67741935483872</v>
      </c>
      <c r="O30" s="3">
        <f t="shared" si="43"/>
        <v>159</v>
      </c>
      <c r="P30" s="5">
        <f t="shared" si="44"/>
        <v>0.67741935483871885</v>
      </c>
      <c r="Q30" s="5">
        <f t="shared" si="45"/>
        <v>26.75</v>
      </c>
      <c r="R30" s="7">
        <f t="shared" si="28"/>
        <v>967.74193548387098</v>
      </c>
      <c r="S30" s="6">
        <f t="shared" si="46"/>
        <v>467</v>
      </c>
      <c r="T30" s="7">
        <f t="shared" si="47"/>
        <v>500.74193548387098</v>
      </c>
      <c r="U30" s="7">
        <f t="shared" si="48"/>
        <v>1916.1290322580651</v>
      </c>
      <c r="V30" s="6">
        <f t="shared" si="48"/>
        <v>2070</v>
      </c>
      <c r="W30" s="7">
        <f t="shared" si="49"/>
        <v>-153.87096774193492</v>
      </c>
      <c r="X30" s="7">
        <f t="shared" si="50"/>
        <v>11612.903225806453</v>
      </c>
      <c r="Y30" s="7">
        <f t="shared" si="50"/>
        <v>6444</v>
      </c>
      <c r="Z30" s="7">
        <f t="shared" si="51"/>
        <v>5168.9032258064526</v>
      </c>
      <c r="AA30" s="24">
        <f t="shared" si="52"/>
        <v>0.98346306081651991</v>
      </c>
      <c r="AB30" s="1"/>
    </row>
    <row r="31" spans="2:28" ht="18" x14ac:dyDescent="0.25">
      <c r="B31" s="3">
        <v>11</v>
      </c>
      <c r="C31" s="3">
        <f>C32+203</f>
        <v>444177</v>
      </c>
      <c r="D31" s="3">
        <f>D32+109</f>
        <v>604542</v>
      </c>
      <c r="E31" s="3">
        <f>E32+149</f>
        <v>397824</v>
      </c>
      <c r="F31" s="8">
        <f t="shared" si="38"/>
        <v>1446543</v>
      </c>
      <c r="G31" s="22">
        <f t="shared" si="39"/>
        <v>1446178.0416666667</v>
      </c>
      <c r="H31" s="7">
        <f t="shared" si="40"/>
        <v>1446205.2916666667</v>
      </c>
      <c r="I31" s="3">
        <f>I32+87</f>
        <v>273419</v>
      </c>
      <c r="J31" s="6">
        <f t="shared" si="41"/>
        <v>203</v>
      </c>
      <c r="K31" s="6">
        <f t="shared" si="41"/>
        <v>109</v>
      </c>
      <c r="L31" s="6">
        <f t="shared" si="41"/>
        <v>149</v>
      </c>
      <c r="M31" s="6">
        <f t="shared" si="42"/>
        <v>87</v>
      </c>
      <c r="N31" s="5">
        <f t="shared" si="24"/>
        <v>159.67741935483872</v>
      </c>
      <c r="O31" s="3">
        <f t="shared" si="43"/>
        <v>149</v>
      </c>
      <c r="P31" s="5">
        <f t="shared" si="44"/>
        <v>10.677419354838719</v>
      </c>
      <c r="Q31" s="5">
        <f t="shared" si="45"/>
        <v>27.25</v>
      </c>
      <c r="R31" s="7">
        <f t="shared" si="28"/>
        <v>967.74193548387098</v>
      </c>
      <c r="S31" s="6">
        <f t="shared" si="46"/>
        <v>461</v>
      </c>
      <c r="T31" s="7">
        <f t="shared" si="47"/>
        <v>506.74193548387098</v>
      </c>
      <c r="U31" s="7">
        <f t="shared" si="48"/>
        <v>1756.4516129032263</v>
      </c>
      <c r="V31" s="6">
        <f t="shared" si="48"/>
        <v>1911</v>
      </c>
      <c r="W31" s="7">
        <f t="shared" si="49"/>
        <v>-154.54838709677369</v>
      </c>
      <c r="X31" s="7">
        <f t="shared" si="50"/>
        <v>10645.161290322581</v>
      </c>
      <c r="Y31" s="7">
        <f t="shared" si="50"/>
        <v>5977</v>
      </c>
      <c r="Z31" s="7">
        <f t="shared" si="51"/>
        <v>4668.1612903225814</v>
      </c>
      <c r="AA31" s="24">
        <f t="shared" si="52"/>
        <v>0.98265432547605491</v>
      </c>
      <c r="AB31" s="1"/>
    </row>
    <row r="32" spans="2:28" ht="18" x14ac:dyDescent="0.25">
      <c r="B32" s="3">
        <v>10</v>
      </c>
      <c r="C32" s="3">
        <f>C33+213</f>
        <v>443974</v>
      </c>
      <c r="D32" s="3">
        <f>D33+119</f>
        <v>604433</v>
      </c>
      <c r="E32" s="3">
        <f>E33+168</f>
        <v>397675</v>
      </c>
      <c r="F32" s="8">
        <f t="shared" si="38"/>
        <v>1446082</v>
      </c>
      <c r="G32" s="22">
        <f t="shared" si="39"/>
        <v>1445686.1666666667</v>
      </c>
      <c r="H32" s="7">
        <f t="shared" si="40"/>
        <v>1445715.9166666667</v>
      </c>
      <c r="I32" s="3">
        <f>I33+94</f>
        <v>273332</v>
      </c>
      <c r="J32" s="6">
        <f t="shared" si="41"/>
        <v>213</v>
      </c>
      <c r="K32" s="6">
        <f t="shared" si="41"/>
        <v>119</v>
      </c>
      <c r="L32" s="6">
        <f t="shared" si="41"/>
        <v>168</v>
      </c>
      <c r="M32" s="6">
        <f t="shared" si="42"/>
        <v>94</v>
      </c>
      <c r="N32" s="5">
        <f t="shared" si="24"/>
        <v>159.67741935483872</v>
      </c>
      <c r="O32" s="3">
        <f t="shared" si="43"/>
        <v>168</v>
      </c>
      <c r="P32" s="5">
        <f t="shared" si="44"/>
        <v>-8.3225806451612812</v>
      </c>
      <c r="Q32" s="5">
        <f t="shared" si="45"/>
        <v>29.75</v>
      </c>
      <c r="R32" s="7">
        <f t="shared" si="28"/>
        <v>967.74193548387098</v>
      </c>
      <c r="S32" s="6">
        <f t="shared" si="46"/>
        <v>500</v>
      </c>
      <c r="T32" s="7">
        <f t="shared" si="47"/>
        <v>467.74193548387098</v>
      </c>
      <c r="U32" s="7">
        <f t="shared" si="48"/>
        <v>1596.7741935483875</v>
      </c>
      <c r="V32" s="6">
        <f t="shared" si="48"/>
        <v>1762</v>
      </c>
      <c r="W32" s="7">
        <f t="shared" si="49"/>
        <v>-165.22580645161247</v>
      </c>
      <c r="X32" s="7">
        <f t="shared" si="50"/>
        <v>9677.4193548387102</v>
      </c>
      <c r="Y32" s="7">
        <f t="shared" si="50"/>
        <v>5516</v>
      </c>
      <c r="Z32" s="7">
        <f t="shared" si="51"/>
        <v>4161.4193548387102</v>
      </c>
      <c r="AA32" s="24">
        <f t="shared" si="52"/>
        <v>0.98278306553131578</v>
      </c>
      <c r="AB32" s="1"/>
    </row>
    <row r="33" spans="2:28" ht="18" x14ac:dyDescent="0.25">
      <c r="B33" s="3">
        <v>9</v>
      </c>
      <c r="C33" s="3">
        <f>C34+212</f>
        <v>443761</v>
      </c>
      <c r="D33" s="3">
        <f>D34+116</f>
        <v>604314</v>
      </c>
      <c r="E33" s="3">
        <f>E34+174</f>
        <v>397507</v>
      </c>
      <c r="F33" s="8">
        <f>C33+D33+E33</f>
        <v>1445582</v>
      </c>
      <c r="G33" s="22">
        <f t="shared" si="39"/>
        <v>1445184.5833333333</v>
      </c>
      <c r="H33" s="7">
        <f t="shared" si="40"/>
        <v>1445213.5833333333</v>
      </c>
      <c r="I33" s="3">
        <f>I34+106</f>
        <v>273238</v>
      </c>
      <c r="J33" s="6">
        <f t="shared" si="41"/>
        <v>212</v>
      </c>
      <c r="K33" s="6">
        <f t="shared" si="41"/>
        <v>116</v>
      </c>
      <c r="L33" s="6">
        <f t="shared" si="41"/>
        <v>174</v>
      </c>
      <c r="M33" s="6">
        <f t="shared" si="42"/>
        <v>106</v>
      </c>
      <c r="N33" s="5">
        <f t="shared" si="24"/>
        <v>159.67741935483872</v>
      </c>
      <c r="O33" s="3">
        <f t="shared" si="43"/>
        <v>174</v>
      </c>
      <c r="P33" s="5">
        <f t="shared" si="44"/>
        <v>-14.322580645161281</v>
      </c>
      <c r="Q33" s="5">
        <f t="shared" si="45"/>
        <v>29</v>
      </c>
      <c r="R33" s="7">
        <f t="shared" si="28"/>
        <v>967.74193548387098</v>
      </c>
      <c r="S33" s="6">
        <f t="shared" si="46"/>
        <v>502</v>
      </c>
      <c r="T33" s="7">
        <f t="shared" si="47"/>
        <v>465.74193548387098</v>
      </c>
      <c r="U33" s="7">
        <f t="shared" si="48"/>
        <v>1437.0967741935488</v>
      </c>
      <c r="V33" s="6">
        <f t="shared" si="48"/>
        <v>1594</v>
      </c>
      <c r="W33" s="7">
        <f t="shared" si="49"/>
        <v>-156.90322580645125</v>
      </c>
      <c r="X33" s="7">
        <f t="shared" si="50"/>
        <v>8709.677419354839</v>
      </c>
      <c r="Y33" s="7">
        <f t="shared" si="50"/>
        <v>5016</v>
      </c>
      <c r="Z33" s="7">
        <f t="shared" si="51"/>
        <v>3693.677419354839</v>
      </c>
      <c r="AA33" s="24">
        <f t="shared" si="52"/>
        <v>0.97842552973980557</v>
      </c>
      <c r="AB33" s="1"/>
    </row>
    <row r="34" spans="2:28" ht="18" x14ac:dyDescent="0.25">
      <c r="B34" s="3">
        <v>8</v>
      </c>
      <c r="C34" s="3">
        <f>C35+207</f>
        <v>443549</v>
      </c>
      <c r="D34" s="3">
        <f>D35+118</f>
        <v>604198</v>
      </c>
      <c r="E34" s="3">
        <f>E35+169</f>
        <v>397333</v>
      </c>
      <c r="F34" s="8">
        <f t="shared" si="38"/>
        <v>1445080</v>
      </c>
      <c r="G34" s="22">
        <f t="shared" si="39"/>
        <v>1444688.9166666667</v>
      </c>
      <c r="H34" s="7">
        <f t="shared" si="40"/>
        <v>1444718.4166666667</v>
      </c>
      <c r="I34" s="3">
        <f>I35+96</f>
        <v>273132</v>
      </c>
      <c r="J34" s="6">
        <f t="shared" si="41"/>
        <v>207</v>
      </c>
      <c r="K34" s="6">
        <f t="shared" si="41"/>
        <v>118</v>
      </c>
      <c r="L34" s="6">
        <f t="shared" si="41"/>
        <v>169</v>
      </c>
      <c r="M34" s="6">
        <f t="shared" si="42"/>
        <v>96</v>
      </c>
      <c r="N34" s="5">
        <f t="shared" si="24"/>
        <v>159.67741935483872</v>
      </c>
      <c r="O34" s="3">
        <f t="shared" si="43"/>
        <v>169</v>
      </c>
      <c r="P34" s="5">
        <f t="shared" si="44"/>
        <v>-9.3225806451612812</v>
      </c>
      <c r="Q34" s="5">
        <f t="shared" si="45"/>
        <v>29.5</v>
      </c>
      <c r="R34" s="7">
        <f t="shared" si="28"/>
        <v>967.74193548387098</v>
      </c>
      <c r="S34" s="6">
        <f t="shared" si="46"/>
        <v>494</v>
      </c>
      <c r="T34" s="7">
        <f t="shared" si="47"/>
        <v>473.74193548387098</v>
      </c>
      <c r="U34" s="7">
        <f t="shared" si="48"/>
        <v>1277.41935483871</v>
      </c>
      <c r="V34" s="6">
        <f t="shared" si="48"/>
        <v>1420</v>
      </c>
      <c r="W34" s="7">
        <f t="shared" si="49"/>
        <v>-142.58064516129002</v>
      </c>
      <c r="X34" s="7">
        <f t="shared" si="50"/>
        <v>7741.9354838709687</v>
      </c>
      <c r="Y34" s="7">
        <f t="shared" si="50"/>
        <v>4514</v>
      </c>
      <c r="Z34" s="7">
        <f t="shared" si="51"/>
        <v>3227.9354838709687</v>
      </c>
      <c r="AA34" s="24">
        <f t="shared" si="52"/>
        <v>0.9816360676563568</v>
      </c>
      <c r="AB34" s="1"/>
    </row>
    <row r="35" spans="2:28" ht="18" x14ac:dyDescent="0.25">
      <c r="B35" s="3">
        <v>7</v>
      </c>
      <c r="C35" s="3">
        <f>C36+209</f>
        <v>443342</v>
      </c>
      <c r="D35" s="3">
        <f>D36+119</f>
        <v>604080</v>
      </c>
      <c r="E35" s="3">
        <f>E36+172</f>
        <v>397164</v>
      </c>
      <c r="F35" s="9">
        <f>C35+D35+E35</f>
        <v>1444586</v>
      </c>
      <c r="G35" s="22">
        <f t="shared" si="39"/>
        <v>1444190.1666666667</v>
      </c>
      <c r="H35" s="7">
        <f t="shared" si="40"/>
        <v>1444219.9166666667</v>
      </c>
      <c r="I35" s="3">
        <f>I36+101</f>
        <v>273036</v>
      </c>
      <c r="J35" s="6">
        <f t="shared" si="41"/>
        <v>209</v>
      </c>
      <c r="K35" s="6">
        <f t="shared" si="41"/>
        <v>119</v>
      </c>
      <c r="L35" s="6">
        <f t="shared" si="41"/>
        <v>172</v>
      </c>
      <c r="M35" s="6">
        <f t="shared" si="42"/>
        <v>101</v>
      </c>
      <c r="N35" s="5">
        <f t="shared" si="24"/>
        <v>159.67741935483872</v>
      </c>
      <c r="O35" s="3">
        <f t="shared" si="43"/>
        <v>172</v>
      </c>
      <c r="P35" s="5">
        <f t="shared" si="44"/>
        <v>-12.322580645161281</v>
      </c>
      <c r="Q35" s="5">
        <f t="shared" si="45"/>
        <v>29.75</v>
      </c>
      <c r="R35" s="7">
        <f t="shared" si="28"/>
        <v>967.74193548387098</v>
      </c>
      <c r="S35" s="6">
        <f t="shared" si="46"/>
        <v>500</v>
      </c>
      <c r="T35" s="7">
        <f t="shared" si="47"/>
        <v>467.74193548387098</v>
      </c>
      <c r="U35" s="7">
        <f t="shared" si="48"/>
        <v>1117.7419354838712</v>
      </c>
      <c r="V35" s="6">
        <f t="shared" si="48"/>
        <v>1251</v>
      </c>
      <c r="W35" s="7">
        <f t="shared" si="49"/>
        <v>-133.2580645161288</v>
      </c>
      <c r="X35" s="7">
        <f t="shared" si="50"/>
        <v>6774.1935483870975</v>
      </c>
      <c r="Y35" s="7">
        <f t="shared" si="50"/>
        <v>4020</v>
      </c>
      <c r="Z35" s="7">
        <f t="shared" si="51"/>
        <v>2754.1935483870975</v>
      </c>
      <c r="AA35" s="24">
        <f t="shared" si="52"/>
        <v>0.98020186316939384</v>
      </c>
      <c r="AB35" s="1"/>
    </row>
    <row r="36" spans="2:28" ht="18" x14ac:dyDescent="0.25">
      <c r="B36" s="3">
        <v>6</v>
      </c>
      <c r="C36" s="3">
        <f>C37+198</f>
        <v>443133</v>
      </c>
      <c r="D36" s="3">
        <f>D37+104</f>
        <v>603961</v>
      </c>
      <c r="E36" s="3">
        <f>E37+157</f>
        <v>396992</v>
      </c>
      <c r="F36" s="8">
        <f t="shared" si="38"/>
        <v>1444086</v>
      </c>
      <c r="G36" s="22">
        <f t="shared" si="39"/>
        <v>1443722.625</v>
      </c>
      <c r="H36" s="7">
        <f t="shared" si="40"/>
        <v>1443748.625</v>
      </c>
      <c r="I36" s="3">
        <f>I37+87</f>
        <v>272935</v>
      </c>
      <c r="J36" s="6">
        <f t="shared" si="41"/>
        <v>198</v>
      </c>
      <c r="K36" s="6">
        <f t="shared" si="41"/>
        <v>104</v>
      </c>
      <c r="L36" s="6">
        <f t="shared" si="41"/>
        <v>157</v>
      </c>
      <c r="M36" s="6">
        <f t="shared" si="42"/>
        <v>87</v>
      </c>
      <c r="N36" s="5">
        <f t="shared" si="24"/>
        <v>159.67741935483872</v>
      </c>
      <c r="O36" s="3">
        <f t="shared" si="43"/>
        <v>157</v>
      </c>
      <c r="P36" s="5">
        <f t="shared" si="44"/>
        <v>2.6774193548387188</v>
      </c>
      <c r="Q36" s="5">
        <f t="shared" si="45"/>
        <v>26</v>
      </c>
      <c r="R36" s="7">
        <f t="shared" si="28"/>
        <v>967.74193548387098</v>
      </c>
      <c r="S36" s="6">
        <f t="shared" si="46"/>
        <v>459</v>
      </c>
      <c r="T36" s="7">
        <f t="shared" si="47"/>
        <v>508.74193548387098</v>
      </c>
      <c r="U36" s="7">
        <f t="shared" si="48"/>
        <v>958.06451612903243</v>
      </c>
      <c r="V36" s="6">
        <f t="shared" si="48"/>
        <v>1079</v>
      </c>
      <c r="W36" s="7">
        <f t="shared" si="49"/>
        <v>-120.93548387096757</v>
      </c>
      <c r="X36" s="7">
        <f t="shared" si="50"/>
        <v>5806.4516129032263</v>
      </c>
      <c r="Y36" s="7">
        <f t="shared" si="50"/>
        <v>3520</v>
      </c>
      <c r="Z36" s="7">
        <f t="shared" si="51"/>
        <v>2286.4516129032263</v>
      </c>
      <c r="AA36" s="24">
        <f t="shared" si="52"/>
        <v>0.98250678757394139</v>
      </c>
      <c r="AB36" s="1"/>
    </row>
    <row r="37" spans="2:28" ht="18" x14ac:dyDescent="0.25">
      <c r="B37" s="3">
        <v>5</v>
      </c>
      <c r="C37" s="3">
        <f>C38+201</f>
        <v>442935</v>
      </c>
      <c r="D37" s="3">
        <f>D38+108</f>
        <v>603857</v>
      </c>
      <c r="E37" s="3">
        <f>E38+154</f>
        <v>396835</v>
      </c>
      <c r="F37" s="8">
        <f t="shared" si="38"/>
        <v>1443627</v>
      </c>
      <c r="G37" s="22">
        <f t="shared" si="39"/>
        <v>1443260.4583333333</v>
      </c>
      <c r="H37" s="7">
        <f t="shared" si="40"/>
        <v>1443287.4583333333</v>
      </c>
      <c r="I37" s="3">
        <f>I38+91</f>
        <v>272848</v>
      </c>
      <c r="J37" s="6">
        <f t="shared" si="41"/>
        <v>201</v>
      </c>
      <c r="K37" s="6">
        <f t="shared" si="41"/>
        <v>108</v>
      </c>
      <c r="L37" s="6">
        <f t="shared" si="41"/>
        <v>154</v>
      </c>
      <c r="M37" s="6">
        <f t="shared" si="42"/>
        <v>91</v>
      </c>
      <c r="N37" s="5">
        <f t="shared" si="24"/>
        <v>159.67741935483872</v>
      </c>
      <c r="O37" s="3">
        <f t="shared" si="43"/>
        <v>154</v>
      </c>
      <c r="P37" s="5">
        <f t="shared" si="44"/>
        <v>5.6774193548387188</v>
      </c>
      <c r="Q37" s="5">
        <f t="shared" si="45"/>
        <v>27</v>
      </c>
      <c r="R37" s="7">
        <f t="shared" si="28"/>
        <v>967.74193548387098</v>
      </c>
      <c r="S37" s="6">
        <f t="shared" si="46"/>
        <v>463</v>
      </c>
      <c r="T37" s="7">
        <f t="shared" si="47"/>
        <v>504.74193548387098</v>
      </c>
      <c r="U37" s="7">
        <f t="shared" si="48"/>
        <v>798.38709677419365</v>
      </c>
      <c r="V37" s="6">
        <f t="shared" si="48"/>
        <v>922</v>
      </c>
      <c r="W37" s="7">
        <f t="shared" si="49"/>
        <v>-123.61290322580635</v>
      </c>
      <c r="X37" s="7">
        <f t="shared" si="50"/>
        <v>4838.7096774193551</v>
      </c>
      <c r="Y37" s="7">
        <f t="shared" si="50"/>
        <v>3061</v>
      </c>
      <c r="Z37" s="7">
        <f t="shared" si="51"/>
        <v>1777.7096774193551</v>
      </c>
      <c r="AA37" s="24">
        <f t="shared" si="52"/>
        <v>0.9812273418222438</v>
      </c>
      <c r="AB37" s="1"/>
    </row>
    <row r="38" spans="2:28" ht="18" x14ac:dyDescent="0.25">
      <c r="B38" s="3">
        <v>4</v>
      </c>
      <c r="C38" s="3">
        <f>C39+211</f>
        <v>442734</v>
      </c>
      <c r="D38" s="3">
        <f>D39+121</f>
        <v>603749</v>
      </c>
      <c r="E38" s="3">
        <f>E39+166</f>
        <v>396681</v>
      </c>
      <c r="F38" s="8">
        <f t="shared" si="38"/>
        <v>1443164</v>
      </c>
      <c r="G38" s="22">
        <f t="shared" si="39"/>
        <v>1442769.75</v>
      </c>
      <c r="H38" s="7">
        <f t="shared" si="40"/>
        <v>1442800</v>
      </c>
      <c r="I38" s="3">
        <f>I39+97</f>
        <v>272757</v>
      </c>
      <c r="J38" s="6">
        <f t="shared" si="41"/>
        <v>211</v>
      </c>
      <c r="K38" s="6">
        <f t="shared" si="41"/>
        <v>121</v>
      </c>
      <c r="L38" s="6">
        <f t="shared" si="41"/>
        <v>166</v>
      </c>
      <c r="M38" s="7">
        <f>I38-I39</f>
        <v>97</v>
      </c>
      <c r="N38" s="5">
        <f t="shared" si="24"/>
        <v>159.67741935483872</v>
      </c>
      <c r="O38" s="3">
        <f t="shared" si="43"/>
        <v>166</v>
      </c>
      <c r="P38" s="5">
        <f t="shared" si="44"/>
        <v>-6.3225806451612812</v>
      </c>
      <c r="Q38" s="5">
        <f t="shared" si="45"/>
        <v>30.25</v>
      </c>
      <c r="R38" s="7">
        <f t="shared" si="28"/>
        <v>967.74193548387098</v>
      </c>
      <c r="S38" s="6">
        <f t="shared" si="46"/>
        <v>498</v>
      </c>
      <c r="T38" s="7">
        <f t="shared" si="47"/>
        <v>469.74193548387098</v>
      </c>
      <c r="U38" s="7">
        <f t="shared" si="48"/>
        <v>638.70967741935488</v>
      </c>
      <c r="V38" s="6">
        <f t="shared" si="48"/>
        <v>768</v>
      </c>
      <c r="W38" s="7">
        <f t="shared" si="49"/>
        <v>-129.29032258064512</v>
      </c>
      <c r="X38" s="7">
        <f t="shared" si="50"/>
        <v>3870.9677419354839</v>
      </c>
      <c r="Y38" s="7">
        <f t="shared" si="50"/>
        <v>2598</v>
      </c>
      <c r="Z38" s="7">
        <f t="shared" si="51"/>
        <v>1272.9677419354839</v>
      </c>
      <c r="AA38" s="24">
        <f t="shared" si="52"/>
        <v>0.98155379094294026</v>
      </c>
      <c r="AB38" s="1"/>
    </row>
    <row r="39" spans="2:28" ht="18" x14ac:dyDescent="0.25">
      <c r="B39" s="3">
        <v>3</v>
      </c>
      <c r="C39" s="3">
        <f>C40+215</f>
        <v>442523</v>
      </c>
      <c r="D39" s="3">
        <f>D40+117</f>
        <v>603628</v>
      </c>
      <c r="E39" s="3">
        <f>E40+169</f>
        <v>396515</v>
      </c>
      <c r="F39" s="8">
        <f t="shared" si="38"/>
        <v>1442666</v>
      </c>
      <c r="G39" s="22">
        <f t="shared" si="39"/>
        <v>1442269.375</v>
      </c>
      <c r="H39" s="7">
        <f t="shared" si="40"/>
        <v>1442298.625</v>
      </c>
      <c r="I39" s="3">
        <f>I40+99</f>
        <v>272660</v>
      </c>
      <c r="J39" s="6">
        <f t="shared" si="41"/>
        <v>215</v>
      </c>
      <c r="K39" s="6">
        <f t="shared" si="41"/>
        <v>117</v>
      </c>
      <c r="L39" s="6">
        <f t="shared" si="41"/>
        <v>169</v>
      </c>
      <c r="M39" s="6">
        <f t="shared" si="42"/>
        <v>99</v>
      </c>
      <c r="N39" s="5">
        <f t="shared" si="24"/>
        <v>159.67741935483872</v>
      </c>
      <c r="O39" s="3">
        <f t="shared" si="43"/>
        <v>169</v>
      </c>
      <c r="P39" s="5">
        <f t="shared" si="44"/>
        <v>-9.3225806451612812</v>
      </c>
      <c r="Q39" s="5">
        <f t="shared" si="45"/>
        <v>29.25</v>
      </c>
      <c r="R39" s="7">
        <f t="shared" si="28"/>
        <v>967.74193548387098</v>
      </c>
      <c r="S39" s="6">
        <f t="shared" si="46"/>
        <v>501</v>
      </c>
      <c r="T39" s="7">
        <f t="shared" si="47"/>
        <v>466.74193548387098</v>
      </c>
      <c r="U39" s="7">
        <f t="shared" si="48"/>
        <v>479.03225806451616</v>
      </c>
      <c r="V39" s="6">
        <f t="shared" si="48"/>
        <v>602</v>
      </c>
      <c r="W39" s="7">
        <f t="shared" si="49"/>
        <v>-122.96774193548384</v>
      </c>
      <c r="X39" s="7">
        <f t="shared" si="50"/>
        <v>2903.2258064516127</v>
      </c>
      <c r="Y39" s="7">
        <f t="shared" si="50"/>
        <v>2100</v>
      </c>
      <c r="Z39" s="7">
        <f t="shared" si="51"/>
        <v>803.2258064516127</v>
      </c>
      <c r="AA39" s="24">
        <f t="shared" si="52"/>
        <v>0.98102995199921417</v>
      </c>
      <c r="AB39" s="1"/>
    </row>
    <row r="40" spans="2:28" ht="18" x14ac:dyDescent="0.25">
      <c r="B40" s="3">
        <v>2</v>
      </c>
      <c r="C40" s="3">
        <v>442308</v>
      </c>
      <c r="D40" s="3">
        <v>603511</v>
      </c>
      <c r="E40" s="3">
        <v>396346</v>
      </c>
      <c r="F40" s="8">
        <f t="shared" si="38"/>
        <v>1442165</v>
      </c>
      <c r="G40" s="22">
        <f t="shared" si="39"/>
        <v>1441511.875</v>
      </c>
      <c r="H40" s="7">
        <f t="shared" si="40"/>
        <v>1441592.375</v>
      </c>
      <c r="I40" s="3">
        <v>272561</v>
      </c>
      <c r="J40" s="6">
        <f t="shared" si="41"/>
        <v>283</v>
      </c>
      <c r="K40" s="6">
        <f t="shared" si="41"/>
        <v>322</v>
      </c>
      <c r="L40" s="6">
        <f t="shared" si="41"/>
        <v>220</v>
      </c>
      <c r="M40" s="6">
        <f t="shared" si="42"/>
        <v>119</v>
      </c>
      <c r="N40" s="5">
        <f t="shared" si="24"/>
        <v>159.67741935483872</v>
      </c>
      <c r="O40" s="3">
        <f t="shared" si="43"/>
        <v>220</v>
      </c>
      <c r="P40" s="5">
        <f t="shared" si="44"/>
        <v>-60.322580645161281</v>
      </c>
      <c r="Q40" s="5">
        <f t="shared" si="45"/>
        <v>80.5</v>
      </c>
      <c r="R40" s="7">
        <f>R41</f>
        <v>967.74193548387098</v>
      </c>
      <c r="S40" s="6">
        <f t="shared" si="46"/>
        <v>825</v>
      </c>
      <c r="T40" s="7">
        <f t="shared" si="47"/>
        <v>142.74193548387098</v>
      </c>
      <c r="U40" s="7">
        <f t="shared" si="48"/>
        <v>319.35483870967744</v>
      </c>
      <c r="V40" s="6">
        <f t="shared" si="48"/>
        <v>433</v>
      </c>
      <c r="W40" s="7">
        <f t="shared" si="49"/>
        <v>-113.64516129032256</v>
      </c>
      <c r="X40" s="7">
        <f t="shared" si="50"/>
        <v>1935.483870967742</v>
      </c>
      <c r="Y40" s="7">
        <f t="shared" si="50"/>
        <v>1599</v>
      </c>
      <c r="Z40" s="7">
        <f t="shared" si="51"/>
        <v>336.48387096774195</v>
      </c>
      <c r="AA40" s="24">
        <f t="shared" si="52"/>
        <v>0.98975662897102645</v>
      </c>
      <c r="AB40" s="1"/>
    </row>
    <row r="41" spans="2:28" ht="18" x14ac:dyDescent="0.25">
      <c r="B41" s="3">
        <v>1</v>
      </c>
      <c r="C41" s="5">
        <f>C42+261</f>
        <v>442025</v>
      </c>
      <c r="D41" s="5">
        <f>D42+300</f>
        <v>603189</v>
      </c>
      <c r="E41" s="5">
        <f>E42+213</f>
        <v>396126</v>
      </c>
      <c r="F41" s="8">
        <f t="shared" si="38"/>
        <v>1441340</v>
      </c>
      <c r="G41" s="22">
        <f>(C42+D42+E42)+((S41/24)*5)</f>
        <v>1440727.25</v>
      </c>
      <c r="H41" s="7">
        <f>G41+((K41/12)*3)</f>
        <v>1440802.25</v>
      </c>
      <c r="I41" s="5">
        <f>I42+113</f>
        <v>272442</v>
      </c>
      <c r="J41" s="6">
        <f t="shared" si="41"/>
        <v>261</v>
      </c>
      <c r="K41" s="6">
        <f t="shared" si="41"/>
        <v>300</v>
      </c>
      <c r="L41" s="6">
        <f t="shared" si="41"/>
        <v>213</v>
      </c>
      <c r="M41" s="6">
        <f t="shared" si="42"/>
        <v>113</v>
      </c>
      <c r="N41" s="43">
        <f>O6/31</f>
        <v>159.67741935483872</v>
      </c>
      <c r="O41" s="3">
        <f t="shared" si="43"/>
        <v>213</v>
      </c>
      <c r="P41" s="5">
        <f t="shared" si="44"/>
        <v>-53.322580645161281</v>
      </c>
      <c r="Q41" s="5">
        <f t="shared" si="45"/>
        <v>75</v>
      </c>
      <c r="R41" s="45">
        <f>S6/31</f>
        <v>967.74193548387098</v>
      </c>
      <c r="S41" s="6">
        <f t="shared" si="46"/>
        <v>774</v>
      </c>
      <c r="T41" s="7">
        <f t="shared" si="47"/>
        <v>193.74193548387098</v>
      </c>
      <c r="U41" s="7">
        <f>N41</f>
        <v>159.67741935483872</v>
      </c>
      <c r="V41" s="6">
        <f>O41</f>
        <v>213</v>
      </c>
      <c r="W41" s="7">
        <f t="shared" si="49"/>
        <v>-53.322580645161281</v>
      </c>
      <c r="X41" s="7">
        <f>R41</f>
        <v>967.74193548387098</v>
      </c>
      <c r="Y41" s="7">
        <f>S41</f>
        <v>774</v>
      </c>
      <c r="Z41" s="7">
        <f t="shared" si="51"/>
        <v>193.74193548387098</v>
      </c>
      <c r="AA41" s="24">
        <f t="shared" si="52"/>
        <v>0.98951014916338198</v>
      </c>
      <c r="AB41" s="1"/>
    </row>
    <row r="42" spans="2:28" ht="54" x14ac:dyDescent="0.25">
      <c r="B42" s="33" t="s">
        <v>13</v>
      </c>
      <c r="C42" s="3">
        <v>441764</v>
      </c>
      <c r="D42" s="3">
        <v>602889</v>
      </c>
      <c r="E42" s="3">
        <v>395913</v>
      </c>
      <c r="F42" s="8">
        <v>1440566</v>
      </c>
      <c r="G42" s="9">
        <v>1440106</v>
      </c>
      <c r="H42" s="9">
        <v>1440172</v>
      </c>
      <c r="I42" s="3">
        <v>272329</v>
      </c>
      <c r="J42" s="10"/>
      <c r="K42" s="10"/>
      <c r="L42" s="10"/>
      <c r="M42" s="46">
        <f>SUM(M11:M41)</f>
        <v>2607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B2:AB53"/>
  <sheetViews>
    <sheetView view="pageBreakPreview" topLeftCell="G1" zoomScale="70" zoomScaleNormal="85" zoomScaleSheetLayoutView="70" workbookViewId="0">
      <pane ySplit="8" topLeftCell="A9" activePane="bottomLeft" state="frozen"/>
      <selection pane="bottomLeft" activeCell="H12" sqref="H12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34</v>
      </c>
      <c r="D5" s="56"/>
      <c r="E5" s="56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1815</v>
      </c>
      <c r="P6" s="30" t="s">
        <v>26</v>
      </c>
      <c r="Q6" s="11">
        <f>(S6*8)/100</f>
        <v>880</v>
      </c>
      <c r="R6" s="13" t="s">
        <v>25</v>
      </c>
      <c r="S6" s="11">
        <v>11000</v>
      </c>
      <c r="T6" s="52" t="s">
        <v>41</v>
      </c>
      <c r="U6" s="52">
        <v>250.8</v>
      </c>
      <c r="V6" s="51">
        <f>U6/31</f>
        <v>8.0903225806451609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7">
        <v>56194</v>
      </c>
      <c r="D11" s="7">
        <v>470216</v>
      </c>
      <c r="E11" s="7">
        <v>71491</v>
      </c>
      <c r="F11" s="8">
        <f t="shared" ref="F11" si="0">C11+D11+E11</f>
        <v>597901</v>
      </c>
      <c r="G11" s="22">
        <f t="shared" ref="G11" si="1">(C12+D12+E12)+((S11/24)*9.5)</f>
        <v>597829.70833333337</v>
      </c>
      <c r="H11" s="7">
        <f t="shared" ref="H11" si="2">G11+((K11/12)*2.5)</f>
        <v>597840.95833333337</v>
      </c>
      <c r="I11" s="7">
        <v>203458</v>
      </c>
      <c r="J11" s="6">
        <f t="shared" ref="J11:L11" si="3">C11-C12</f>
        <v>35</v>
      </c>
      <c r="K11" s="6">
        <f t="shared" si="3"/>
        <v>54</v>
      </c>
      <c r="L11" s="6">
        <f t="shared" si="3"/>
        <v>29</v>
      </c>
      <c r="M11" s="6">
        <f t="shared" ref="M11" si="4">I11-I12</f>
        <v>48</v>
      </c>
      <c r="N11" s="5">
        <f t="shared" ref="N11" si="5">N12</f>
        <v>58.548387096774192</v>
      </c>
      <c r="O11" s="23">
        <f t="shared" ref="O11" si="6">L11</f>
        <v>29</v>
      </c>
      <c r="P11" s="5">
        <f t="shared" ref="P11" si="7">N11-O11</f>
        <v>29.548387096774192</v>
      </c>
      <c r="Q11" s="5">
        <f t="shared" ref="Q11" si="8">H11-G11</f>
        <v>11.25</v>
      </c>
      <c r="R11" s="7">
        <f t="shared" ref="R11" si="9">R12</f>
        <v>354.83870967741933</v>
      </c>
      <c r="S11" s="6">
        <f t="shared" ref="S11" si="10">J11+K11+L11</f>
        <v>118</v>
      </c>
      <c r="T11" s="7">
        <f t="shared" ref="T11" si="11">R11-S11</f>
        <v>236.83870967741933</v>
      </c>
      <c r="U11" s="7">
        <f t="shared" ref="U11:V11" si="12">U12+N11</f>
        <v>1814.9999999999991</v>
      </c>
      <c r="V11" s="7">
        <f t="shared" si="12"/>
        <v>693</v>
      </c>
      <c r="W11" s="7">
        <f t="shared" ref="W11" si="13">U11-V11</f>
        <v>1121.9999999999991</v>
      </c>
      <c r="X11" s="7">
        <f t="shared" ref="X11:Y11" si="14">X12+R11</f>
        <v>10999.999999999996</v>
      </c>
      <c r="Y11" s="7">
        <f t="shared" si="14"/>
        <v>3244</v>
      </c>
      <c r="Z11" s="7">
        <f t="shared" ref="Z11" si="15">X11-Y11</f>
        <v>7755.9999999999964</v>
      </c>
      <c r="AA11" s="24">
        <f t="shared" ref="AA11" si="16">COS(ATAN(M11/S11))</f>
        <v>0.92629540095475138</v>
      </c>
      <c r="AB11" s="25"/>
    </row>
    <row r="12" spans="2:28" ht="18" x14ac:dyDescent="0.25">
      <c r="B12" s="3">
        <v>30</v>
      </c>
      <c r="C12" s="3">
        <v>56159</v>
      </c>
      <c r="D12" s="3">
        <v>470162</v>
      </c>
      <c r="E12" s="3">
        <v>71462</v>
      </c>
      <c r="F12" s="8">
        <f t="shared" ref="F12" si="17">C12+D12+E12</f>
        <v>597783</v>
      </c>
      <c r="G12" s="22">
        <f t="shared" ref="G12" si="18">(C13+D13+E13)+((S12/24)*9.5)</f>
        <v>597705.0625</v>
      </c>
      <c r="H12" s="7">
        <f t="shared" ref="H12" si="19">G12+((K12/12)*2.5)</f>
        <v>597716.52083333337</v>
      </c>
      <c r="I12" s="3">
        <v>203410</v>
      </c>
      <c r="J12" s="6">
        <f t="shared" ref="J12" si="20">C12-C13</f>
        <v>48</v>
      </c>
      <c r="K12" s="6">
        <f t="shared" ref="K12" si="21">D12-D13</f>
        <v>55</v>
      </c>
      <c r="L12" s="6">
        <f t="shared" ref="L12" si="22">E12-E13</f>
        <v>26</v>
      </c>
      <c r="M12" s="6">
        <f t="shared" ref="M12" si="23">I12-I13</f>
        <v>44</v>
      </c>
      <c r="N12" s="5">
        <f t="shared" ref="N12:N40" si="24">N13</f>
        <v>58.548387096774192</v>
      </c>
      <c r="O12" s="23">
        <f t="shared" ref="O12" si="25">L12</f>
        <v>26</v>
      </c>
      <c r="P12" s="5">
        <f t="shared" ref="P12" si="26">N12-O12</f>
        <v>32.548387096774192</v>
      </c>
      <c r="Q12" s="5">
        <f t="shared" ref="Q12" si="27">H12-G12</f>
        <v>11.458333333372138</v>
      </c>
      <c r="R12" s="7">
        <f t="shared" ref="R12:R39" si="28">R13</f>
        <v>354.83870967741933</v>
      </c>
      <c r="S12" s="6">
        <f t="shared" ref="S12" si="29">J12+K12+L12</f>
        <v>129</v>
      </c>
      <c r="T12" s="7">
        <f t="shared" ref="T12" si="30">R12-S12</f>
        <v>225.83870967741933</v>
      </c>
      <c r="U12" s="7">
        <f t="shared" ref="U12" si="31">U13+N12</f>
        <v>1756.4516129032249</v>
      </c>
      <c r="V12" s="7">
        <f t="shared" ref="V12" si="32">V13+O12</f>
        <v>664</v>
      </c>
      <c r="W12" s="7">
        <f t="shared" ref="W12" si="33">U12-V12</f>
        <v>1092.4516129032249</v>
      </c>
      <c r="X12" s="7">
        <f t="shared" ref="X12" si="34">X13+R12</f>
        <v>10645.161290322578</v>
      </c>
      <c r="Y12" s="7">
        <f t="shared" ref="Y12" si="35">Y13+S12</f>
        <v>3126</v>
      </c>
      <c r="Z12" s="7">
        <f t="shared" ref="Z12" si="36">X12-Y12</f>
        <v>7519.1612903225778</v>
      </c>
      <c r="AA12" s="24">
        <f t="shared" ref="AA12" si="37">COS(ATAN(M12/S12))</f>
        <v>0.94645924931856418</v>
      </c>
      <c r="AB12" s="25"/>
    </row>
    <row r="13" spans="2:28" ht="18" x14ac:dyDescent="0.25">
      <c r="B13" s="3">
        <v>29</v>
      </c>
      <c r="C13" s="3">
        <v>56111</v>
      </c>
      <c r="D13" s="3">
        <v>470107</v>
      </c>
      <c r="E13" s="3">
        <v>71436</v>
      </c>
      <c r="F13" s="8">
        <f t="shared" ref="F13:F41" si="38">C13+D13+E13</f>
        <v>597654</v>
      </c>
      <c r="G13" s="22">
        <f t="shared" ref="G13:G40" si="39">(C14+D14+E14)+((S13/24)*9.5)</f>
        <v>597571.83333333337</v>
      </c>
      <c r="H13" s="7">
        <f t="shared" ref="H13:H40" si="40">G13+((K13/12)*2.5)</f>
        <v>597585.375</v>
      </c>
      <c r="I13" s="3">
        <v>203366</v>
      </c>
      <c r="J13" s="6">
        <f t="shared" ref="J13:L41" si="41">C13-C14</f>
        <v>43</v>
      </c>
      <c r="K13" s="6">
        <f t="shared" si="41"/>
        <v>65</v>
      </c>
      <c r="L13" s="6">
        <f t="shared" si="41"/>
        <v>28</v>
      </c>
      <c r="M13" s="6">
        <f t="shared" ref="M13:M41" si="42">I13-I14</f>
        <v>39</v>
      </c>
      <c r="N13" s="5">
        <f t="shared" si="24"/>
        <v>58.548387096774192</v>
      </c>
      <c r="O13" s="23">
        <f t="shared" ref="O13:O41" si="43">L13</f>
        <v>28</v>
      </c>
      <c r="P13" s="5">
        <f t="shared" ref="P13:P41" si="44">N13-O13</f>
        <v>30.548387096774192</v>
      </c>
      <c r="Q13" s="5">
        <f t="shared" ref="Q13:Q41" si="45">H13-G13</f>
        <v>13.541666666627862</v>
      </c>
      <c r="R13" s="7">
        <f t="shared" si="28"/>
        <v>354.83870967741933</v>
      </c>
      <c r="S13" s="6">
        <f t="shared" ref="S13:S41" si="46">J13+K13+L13</f>
        <v>136</v>
      </c>
      <c r="T13" s="7">
        <f t="shared" ref="T13:T41" si="47">R13-S13</f>
        <v>218.83870967741933</v>
      </c>
      <c r="U13" s="7">
        <f t="shared" ref="U13:V40" si="48">U14+N13</f>
        <v>1697.9032258064508</v>
      </c>
      <c r="V13" s="7">
        <f t="shared" si="48"/>
        <v>638</v>
      </c>
      <c r="W13" s="7">
        <f t="shared" ref="W13:W41" si="49">U13-V13</f>
        <v>1059.9032258064508</v>
      </c>
      <c r="X13" s="7">
        <f t="shared" ref="X13:Y40" si="50">X14+R13</f>
        <v>10290.322580645159</v>
      </c>
      <c r="Y13" s="7">
        <f t="shared" si="50"/>
        <v>2997</v>
      </c>
      <c r="Z13" s="7">
        <f t="shared" ref="Z13:Z41" si="51">X13-Y13</f>
        <v>7293.3225806451592</v>
      </c>
      <c r="AA13" s="24">
        <f t="shared" ref="AA13:AA41" si="52">COS(ATAN(M13/S13))</f>
        <v>0.9612567750609301</v>
      </c>
      <c r="AB13" s="25"/>
    </row>
    <row r="14" spans="2:28" ht="18" x14ac:dyDescent="0.25">
      <c r="B14" s="3">
        <v>28</v>
      </c>
      <c r="C14" s="3">
        <f>C15+42</f>
        <v>56068</v>
      </c>
      <c r="D14" s="3">
        <f>D15+66</f>
        <v>470042</v>
      </c>
      <c r="E14" s="3">
        <f t="shared" ref="E14" si="53">E15+31</f>
        <v>71408</v>
      </c>
      <c r="F14" s="8">
        <f t="shared" si="38"/>
        <v>597518</v>
      </c>
      <c r="G14" s="22">
        <f t="shared" si="39"/>
        <v>597434.02083333337</v>
      </c>
      <c r="H14" s="7">
        <f t="shared" si="40"/>
        <v>597447.77083333337</v>
      </c>
      <c r="I14" s="3">
        <f>I15+45</f>
        <v>203327</v>
      </c>
      <c r="J14" s="6">
        <f t="shared" si="41"/>
        <v>42</v>
      </c>
      <c r="K14" s="6">
        <f t="shared" si="41"/>
        <v>66</v>
      </c>
      <c r="L14" s="6">
        <f t="shared" si="41"/>
        <v>31</v>
      </c>
      <c r="M14" s="6">
        <f t="shared" si="42"/>
        <v>45</v>
      </c>
      <c r="N14" s="5">
        <f t="shared" si="24"/>
        <v>58.548387096774192</v>
      </c>
      <c r="O14" s="23">
        <f t="shared" si="43"/>
        <v>31</v>
      </c>
      <c r="P14" s="5">
        <f t="shared" si="44"/>
        <v>27.548387096774192</v>
      </c>
      <c r="Q14" s="5">
        <f t="shared" si="45"/>
        <v>13.75</v>
      </c>
      <c r="R14" s="7">
        <f t="shared" si="28"/>
        <v>354.83870967741933</v>
      </c>
      <c r="S14" s="6">
        <f t="shared" si="46"/>
        <v>139</v>
      </c>
      <c r="T14" s="7">
        <f t="shared" si="47"/>
        <v>215.83870967741933</v>
      </c>
      <c r="U14" s="7">
        <f t="shared" si="48"/>
        <v>1639.3548387096766</v>
      </c>
      <c r="V14" s="7">
        <f t="shared" si="48"/>
        <v>610</v>
      </c>
      <c r="W14" s="7">
        <f t="shared" si="49"/>
        <v>1029.3548387096766</v>
      </c>
      <c r="X14" s="7">
        <f t="shared" si="50"/>
        <v>9935.4838709677406</v>
      </c>
      <c r="Y14" s="7">
        <f t="shared" si="50"/>
        <v>2861</v>
      </c>
      <c r="Z14" s="7">
        <f t="shared" si="51"/>
        <v>7074.4838709677406</v>
      </c>
      <c r="AA14" s="24">
        <f t="shared" si="52"/>
        <v>0.95138554299477862</v>
      </c>
      <c r="AB14" s="25"/>
    </row>
    <row r="15" spans="2:28" ht="18" x14ac:dyDescent="0.25">
      <c r="B15" s="3">
        <v>27</v>
      </c>
      <c r="C15" s="3">
        <f>C16+40</f>
        <v>56026</v>
      </c>
      <c r="D15" s="3">
        <f>D16+59</f>
        <v>469976</v>
      </c>
      <c r="E15" s="3">
        <f>E16+27</f>
        <v>71377</v>
      </c>
      <c r="F15" s="8">
        <f t="shared" si="38"/>
        <v>597379</v>
      </c>
      <c r="G15" s="22">
        <f t="shared" si="39"/>
        <v>597302.875</v>
      </c>
      <c r="H15" s="7">
        <f t="shared" si="40"/>
        <v>597315.16666666663</v>
      </c>
      <c r="I15" s="3">
        <f>I16+49</f>
        <v>203282</v>
      </c>
      <c r="J15" s="6">
        <f t="shared" si="41"/>
        <v>40</v>
      </c>
      <c r="K15" s="6">
        <f t="shared" si="41"/>
        <v>59</v>
      </c>
      <c r="L15" s="6">
        <f t="shared" si="41"/>
        <v>27</v>
      </c>
      <c r="M15" s="6">
        <f t="shared" si="42"/>
        <v>49</v>
      </c>
      <c r="N15" s="5">
        <f t="shared" si="24"/>
        <v>58.548387096774192</v>
      </c>
      <c r="O15" s="23">
        <f t="shared" si="43"/>
        <v>27</v>
      </c>
      <c r="P15" s="5">
        <f t="shared" si="44"/>
        <v>31.548387096774192</v>
      </c>
      <c r="Q15" s="5">
        <f t="shared" si="45"/>
        <v>12.291666666627862</v>
      </c>
      <c r="R15" s="7">
        <f t="shared" si="28"/>
        <v>354.83870967741933</v>
      </c>
      <c r="S15" s="6">
        <f t="shared" si="46"/>
        <v>126</v>
      </c>
      <c r="T15" s="7">
        <f t="shared" si="47"/>
        <v>228.83870967741933</v>
      </c>
      <c r="U15" s="7">
        <f t="shared" si="48"/>
        <v>1580.8064516129025</v>
      </c>
      <c r="V15" s="7">
        <f t="shared" si="48"/>
        <v>579</v>
      </c>
      <c r="W15" s="7">
        <f t="shared" si="49"/>
        <v>1001.8064516129025</v>
      </c>
      <c r="X15" s="7">
        <f t="shared" si="50"/>
        <v>9580.645161290322</v>
      </c>
      <c r="Y15" s="7">
        <f t="shared" si="50"/>
        <v>2722</v>
      </c>
      <c r="Z15" s="7">
        <f t="shared" si="51"/>
        <v>6858.645161290322</v>
      </c>
      <c r="AA15" s="24">
        <f t="shared" si="52"/>
        <v>0.93200467154129596</v>
      </c>
      <c r="AB15" s="25"/>
    </row>
    <row r="16" spans="2:28" ht="18" x14ac:dyDescent="0.25">
      <c r="B16" s="3">
        <v>26</v>
      </c>
      <c r="C16" s="3">
        <f>C17+46</f>
        <v>55986</v>
      </c>
      <c r="D16" s="3">
        <f>D17+52</f>
        <v>469917</v>
      </c>
      <c r="E16" s="3">
        <f>E17+39</f>
        <v>71350</v>
      </c>
      <c r="F16" s="8">
        <f t="shared" si="38"/>
        <v>597253</v>
      </c>
      <c r="G16" s="22">
        <f t="shared" si="39"/>
        <v>597170.22916666663</v>
      </c>
      <c r="H16" s="7">
        <f t="shared" si="40"/>
        <v>597181.0625</v>
      </c>
      <c r="I16" s="3">
        <f>I17+51</f>
        <v>203233</v>
      </c>
      <c r="J16" s="6">
        <f t="shared" si="41"/>
        <v>46</v>
      </c>
      <c r="K16" s="6">
        <f t="shared" si="41"/>
        <v>52</v>
      </c>
      <c r="L16" s="6">
        <f t="shared" si="41"/>
        <v>39</v>
      </c>
      <c r="M16" s="6">
        <f t="shared" si="42"/>
        <v>51</v>
      </c>
      <c r="N16" s="5">
        <f t="shared" si="24"/>
        <v>58.548387096774192</v>
      </c>
      <c r="O16" s="23">
        <f t="shared" si="43"/>
        <v>39</v>
      </c>
      <c r="P16" s="5">
        <f t="shared" si="44"/>
        <v>19.548387096774192</v>
      </c>
      <c r="Q16" s="5">
        <f t="shared" si="45"/>
        <v>10.833333333372138</v>
      </c>
      <c r="R16" s="7">
        <f t="shared" si="28"/>
        <v>354.83870967741933</v>
      </c>
      <c r="S16" s="6">
        <f t="shared" si="46"/>
        <v>137</v>
      </c>
      <c r="T16" s="7">
        <f t="shared" si="47"/>
        <v>217.83870967741933</v>
      </c>
      <c r="U16" s="7">
        <f t="shared" si="48"/>
        <v>1522.2580645161283</v>
      </c>
      <c r="V16" s="7">
        <f t="shared" si="48"/>
        <v>552</v>
      </c>
      <c r="W16" s="7">
        <f t="shared" si="49"/>
        <v>970.25806451612834</v>
      </c>
      <c r="X16" s="7">
        <f t="shared" si="50"/>
        <v>9225.8064516129034</v>
      </c>
      <c r="Y16" s="7">
        <f t="shared" si="50"/>
        <v>2596</v>
      </c>
      <c r="Z16" s="7">
        <f t="shared" si="51"/>
        <v>6629.8064516129034</v>
      </c>
      <c r="AA16" s="24">
        <f t="shared" si="52"/>
        <v>0.93716984515670054</v>
      </c>
      <c r="AB16" s="25"/>
    </row>
    <row r="17" spans="2:28" ht="18" x14ac:dyDescent="0.25">
      <c r="B17" s="3">
        <v>25</v>
      </c>
      <c r="C17" s="3">
        <f>C18+48</f>
        <v>55940</v>
      </c>
      <c r="D17" s="3">
        <f>D18+57</f>
        <v>469865</v>
      </c>
      <c r="E17" s="3">
        <f>E18+37</f>
        <v>71311</v>
      </c>
      <c r="F17" s="8">
        <f t="shared" si="38"/>
        <v>597116</v>
      </c>
      <c r="G17" s="22">
        <f t="shared" si="39"/>
        <v>597030.20833333337</v>
      </c>
      <c r="H17" s="7">
        <f t="shared" si="40"/>
        <v>597042.08333333337</v>
      </c>
      <c r="I17" s="3">
        <f>I18+42</f>
        <v>203182</v>
      </c>
      <c r="J17" s="6">
        <f t="shared" si="41"/>
        <v>48</v>
      </c>
      <c r="K17" s="6">
        <f t="shared" si="41"/>
        <v>57</v>
      </c>
      <c r="L17" s="6">
        <f t="shared" si="41"/>
        <v>37</v>
      </c>
      <c r="M17" s="6">
        <f t="shared" si="42"/>
        <v>42</v>
      </c>
      <c r="N17" s="5">
        <f t="shared" si="24"/>
        <v>58.548387096774192</v>
      </c>
      <c r="O17" s="23">
        <f t="shared" si="43"/>
        <v>37</v>
      </c>
      <c r="P17" s="5">
        <f t="shared" si="44"/>
        <v>21.548387096774192</v>
      </c>
      <c r="Q17" s="5">
        <f t="shared" si="45"/>
        <v>11.875</v>
      </c>
      <c r="R17" s="7">
        <f t="shared" si="28"/>
        <v>354.83870967741933</v>
      </c>
      <c r="S17" s="6">
        <f t="shared" si="46"/>
        <v>142</v>
      </c>
      <c r="T17" s="7">
        <f t="shared" si="47"/>
        <v>212.83870967741933</v>
      </c>
      <c r="U17" s="7">
        <f t="shared" si="48"/>
        <v>1463.7096774193542</v>
      </c>
      <c r="V17" s="7">
        <f t="shared" si="48"/>
        <v>513</v>
      </c>
      <c r="W17" s="7">
        <f t="shared" si="49"/>
        <v>950.70967741935419</v>
      </c>
      <c r="X17" s="7">
        <f t="shared" si="50"/>
        <v>8870.9677419354848</v>
      </c>
      <c r="Y17" s="7">
        <f t="shared" si="50"/>
        <v>2459</v>
      </c>
      <c r="Z17" s="7">
        <f t="shared" si="51"/>
        <v>6411.9677419354848</v>
      </c>
      <c r="AA17" s="24">
        <f t="shared" si="52"/>
        <v>0.95893425581124159</v>
      </c>
      <c r="AB17" s="25"/>
    </row>
    <row r="18" spans="2:28" ht="18" x14ac:dyDescent="0.25">
      <c r="B18" s="3">
        <v>24</v>
      </c>
      <c r="C18" s="3">
        <f>C19+35</f>
        <v>55892</v>
      </c>
      <c r="D18" s="3">
        <f t="shared" ref="D18" si="54">D19+53</f>
        <v>469808</v>
      </c>
      <c r="E18" s="3">
        <f>E19+28</f>
        <v>71274</v>
      </c>
      <c r="F18" s="8">
        <f t="shared" si="38"/>
        <v>596974</v>
      </c>
      <c r="G18" s="22">
        <f t="shared" si="39"/>
        <v>596903.91666666663</v>
      </c>
      <c r="H18" s="7">
        <f t="shared" si="40"/>
        <v>596914.95833333326</v>
      </c>
      <c r="I18" s="3">
        <f>I19+47</f>
        <v>203140</v>
      </c>
      <c r="J18" s="6">
        <f t="shared" si="41"/>
        <v>35</v>
      </c>
      <c r="K18" s="6">
        <f t="shared" si="41"/>
        <v>53</v>
      </c>
      <c r="L18" s="6">
        <f t="shared" si="41"/>
        <v>28</v>
      </c>
      <c r="M18" s="6">
        <f t="shared" si="42"/>
        <v>47</v>
      </c>
      <c r="N18" s="5">
        <f t="shared" si="24"/>
        <v>58.548387096774192</v>
      </c>
      <c r="O18" s="23">
        <f t="shared" si="43"/>
        <v>28</v>
      </c>
      <c r="P18" s="5">
        <f t="shared" si="44"/>
        <v>30.548387096774192</v>
      </c>
      <c r="Q18" s="5">
        <f t="shared" si="45"/>
        <v>11.041666666627862</v>
      </c>
      <c r="R18" s="7">
        <f t="shared" si="28"/>
        <v>354.83870967741933</v>
      </c>
      <c r="S18" s="6">
        <f t="shared" si="46"/>
        <v>116</v>
      </c>
      <c r="T18" s="7">
        <f t="shared" si="47"/>
        <v>238.83870967741933</v>
      </c>
      <c r="U18" s="7">
        <f t="shared" si="48"/>
        <v>1405.16129032258</v>
      </c>
      <c r="V18" s="7">
        <f t="shared" si="48"/>
        <v>476</v>
      </c>
      <c r="W18" s="7">
        <f t="shared" si="49"/>
        <v>929.16129032258004</v>
      </c>
      <c r="X18" s="7">
        <f t="shared" si="50"/>
        <v>8516.1290322580662</v>
      </c>
      <c r="Y18" s="7">
        <f t="shared" si="50"/>
        <v>2317</v>
      </c>
      <c r="Z18" s="7">
        <f t="shared" si="51"/>
        <v>6199.1290322580662</v>
      </c>
      <c r="AA18" s="24">
        <f t="shared" si="52"/>
        <v>0.92681443579828082</v>
      </c>
      <c r="AB18" s="25"/>
    </row>
    <row r="19" spans="2:28" ht="18" x14ac:dyDescent="0.25">
      <c r="B19" s="3">
        <v>23</v>
      </c>
      <c r="C19" s="3">
        <f>C20+37</f>
        <v>55857</v>
      </c>
      <c r="D19" s="3">
        <f>D20+46</f>
        <v>469755</v>
      </c>
      <c r="E19" s="3">
        <f>E20+33</f>
        <v>71246</v>
      </c>
      <c r="F19" s="8">
        <f t="shared" si="38"/>
        <v>596858</v>
      </c>
      <c r="G19" s="22">
        <f t="shared" si="39"/>
        <v>596787.91666666663</v>
      </c>
      <c r="H19" s="7">
        <f t="shared" si="40"/>
        <v>596797.5</v>
      </c>
      <c r="I19" s="3">
        <f>I20+40</f>
        <v>203093</v>
      </c>
      <c r="J19" s="6">
        <f t="shared" si="41"/>
        <v>37</v>
      </c>
      <c r="K19" s="6">
        <f t="shared" si="41"/>
        <v>46</v>
      </c>
      <c r="L19" s="6">
        <f t="shared" si="41"/>
        <v>33</v>
      </c>
      <c r="M19" s="6">
        <f t="shared" si="42"/>
        <v>40</v>
      </c>
      <c r="N19" s="5">
        <f t="shared" si="24"/>
        <v>58.548387096774192</v>
      </c>
      <c r="O19" s="3">
        <f t="shared" si="43"/>
        <v>33</v>
      </c>
      <c r="P19" s="5">
        <f t="shared" si="44"/>
        <v>25.548387096774192</v>
      </c>
      <c r="Q19" s="5">
        <f t="shared" si="45"/>
        <v>9.5833333333721384</v>
      </c>
      <c r="R19" s="7">
        <f t="shared" si="28"/>
        <v>354.83870967741933</v>
      </c>
      <c r="S19" s="6">
        <f t="shared" si="46"/>
        <v>116</v>
      </c>
      <c r="T19" s="7">
        <f t="shared" si="47"/>
        <v>238.83870967741933</v>
      </c>
      <c r="U19" s="7">
        <f t="shared" si="48"/>
        <v>1346.6129032258059</v>
      </c>
      <c r="V19" s="7">
        <f t="shared" si="48"/>
        <v>448</v>
      </c>
      <c r="W19" s="7">
        <f t="shared" si="49"/>
        <v>898.61290322580589</v>
      </c>
      <c r="X19" s="7">
        <f t="shared" si="50"/>
        <v>8161.2903225806476</v>
      </c>
      <c r="Y19" s="7">
        <f t="shared" si="50"/>
        <v>2201</v>
      </c>
      <c r="Z19" s="7">
        <f t="shared" si="51"/>
        <v>5960.2903225806476</v>
      </c>
      <c r="AA19" s="24">
        <f t="shared" si="52"/>
        <v>0.94537298162627215</v>
      </c>
      <c r="AB19" s="1"/>
    </row>
    <row r="20" spans="2:28" ht="18" x14ac:dyDescent="0.25">
      <c r="B20" s="3">
        <v>22</v>
      </c>
      <c r="C20" s="3">
        <f>C21+41</f>
        <v>55820</v>
      </c>
      <c r="D20" s="3">
        <f>D21+33</f>
        <v>469709</v>
      </c>
      <c r="E20" s="3">
        <f>E21+31</f>
        <v>71213</v>
      </c>
      <c r="F20" s="8">
        <f t="shared" si="38"/>
        <v>596742</v>
      </c>
      <c r="G20" s="22">
        <f t="shared" si="39"/>
        <v>596678.5625</v>
      </c>
      <c r="H20" s="7">
        <f t="shared" si="40"/>
        <v>596685.4375</v>
      </c>
      <c r="I20" s="3">
        <f>I21+44</f>
        <v>203053</v>
      </c>
      <c r="J20" s="6">
        <f t="shared" si="41"/>
        <v>41</v>
      </c>
      <c r="K20" s="6">
        <f t="shared" si="41"/>
        <v>33</v>
      </c>
      <c r="L20" s="6">
        <f t="shared" si="41"/>
        <v>31</v>
      </c>
      <c r="M20" s="6">
        <f t="shared" si="42"/>
        <v>44</v>
      </c>
      <c r="N20" s="5">
        <f t="shared" si="24"/>
        <v>58.548387096774192</v>
      </c>
      <c r="O20" s="3">
        <f t="shared" si="43"/>
        <v>31</v>
      </c>
      <c r="P20" s="5">
        <f t="shared" si="44"/>
        <v>27.548387096774192</v>
      </c>
      <c r="Q20" s="5">
        <f t="shared" si="45"/>
        <v>6.875</v>
      </c>
      <c r="R20" s="7">
        <f t="shared" si="28"/>
        <v>354.83870967741933</v>
      </c>
      <c r="S20" s="6">
        <f t="shared" si="46"/>
        <v>105</v>
      </c>
      <c r="T20" s="7">
        <f t="shared" si="47"/>
        <v>249.83870967741933</v>
      </c>
      <c r="U20" s="7">
        <f t="shared" si="48"/>
        <v>1288.0645161290317</v>
      </c>
      <c r="V20" s="7">
        <f t="shared" si="48"/>
        <v>415</v>
      </c>
      <c r="W20" s="7">
        <f t="shared" si="49"/>
        <v>873.06451612903174</v>
      </c>
      <c r="X20" s="7">
        <f t="shared" si="50"/>
        <v>7806.4516129032281</v>
      </c>
      <c r="Y20" s="7">
        <f t="shared" si="50"/>
        <v>2085</v>
      </c>
      <c r="Z20" s="7">
        <f t="shared" si="51"/>
        <v>5721.4516129032281</v>
      </c>
      <c r="AA20" s="24">
        <f t="shared" si="52"/>
        <v>0.92229540251778297</v>
      </c>
      <c r="AB20" s="1"/>
    </row>
    <row r="21" spans="2:28" ht="18" x14ac:dyDescent="0.25">
      <c r="B21" s="3">
        <v>21</v>
      </c>
      <c r="C21" s="3">
        <v>55779</v>
      </c>
      <c r="D21" s="3">
        <v>469676</v>
      </c>
      <c r="E21" s="3">
        <v>71182</v>
      </c>
      <c r="F21" s="8">
        <f t="shared" si="38"/>
        <v>596637</v>
      </c>
      <c r="G21" s="22">
        <f t="shared" si="39"/>
        <v>596582.02083333337</v>
      </c>
      <c r="H21" s="7">
        <f t="shared" si="40"/>
        <v>596586.1875</v>
      </c>
      <c r="I21" s="3">
        <v>203009</v>
      </c>
      <c r="J21" s="6">
        <f t="shared" si="41"/>
        <v>42</v>
      </c>
      <c r="K21" s="6">
        <f t="shared" si="41"/>
        <v>20</v>
      </c>
      <c r="L21" s="6">
        <f t="shared" si="41"/>
        <v>29</v>
      </c>
      <c r="M21" s="6">
        <f t="shared" si="42"/>
        <v>35</v>
      </c>
      <c r="N21" s="5">
        <f t="shared" si="24"/>
        <v>58.548387096774192</v>
      </c>
      <c r="O21" s="3">
        <f t="shared" si="43"/>
        <v>29</v>
      </c>
      <c r="P21" s="5">
        <f t="shared" si="44"/>
        <v>29.548387096774192</v>
      </c>
      <c r="Q21" s="5">
        <f t="shared" si="45"/>
        <v>4.1666666666278616</v>
      </c>
      <c r="R21" s="7">
        <f t="shared" si="28"/>
        <v>354.83870967741933</v>
      </c>
      <c r="S21" s="6">
        <f t="shared" si="46"/>
        <v>91</v>
      </c>
      <c r="T21" s="7">
        <f t="shared" si="47"/>
        <v>263.83870967741933</v>
      </c>
      <c r="U21" s="7">
        <f t="shared" si="48"/>
        <v>1229.5161290322576</v>
      </c>
      <c r="V21" s="7">
        <f t="shared" si="48"/>
        <v>384</v>
      </c>
      <c r="W21" s="7">
        <f t="shared" si="49"/>
        <v>845.5161290322576</v>
      </c>
      <c r="X21" s="7">
        <f t="shared" si="50"/>
        <v>7451.6129032258086</v>
      </c>
      <c r="Y21" s="7">
        <f t="shared" si="50"/>
        <v>1980</v>
      </c>
      <c r="Z21" s="7">
        <f t="shared" si="51"/>
        <v>5471.6129032258086</v>
      </c>
      <c r="AA21" s="24">
        <f t="shared" si="52"/>
        <v>0.93334560620305951</v>
      </c>
      <c r="AB21" s="1"/>
    </row>
    <row r="22" spans="2:28" ht="18" x14ac:dyDescent="0.25">
      <c r="B22" s="3">
        <v>20</v>
      </c>
      <c r="C22" s="3">
        <f>C23+44</f>
        <v>55737</v>
      </c>
      <c r="D22" s="3">
        <f>D23+21</f>
        <v>469656</v>
      </c>
      <c r="E22" s="3">
        <f>E23+31</f>
        <v>71153</v>
      </c>
      <c r="F22" s="8">
        <f t="shared" si="38"/>
        <v>596546</v>
      </c>
      <c r="G22" s="22">
        <f t="shared" si="39"/>
        <v>596488</v>
      </c>
      <c r="H22" s="7">
        <f t="shared" si="40"/>
        <v>596492.375</v>
      </c>
      <c r="I22" s="3">
        <f>I23+36</f>
        <v>202974</v>
      </c>
      <c r="J22" s="6">
        <f t="shared" si="41"/>
        <v>44</v>
      </c>
      <c r="K22" s="6">
        <f t="shared" si="41"/>
        <v>21</v>
      </c>
      <c r="L22" s="6">
        <f t="shared" si="41"/>
        <v>31</v>
      </c>
      <c r="M22" s="6">
        <f t="shared" si="42"/>
        <v>36</v>
      </c>
      <c r="N22" s="5">
        <f t="shared" si="24"/>
        <v>58.548387096774192</v>
      </c>
      <c r="O22" s="3">
        <f t="shared" si="43"/>
        <v>31</v>
      </c>
      <c r="P22" s="5">
        <f t="shared" si="44"/>
        <v>27.548387096774192</v>
      </c>
      <c r="Q22" s="5">
        <f t="shared" si="45"/>
        <v>4.375</v>
      </c>
      <c r="R22" s="7">
        <f t="shared" si="28"/>
        <v>354.83870967741933</v>
      </c>
      <c r="S22" s="6">
        <f t="shared" si="46"/>
        <v>96</v>
      </c>
      <c r="T22" s="7">
        <f t="shared" si="47"/>
        <v>258.83870967741933</v>
      </c>
      <c r="U22" s="7">
        <f t="shared" si="48"/>
        <v>1170.9677419354834</v>
      </c>
      <c r="V22" s="7">
        <f t="shared" si="48"/>
        <v>355</v>
      </c>
      <c r="W22" s="7">
        <f t="shared" si="49"/>
        <v>815.96774193548345</v>
      </c>
      <c r="X22" s="7">
        <f t="shared" si="50"/>
        <v>7096.7741935483891</v>
      </c>
      <c r="Y22" s="7">
        <f t="shared" si="50"/>
        <v>1889</v>
      </c>
      <c r="Z22" s="7">
        <f t="shared" si="51"/>
        <v>5207.7741935483891</v>
      </c>
      <c r="AA22" s="24">
        <f t="shared" si="52"/>
        <v>0.93632917756904455</v>
      </c>
      <c r="AB22" s="1"/>
    </row>
    <row r="23" spans="2:28" ht="18" x14ac:dyDescent="0.25">
      <c r="B23" s="3">
        <v>19</v>
      </c>
      <c r="C23" s="3">
        <f>C24+37</f>
        <v>55693</v>
      </c>
      <c r="D23" s="3">
        <f>D24+22</f>
        <v>469635</v>
      </c>
      <c r="E23" s="3">
        <f>E24+29</f>
        <v>71122</v>
      </c>
      <c r="F23" s="8">
        <f t="shared" si="38"/>
        <v>596450</v>
      </c>
      <c r="G23" s="22">
        <f t="shared" si="39"/>
        <v>596396.83333333337</v>
      </c>
      <c r="H23" s="7">
        <f t="shared" si="40"/>
        <v>596401.41666666674</v>
      </c>
      <c r="I23" s="3">
        <f>I24+30</f>
        <v>202938</v>
      </c>
      <c r="J23" s="6">
        <f t="shared" si="41"/>
        <v>37</v>
      </c>
      <c r="K23" s="6">
        <f t="shared" si="41"/>
        <v>22</v>
      </c>
      <c r="L23" s="6">
        <f t="shared" si="41"/>
        <v>29</v>
      </c>
      <c r="M23" s="6">
        <f t="shared" si="42"/>
        <v>30</v>
      </c>
      <c r="N23" s="5">
        <f t="shared" si="24"/>
        <v>58.548387096774192</v>
      </c>
      <c r="O23" s="3">
        <f t="shared" si="43"/>
        <v>29</v>
      </c>
      <c r="P23" s="5">
        <f t="shared" si="44"/>
        <v>29.548387096774192</v>
      </c>
      <c r="Q23" s="5">
        <f t="shared" si="45"/>
        <v>4.5833333333721384</v>
      </c>
      <c r="R23" s="7">
        <f t="shared" si="28"/>
        <v>354.83870967741933</v>
      </c>
      <c r="S23" s="6">
        <f t="shared" si="46"/>
        <v>88</v>
      </c>
      <c r="T23" s="7">
        <f t="shared" si="47"/>
        <v>266.83870967741933</v>
      </c>
      <c r="U23" s="7">
        <f t="shared" si="48"/>
        <v>1112.4193548387093</v>
      </c>
      <c r="V23" s="7">
        <f t="shared" si="48"/>
        <v>324</v>
      </c>
      <c r="W23" s="7">
        <f t="shared" si="49"/>
        <v>788.4193548387093</v>
      </c>
      <c r="X23" s="7">
        <f t="shared" si="50"/>
        <v>6741.9354838709696</v>
      </c>
      <c r="Y23" s="7">
        <f t="shared" si="50"/>
        <v>1793</v>
      </c>
      <c r="Z23" s="7">
        <f t="shared" si="51"/>
        <v>4948.9354838709696</v>
      </c>
      <c r="AA23" s="24">
        <f t="shared" si="52"/>
        <v>0.94651018817853994</v>
      </c>
      <c r="AB23" s="1"/>
    </row>
    <row r="24" spans="2:28" ht="18" x14ac:dyDescent="0.25">
      <c r="B24" s="3">
        <v>18</v>
      </c>
      <c r="C24" s="3">
        <f>C25+39</f>
        <v>55656</v>
      </c>
      <c r="D24" s="3">
        <f>D25+17</f>
        <v>469613</v>
      </c>
      <c r="E24" s="3">
        <f t="shared" ref="E24" si="55">E25+25</f>
        <v>71093</v>
      </c>
      <c r="F24" s="9">
        <f>C24+D24+E24</f>
        <v>596362</v>
      </c>
      <c r="G24" s="22">
        <f t="shared" si="39"/>
        <v>596313.0625</v>
      </c>
      <c r="H24" s="7">
        <f t="shared" si="40"/>
        <v>596316.60416666663</v>
      </c>
      <c r="I24" s="3">
        <f>I25+32</f>
        <v>202908</v>
      </c>
      <c r="J24" s="6">
        <f t="shared" si="41"/>
        <v>39</v>
      </c>
      <c r="K24" s="6">
        <f t="shared" si="41"/>
        <v>17</v>
      </c>
      <c r="L24" s="6">
        <f t="shared" si="41"/>
        <v>25</v>
      </c>
      <c r="M24" s="6">
        <f t="shared" si="42"/>
        <v>32</v>
      </c>
      <c r="N24" s="5">
        <f t="shared" si="24"/>
        <v>58.548387096774192</v>
      </c>
      <c r="O24" s="3">
        <f t="shared" si="43"/>
        <v>25</v>
      </c>
      <c r="P24" s="5">
        <f t="shared" si="44"/>
        <v>33.548387096774192</v>
      </c>
      <c r="Q24" s="5">
        <f t="shared" si="45"/>
        <v>3.5416666666278616</v>
      </c>
      <c r="R24" s="7">
        <f t="shared" si="28"/>
        <v>354.83870967741933</v>
      </c>
      <c r="S24" s="6">
        <f t="shared" si="46"/>
        <v>81</v>
      </c>
      <c r="T24" s="7">
        <f t="shared" si="47"/>
        <v>273.83870967741933</v>
      </c>
      <c r="U24" s="7">
        <f t="shared" si="48"/>
        <v>1053.8709677419351</v>
      </c>
      <c r="V24" s="7">
        <f t="shared" si="48"/>
        <v>295</v>
      </c>
      <c r="W24" s="7">
        <f t="shared" si="49"/>
        <v>758.87096774193515</v>
      </c>
      <c r="X24" s="7">
        <f t="shared" si="50"/>
        <v>6387.0967741935501</v>
      </c>
      <c r="Y24" s="7">
        <f t="shared" si="50"/>
        <v>1705</v>
      </c>
      <c r="Z24" s="7">
        <f t="shared" si="51"/>
        <v>4682.0967741935501</v>
      </c>
      <c r="AA24" s="24">
        <f t="shared" si="52"/>
        <v>0.93005198995598859</v>
      </c>
      <c r="AB24" s="1"/>
    </row>
    <row r="25" spans="2:28" ht="18" x14ac:dyDescent="0.25">
      <c r="B25" s="3">
        <v>17</v>
      </c>
      <c r="C25" s="3">
        <f>C26+41</f>
        <v>55617</v>
      </c>
      <c r="D25" s="3">
        <f>D26+20</f>
        <v>469596</v>
      </c>
      <c r="E25" s="3">
        <f>E26+27</f>
        <v>71068</v>
      </c>
      <c r="F25" s="8">
        <f t="shared" si="38"/>
        <v>596281</v>
      </c>
      <c r="G25" s="22">
        <f t="shared" si="39"/>
        <v>596227.83333333337</v>
      </c>
      <c r="H25" s="7">
        <f t="shared" si="40"/>
        <v>596232</v>
      </c>
      <c r="I25" s="3">
        <f>I26+37</f>
        <v>202876</v>
      </c>
      <c r="J25" s="6">
        <f t="shared" si="41"/>
        <v>41</v>
      </c>
      <c r="K25" s="6">
        <f t="shared" si="41"/>
        <v>20</v>
      </c>
      <c r="L25" s="6">
        <f t="shared" si="41"/>
        <v>27</v>
      </c>
      <c r="M25" s="7">
        <f t="shared" si="42"/>
        <v>37</v>
      </c>
      <c r="N25" s="5">
        <f t="shared" si="24"/>
        <v>58.548387096774192</v>
      </c>
      <c r="O25" s="3">
        <f t="shared" si="43"/>
        <v>27</v>
      </c>
      <c r="P25" s="5">
        <f t="shared" si="44"/>
        <v>31.548387096774192</v>
      </c>
      <c r="Q25" s="5">
        <f t="shared" si="45"/>
        <v>4.1666666666278616</v>
      </c>
      <c r="R25" s="7">
        <f t="shared" si="28"/>
        <v>354.83870967741933</v>
      </c>
      <c r="S25" s="6">
        <f t="shared" si="46"/>
        <v>88</v>
      </c>
      <c r="T25" s="7">
        <f t="shared" si="47"/>
        <v>266.83870967741933</v>
      </c>
      <c r="U25" s="7">
        <f t="shared" si="48"/>
        <v>995.322580645161</v>
      </c>
      <c r="V25" s="6">
        <f t="shared" si="48"/>
        <v>270</v>
      </c>
      <c r="W25" s="7">
        <f t="shared" si="49"/>
        <v>725.322580645161</v>
      </c>
      <c r="X25" s="7">
        <f t="shared" si="50"/>
        <v>6032.2580645161306</v>
      </c>
      <c r="Y25" s="7">
        <f t="shared" si="50"/>
        <v>1624</v>
      </c>
      <c r="Z25" s="7">
        <f t="shared" si="51"/>
        <v>4408.2580645161306</v>
      </c>
      <c r="AA25" s="24">
        <f t="shared" si="52"/>
        <v>0.92183243956625482</v>
      </c>
      <c r="AB25" s="1"/>
    </row>
    <row r="26" spans="2:28" ht="18" x14ac:dyDescent="0.25">
      <c r="B26" s="3">
        <v>16</v>
      </c>
      <c r="C26" s="3">
        <f>C27+43</f>
        <v>55576</v>
      </c>
      <c r="D26" s="3">
        <f>D27+11</f>
        <v>469576</v>
      </c>
      <c r="E26" s="3">
        <f>E27+20</f>
        <v>71041</v>
      </c>
      <c r="F26" s="8">
        <f t="shared" si="38"/>
        <v>596193</v>
      </c>
      <c r="G26" s="22">
        <f t="shared" si="39"/>
        <v>596148.29166666663</v>
      </c>
      <c r="H26" s="7">
        <f t="shared" si="40"/>
        <v>596150.58333333326</v>
      </c>
      <c r="I26" s="3">
        <f t="shared" ref="I26" si="56">I27+34</f>
        <v>202839</v>
      </c>
      <c r="J26" s="6">
        <f t="shared" si="41"/>
        <v>43</v>
      </c>
      <c r="K26" s="6">
        <f t="shared" si="41"/>
        <v>11</v>
      </c>
      <c r="L26" s="6">
        <f t="shared" si="41"/>
        <v>20</v>
      </c>
      <c r="M26" s="7">
        <f t="shared" si="42"/>
        <v>34</v>
      </c>
      <c r="N26" s="5">
        <f t="shared" si="24"/>
        <v>58.548387096774192</v>
      </c>
      <c r="O26" s="3">
        <f t="shared" si="43"/>
        <v>20</v>
      </c>
      <c r="P26" s="5">
        <f t="shared" si="44"/>
        <v>38.548387096774192</v>
      </c>
      <c r="Q26" s="5">
        <f t="shared" si="45"/>
        <v>2.2916666666278616</v>
      </c>
      <c r="R26" s="7">
        <f t="shared" si="28"/>
        <v>354.83870967741933</v>
      </c>
      <c r="S26" s="6">
        <f t="shared" si="46"/>
        <v>74</v>
      </c>
      <c r="T26" s="7">
        <f t="shared" si="47"/>
        <v>280.83870967741933</v>
      </c>
      <c r="U26" s="7">
        <f t="shared" si="48"/>
        <v>936.77419354838685</v>
      </c>
      <c r="V26" s="6">
        <f t="shared" si="48"/>
        <v>243</v>
      </c>
      <c r="W26" s="7">
        <f t="shared" si="49"/>
        <v>693.77419354838685</v>
      </c>
      <c r="X26" s="7">
        <f t="shared" si="50"/>
        <v>5677.4193548387111</v>
      </c>
      <c r="Y26" s="7">
        <f t="shared" si="50"/>
        <v>1536</v>
      </c>
      <c r="Z26" s="7">
        <f t="shared" si="51"/>
        <v>4141.4193548387111</v>
      </c>
      <c r="AA26" s="24">
        <f t="shared" si="52"/>
        <v>0.90867684396331272</v>
      </c>
      <c r="AB26" s="1"/>
    </row>
    <row r="27" spans="2:28" ht="18" x14ac:dyDescent="0.25">
      <c r="B27" s="3">
        <v>15</v>
      </c>
      <c r="C27" s="3">
        <f>C28+40</f>
        <v>55533</v>
      </c>
      <c r="D27" s="3">
        <f>D28+18</f>
        <v>469565</v>
      </c>
      <c r="E27" s="3">
        <f>E28+19</f>
        <v>71021</v>
      </c>
      <c r="F27" s="8">
        <f t="shared" si="38"/>
        <v>596119</v>
      </c>
      <c r="G27" s="22">
        <f t="shared" si="39"/>
        <v>596072.47916666663</v>
      </c>
      <c r="H27" s="7">
        <f t="shared" si="40"/>
        <v>596076.22916666663</v>
      </c>
      <c r="I27" s="3">
        <f>I28+34</f>
        <v>202805</v>
      </c>
      <c r="J27" s="6">
        <f t="shared" si="41"/>
        <v>40</v>
      </c>
      <c r="K27" s="6">
        <f t="shared" si="41"/>
        <v>18</v>
      </c>
      <c r="L27" s="6">
        <f t="shared" si="41"/>
        <v>19</v>
      </c>
      <c r="M27" s="7">
        <f t="shared" si="42"/>
        <v>34</v>
      </c>
      <c r="N27" s="5">
        <f t="shared" si="24"/>
        <v>58.548387096774192</v>
      </c>
      <c r="O27" s="3">
        <f t="shared" si="43"/>
        <v>19</v>
      </c>
      <c r="P27" s="5">
        <f t="shared" si="44"/>
        <v>39.548387096774192</v>
      </c>
      <c r="Q27" s="5">
        <f t="shared" si="45"/>
        <v>3.75</v>
      </c>
      <c r="R27" s="7">
        <f t="shared" si="28"/>
        <v>354.83870967741933</v>
      </c>
      <c r="S27" s="6">
        <f t="shared" si="46"/>
        <v>77</v>
      </c>
      <c r="T27" s="7">
        <f t="shared" si="47"/>
        <v>277.83870967741933</v>
      </c>
      <c r="U27" s="7">
        <f t="shared" si="48"/>
        <v>878.2258064516127</v>
      </c>
      <c r="V27" s="6">
        <f t="shared" si="48"/>
        <v>223</v>
      </c>
      <c r="W27" s="7">
        <f t="shared" si="49"/>
        <v>655.2258064516127</v>
      </c>
      <c r="X27" s="7">
        <f t="shared" si="50"/>
        <v>5322.5806451612916</v>
      </c>
      <c r="Y27" s="7">
        <f t="shared" si="50"/>
        <v>1462</v>
      </c>
      <c r="Z27" s="7">
        <f t="shared" si="51"/>
        <v>3860.5806451612916</v>
      </c>
      <c r="AA27" s="24">
        <f t="shared" si="52"/>
        <v>0.91478871383879201</v>
      </c>
      <c r="AB27" s="1"/>
    </row>
    <row r="28" spans="2:28" ht="18" x14ac:dyDescent="0.25">
      <c r="B28" s="3">
        <v>14</v>
      </c>
      <c r="C28" s="3">
        <v>55493</v>
      </c>
      <c r="D28" s="3">
        <v>469547</v>
      </c>
      <c r="E28" s="3">
        <v>71002</v>
      </c>
      <c r="F28" s="8">
        <f t="shared" si="38"/>
        <v>596042</v>
      </c>
      <c r="G28" s="22">
        <f t="shared" si="39"/>
        <v>595999.70833333337</v>
      </c>
      <c r="H28" s="7">
        <f t="shared" si="40"/>
        <v>596004.29166666674</v>
      </c>
      <c r="I28" s="3">
        <v>202771</v>
      </c>
      <c r="J28" s="6">
        <f t="shared" si="41"/>
        <v>38</v>
      </c>
      <c r="K28" s="6">
        <f t="shared" si="41"/>
        <v>22</v>
      </c>
      <c r="L28" s="6">
        <f t="shared" si="41"/>
        <v>10</v>
      </c>
      <c r="M28" s="7">
        <f t="shared" si="42"/>
        <v>33</v>
      </c>
      <c r="N28" s="5">
        <f t="shared" si="24"/>
        <v>58.548387096774192</v>
      </c>
      <c r="O28" s="3">
        <f t="shared" si="43"/>
        <v>10</v>
      </c>
      <c r="P28" s="5">
        <f t="shared" si="44"/>
        <v>48.548387096774192</v>
      </c>
      <c r="Q28" s="5">
        <f t="shared" si="45"/>
        <v>4.5833333333721384</v>
      </c>
      <c r="R28" s="7">
        <f t="shared" si="28"/>
        <v>354.83870967741933</v>
      </c>
      <c r="S28" s="6">
        <f t="shared" si="46"/>
        <v>70</v>
      </c>
      <c r="T28" s="7">
        <f t="shared" si="47"/>
        <v>284.83870967741933</v>
      </c>
      <c r="U28" s="7">
        <f t="shared" si="48"/>
        <v>819.67741935483855</v>
      </c>
      <c r="V28" s="6">
        <f t="shared" si="48"/>
        <v>204</v>
      </c>
      <c r="W28" s="7">
        <f t="shared" si="49"/>
        <v>615.67741935483855</v>
      </c>
      <c r="X28" s="7">
        <f t="shared" si="50"/>
        <v>4967.7419354838721</v>
      </c>
      <c r="Y28" s="7">
        <f t="shared" si="50"/>
        <v>1385</v>
      </c>
      <c r="Z28" s="7">
        <f t="shared" si="51"/>
        <v>3582.7419354838721</v>
      </c>
      <c r="AA28" s="24">
        <f t="shared" si="52"/>
        <v>0.90452564299629967</v>
      </c>
      <c r="AB28" s="1"/>
    </row>
    <row r="29" spans="2:28" ht="18" x14ac:dyDescent="0.25">
      <c r="B29" s="3">
        <v>13</v>
      </c>
      <c r="C29" s="3">
        <f>C30+24</f>
        <v>55455</v>
      </c>
      <c r="D29" s="3">
        <f>D30+24</f>
        <v>469525</v>
      </c>
      <c r="E29" s="3">
        <f>E30+12</f>
        <v>70992</v>
      </c>
      <c r="F29" s="8">
        <f t="shared" si="38"/>
        <v>595972</v>
      </c>
      <c r="G29" s="22">
        <f t="shared" si="39"/>
        <v>595935.75</v>
      </c>
      <c r="H29" s="7">
        <f t="shared" si="40"/>
        <v>595940.75</v>
      </c>
      <c r="I29" s="3">
        <f>I30+28</f>
        <v>202738</v>
      </c>
      <c r="J29" s="6">
        <f t="shared" si="41"/>
        <v>24</v>
      </c>
      <c r="K29" s="6">
        <f t="shared" si="41"/>
        <v>24</v>
      </c>
      <c r="L29" s="6">
        <f t="shared" si="41"/>
        <v>12</v>
      </c>
      <c r="M29" s="6">
        <f t="shared" si="42"/>
        <v>28</v>
      </c>
      <c r="N29" s="5">
        <f t="shared" si="24"/>
        <v>58.548387096774192</v>
      </c>
      <c r="O29" s="3">
        <f t="shared" si="43"/>
        <v>12</v>
      </c>
      <c r="P29" s="5">
        <f t="shared" si="44"/>
        <v>46.548387096774192</v>
      </c>
      <c r="Q29" s="5">
        <f t="shared" si="45"/>
        <v>5</v>
      </c>
      <c r="R29" s="7">
        <f t="shared" si="28"/>
        <v>354.83870967741933</v>
      </c>
      <c r="S29" s="6">
        <f t="shared" si="46"/>
        <v>60</v>
      </c>
      <c r="T29" s="7">
        <f t="shared" si="47"/>
        <v>294.83870967741933</v>
      </c>
      <c r="U29" s="7">
        <f t="shared" si="48"/>
        <v>761.1290322580644</v>
      </c>
      <c r="V29" s="6">
        <f t="shared" si="48"/>
        <v>194</v>
      </c>
      <c r="W29" s="7">
        <f t="shared" si="49"/>
        <v>567.1290322580644</v>
      </c>
      <c r="X29" s="7">
        <f t="shared" si="50"/>
        <v>4612.9032258064526</v>
      </c>
      <c r="Y29" s="7">
        <f t="shared" si="50"/>
        <v>1315</v>
      </c>
      <c r="Z29" s="7">
        <f t="shared" si="51"/>
        <v>3297.9032258064526</v>
      </c>
      <c r="AA29" s="24">
        <f t="shared" si="52"/>
        <v>0.90618313999526545</v>
      </c>
      <c r="AB29" s="1"/>
    </row>
    <row r="30" spans="2:28" ht="18" x14ac:dyDescent="0.25">
      <c r="B30" s="3">
        <v>12</v>
      </c>
      <c r="C30" s="3">
        <f>C31+18</f>
        <v>55431</v>
      </c>
      <c r="D30" s="3">
        <f>D31+21</f>
        <v>469501</v>
      </c>
      <c r="E30" s="3">
        <f>E31+5</f>
        <v>70980</v>
      </c>
      <c r="F30" s="8">
        <f t="shared" si="38"/>
        <v>595912</v>
      </c>
      <c r="G30" s="22">
        <f t="shared" si="39"/>
        <v>595885.41666666663</v>
      </c>
      <c r="H30" s="7">
        <f t="shared" si="40"/>
        <v>595889.79166666663</v>
      </c>
      <c r="I30" s="3">
        <f>I31+18</f>
        <v>202710</v>
      </c>
      <c r="J30" s="6">
        <f t="shared" si="41"/>
        <v>18</v>
      </c>
      <c r="K30" s="6">
        <f t="shared" si="41"/>
        <v>21</v>
      </c>
      <c r="L30" s="6">
        <f t="shared" si="41"/>
        <v>5</v>
      </c>
      <c r="M30" s="6">
        <f t="shared" si="42"/>
        <v>18</v>
      </c>
      <c r="N30" s="5">
        <f t="shared" si="24"/>
        <v>58.548387096774192</v>
      </c>
      <c r="O30" s="3">
        <f t="shared" si="43"/>
        <v>5</v>
      </c>
      <c r="P30" s="5">
        <f t="shared" si="44"/>
        <v>53.548387096774192</v>
      </c>
      <c r="Q30" s="5">
        <f t="shared" si="45"/>
        <v>4.375</v>
      </c>
      <c r="R30" s="7">
        <f t="shared" si="28"/>
        <v>354.83870967741933</v>
      </c>
      <c r="S30" s="6">
        <f t="shared" si="46"/>
        <v>44</v>
      </c>
      <c r="T30" s="7">
        <f t="shared" si="47"/>
        <v>310.83870967741933</v>
      </c>
      <c r="U30" s="7">
        <f t="shared" si="48"/>
        <v>702.58064516129025</v>
      </c>
      <c r="V30" s="6">
        <f t="shared" si="48"/>
        <v>182</v>
      </c>
      <c r="W30" s="7">
        <f t="shared" si="49"/>
        <v>520.58064516129025</v>
      </c>
      <c r="X30" s="7">
        <f t="shared" si="50"/>
        <v>4258.0645161290331</v>
      </c>
      <c r="Y30" s="7">
        <f t="shared" si="50"/>
        <v>1255</v>
      </c>
      <c r="Z30" s="7">
        <f t="shared" si="51"/>
        <v>3003.0645161290331</v>
      </c>
      <c r="AA30" s="24">
        <f t="shared" si="52"/>
        <v>0.92554695620567673</v>
      </c>
      <c r="AB30" s="1"/>
    </row>
    <row r="31" spans="2:28" ht="18" x14ac:dyDescent="0.25">
      <c r="B31" s="3">
        <v>11</v>
      </c>
      <c r="C31" s="3">
        <f>C32+22</f>
        <v>55413</v>
      </c>
      <c r="D31" s="3">
        <f>D32+19</f>
        <v>469480</v>
      </c>
      <c r="E31" s="3">
        <f>E32+3</f>
        <v>70975</v>
      </c>
      <c r="F31" s="8">
        <f t="shared" si="38"/>
        <v>595868</v>
      </c>
      <c r="G31" s="22">
        <f t="shared" si="39"/>
        <v>595841.41666666663</v>
      </c>
      <c r="H31" s="7">
        <f t="shared" si="40"/>
        <v>595845.375</v>
      </c>
      <c r="I31" s="3">
        <f>I32+15</f>
        <v>202692</v>
      </c>
      <c r="J31" s="6">
        <f t="shared" si="41"/>
        <v>22</v>
      </c>
      <c r="K31" s="6">
        <f t="shared" si="41"/>
        <v>19</v>
      </c>
      <c r="L31" s="6">
        <f t="shared" si="41"/>
        <v>3</v>
      </c>
      <c r="M31" s="6">
        <f t="shared" si="42"/>
        <v>15</v>
      </c>
      <c r="N31" s="5">
        <f t="shared" si="24"/>
        <v>58.548387096774192</v>
      </c>
      <c r="O31" s="3">
        <f t="shared" si="43"/>
        <v>3</v>
      </c>
      <c r="P31" s="5">
        <f t="shared" si="44"/>
        <v>55.548387096774192</v>
      </c>
      <c r="Q31" s="5">
        <f t="shared" si="45"/>
        <v>3.9583333333721384</v>
      </c>
      <c r="R31" s="7">
        <f t="shared" si="28"/>
        <v>354.83870967741933</v>
      </c>
      <c r="S31" s="6">
        <f t="shared" si="46"/>
        <v>44</v>
      </c>
      <c r="T31" s="7">
        <f t="shared" si="47"/>
        <v>310.83870967741933</v>
      </c>
      <c r="U31" s="7">
        <f t="shared" si="48"/>
        <v>644.0322580645161</v>
      </c>
      <c r="V31" s="6">
        <f t="shared" si="48"/>
        <v>177</v>
      </c>
      <c r="W31" s="7">
        <f t="shared" si="49"/>
        <v>467.0322580645161</v>
      </c>
      <c r="X31" s="7">
        <f t="shared" si="50"/>
        <v>3903.2258064516136</v>
      </c>
      <c r="Y31" s="7">
        <f t="shared" si="50"/>
        <v>1211</v>
      </c>
      <c r="Z31" s="7">
        <f t="shared" si="51"/>
        <v>2692.2258064516136</v>
      </c>
      <c r="AA31" s="24">
        <f t="shared" si="52"/>
        <v>0.94651018817853994</v>
      </c>
      <c r="AB31" s="1"/>
    </row>
    <row r="32" spans="2:28" ht="18" x14ac:dyDescent="0.25">
      <c r="B32" s="3">
        <v>10</v>
      </c>
      <c r="C32" s="3">
        <f>C33+31</f>
        <v>55391</v>
      </c>
      <c r="D32" s="3">
        <f>D33+24</f>
        <v>469461</v>
      </c>
      <c r="E32" s="3">
        <f>E33+8</f>
        <v>70972</v>
      </c>
      <c r="F32" s="8">
        <f t="shared" si="38"/>
        <v>595824</v>
      </c>
      <c r="G32" s="22">
        <f t="shared" si="39"/>
        <v>595785.9375</v>
      </c>
      <c r="H32" s="7">
        <f t="shared" si="40"/>
        <v>595790.9375</v>
      </c>
      <c r="I32" s="3">
        <f>I33+21</f>
        <v>202677</v>
      </c>
      <c r="J32" s="6">
        <f t="shared" si="41"/>
        <v>31</v>
      </c>
      <c r="K32" s="6">
        <f t="shared" si="41"/>
        <v>24</v>
      </c>
      <c r="L32" s="6">
        <f t="shared" si="41"/>
        <v>8</v>
      </c>
      <c r="M32" s="6">
        <f t="shared" si="42"/>
        <v>21</v>
      </c>
      <c r="N32" s="5">
        <f t="shared" si="24"/>
        <v>58.548387096774192</v>
      </c>
      <c r="O32" s="3">
        <f t="shared" si="43"/>
        <v>8</v>
      </c>
      <c r="P32" s="5">
        <f t="shared" si="44"/>
        <v>50.548387096774192</v>
      </c>
      <c r="Q32" s="5">
        <f t="shared" si="45"/>
        <v>5</v>
      </c>
      <c r="R32" s="7">
        <f t="shared" si="28"/>
        <v>354.83870967741933</v>
      </c>
      <c r="S32" s="6">
        <f t="shared" si="46"/>
        <v>63</v>
      </c>
      <c r="T32" s="7">
        <f t="shared" si="47"/>
        <v>291.83870967741933</v>
      </c>
      <c r="U32" s="7">
        <f t="shared" si="48"/>
        <v>585.48387096774195</v>
      </c>
      <c r="V32" s="6">
        <f t="shared" si="48"/>
        <v>174</v>
      </c>
      <c r="W32" s="7">
        <f t="shared" si="49"/>
        <v>411.48387096774195</v>
      </c>
      <c r="X32" s="7">
        <f t="shared" si="50"/>
        <v>3548.3870967741941</v>
      </c>
      <c r="Y32" s="7">
        <f t="shared" si="50"/>
        <v>1167</v>
      </c>
      <c r="Z32" s="7">
        <f t="shared" si="51"/>
        <v>2381.3870967741941</v>
      </c>
      <c r="AA32" s="24">
        <f t="shared" si="52"/>
        <v>0.94868329805051377</v>
      </c>
      <c r="AB32" s="1"/>
    </row>
    <row r="33" spans="2:28" ht="18" x14ac:dyDescent="0.25">
      <c r="B33" s="3">
        <v>9</v>
      </c>
      <c r="C33" s="3">
        <f>C34+27</f>
        <v>55360</v>
      </c>
      <c r="D33" s="3">
        <f>D34+23</f>
        <v>469437</v>
      </c>
      <c r="E33" s="3">
        <f>E34+10</f>
        <v>70964</v>
      </c>
      <c r="F33" s="8">
        <f t="shared" si="38"/>
        <v>595761</v>
      </c>
      <c r="G33" s="22">
        <f t="shared" si="39"/>
        <v>595724.75</v>
      </c>
      <c r="H33" s="7">
        <f t="shared" si="40"/>
        <v>595729.54166666663</v>
      </c>
      <c r="I33" s="3">
        <f>I34+28</f>
        <v>202656</v>
      </c>
      <c r="J33" s="6">
        <f t="shared" si="41"/>
        <v>27</v>
      </c>
      <c r="K33" s="6">
        <f t="shared" si="41"/>
        <v>23</v>
      </c>
      <c r="L33" s="6">
        <f t="shared" si="41"/>
        <v>10</v>
      </c>
      <c r="M33" s="6">
        <f t="shared" si="42"/>
        <v>28</v>
      </c>
      <c r="N33" s="5">
        <f t="shared" si="24"/>
        <v>58.548387096774192</v>
      </c>
      <c r="O33" s="3">
        <f t="shared" si="43"/>
        <v>10</v>
      </c>
      <c r="P33" s="5">
        <f t="shared" si="44"/>
        <v>48.548387096774192</v>
      </c>
      <c r="Q33" s="5">
        <f t="shared" si="45"/>
        <v>4.7916666666278616</v>
      </c>
      <c r="R33" s="7">
        <f t="shared" si="28"/>
        <v>354.83870967741933</v>
      </c>
      <c r="S33" s="6">
        <f t="shared" si="46"/>
        <v>60</v>
      </c>
      <c r="T33" s="7">
        <f t="shared" si="47"/>
        <v>294.83870967741933</v>
      </c>
      <c r="U33" s="7">
        <f t="shared" si="48"/>
        <v>526.9354838709678</v>
      </c>
      <c r="V33" s="6">
        <f t="shared" si="48"/>
        <v>166</v>
      </c>
      <c r="W33" s="7">
        <f t="shared" si="49"/>
        <v>360.9354838709678</v>
      </c>
      <c r="X33" s="7">
        <f t="shared" si="50"/>
        <v>3193.5483870967746</v>
      </c>
      <c r="Y33" s="7">
        <f t="shared" si="50"/>
        <v>1104</v>
      </c>
      <c r="Z33" s="7">
        <f t="shared" si="51"/>
        <v>2089.5483870967746</v>
      </c>
      <c r="AA33" s="24">
        <f t="shared" si="52"/>
        <v>0.90618313999526545</v>
      </c>
      <c r="AB33" s="1"/>
    </row>
    <row r="34" spans="2:28" ht="18" x14ac:dyDescent="0.25">
      <c r="B34" s="3">
        <v>8</v>
      </c>
      <c r="C34" s="3">
        <f>C35+28</f>
        <v>55333</v>
      </c>
      <c r="D34" s="3">
        <f>D35+25</f>
        <v>469414</v>
      </c>
      <c r="E34" s="3">
        <f>E35+7</f>
        <v>70954</v>
      </c>
      <c r="F34" s="8">
        <f t="shared" si="38"/>
        <v>595701</v>
      </c>
      <c r="G34" s="22">
        <f t="shared" si="39"/>
        <v>595664.75</v>
      </c>
      <c r="H34" s="7">
        <f t="shared" si="40"/>
        <v>595669.95833333337</v>
      </c>
      <c r="I34" s="3">
        <f>I35+23</f>
        <v>202628</v>
      </c>
      <c r="J34" s="6">
        <f t="shared" si="41"/>
        <v>28</v>
      </c>
      <c r="K34" s="6">
        <f t="shared" si="41"/>
        <v>25</v>
      </c>
      <c r="L34" s="6">
        <f t="shared" si="41"/>
        <v>7</v>
      </c>
      <c r="M34" s="6">
        <f t="shared" si="42"/>
        <v>23</v>
      </c>
      <c r="N34" s="5">
        <f t="shared" si="24"/>
        <v>58.548387096774192</v>
      </c>
      <c r="O34" s="3">
        <f t="shared" si="43"/>
        <v>7</v>
      </c>
      <c r="P34" s="5">
        <f t="shared" si="44"/>
        <v>51.548387096774192</v>
      </c>
      <c r="Q34" s="5">
        <f t="shared" si="45"/>
        <v>5.2083333333721384</v>
      </c>
      <c r="R34" s="7">
        <f t="shared" si="28"/>
        <v>354.83870967741933</v>
      </c>
      <c r="S34" s="6">
        <f t="shared" si="46"/>
        <v>60</v>
      </c>
      <c r="T34" s="7">
        <f t="shared" si="47"/>
        <v>294.83870967741933</v>
      </c>
      <c r="U34" s="7">
        <f t="shared" si="48"/>
        <v>468.38709677419359</v>
      </c>
      <c r="V34" s="6">
        <f t="shared" si="48"/>
        <v>156</v>
      </c>
      <c r="W34" s="7">
        <f t="shared" si="49"/>
        <v>312.38709677419359</v>
      </c>
      <c r="X34" s="7">
        <f t="shared" si="50"/>
        <v>2838.7096774193551</v>
      </c>
      <c r="Y34" s="7">
        <f t="shared" si="50"/>
        <v>1044</v>
      </c>
      <c r="Z34" s="7">
        <f t="shared" si="51"/>
        <v>1794.7096774193551</v>
      </c>
      <c r="AA34" s="24">
        <f t="shared" si="52"/>
        <v>0.93374611730204959</v>
      </c>
      <c r="AB34" s="1"/>
    </row>
    <row r="35" spans="2:28" ht="18" x14ac:dyDescent="0.25">
      <c r="B35" s="3">
        <v>7</v>
      </c>
      <c r="C35" s="3">
        <f>C36+29</f>
        <v>55305</v>
      </c>
      <c r="D35" s="3">
        <f>D36+27</f>
        <v>469389</v>
      </c>
      <c r="E35" s="3">
        <f>E36+9</f>
        <v>70947</v>
      </c>
      <c r="F35" s="8">
        <f t="shared" si="38"/>
        <v>595641</v>
      </c>
      <c r="G35" s="22">
        <f t="shared" si="39"/>
        <v>595601.72916666663</v>
      </c>
      <c r="H35" s="7">
        <f t="shared" si="40"/>
        <v>595607.35416666663</v>
      </c>
      <c r="I35" s="3">
        <f>I36+25</f>
        <v>202605</v>
      </c>
      <c r="J35" s="6">
        <f t="shared" si="41"/>
        <v>29</v>
      </c>
      <c r="K35" s="6">
        <f t="shared" si="41"/>
        <v>27</v>
      </c>
      <c r="L35" s="6">
        <f t="shared" si="41"/>
        <v>9</v>
      </c>
      <c r="M35" s="6">
        <f t="shared" si="42"/>
        <v>25</v>
      </c>
      <c r="N35" s="5">
        <f t="shared" si="24"/>
        <v>58.548387096774192</v>
      </c>
      <c r="O35" s="3">
        <f t="shared" si="43"/>
        <v>9</v>
      </c>
      <c r="P35" s="5">
        <f t="shared" si="44"/>
        <v>49.548387096774192</v>
      </c>
      <c r="Q35" s="5">
        <f t="shared" si="45"/>
        <v>5.625</v>
      </c>
      <c r="R35" s="7">
        <f t="shared" si="28"/>
        <v>354.83870967741933</v>
      </c>
      <c r="S35" s="6">
        <f t="shared" si="46"/>
        <v>65</v>
      </c>
      <c r="T35" s="7">
        <f t="shared" si="47"/>
        <v>289.83870967741933</v>
      </c>
      <c r="U35" s="7">
        <f t="shared" si="48"/>
        <v>409.83870967741939</v>
      </c>
      <c r="V35" s="6">
        <f t="shared" si="48"/>
        <v>149</v>
      </c>
      <c r="W35" s="7">
        <f t="shared" si="49"/>
        <v>260.83870967741939</v>
      </c>
      <c r="X35" s="7">
        <f t="shared" si="50"/>
        <v>2483.8709677419356</v>
      </c>
      <c r="Y35" s="7">
        <f t="shared" si="50"/>
        <v>984</v>
      </c>
      <c r="Z35" s="7">
        <f t="shared" si="51"/>
        <v>1499.8709677419356</v>
      </c>
      <c r="AA35" s="24">
        <f t="shared" si="52"/>
        <v>0.93334560620305951</v>
      </c>
      <c r="AB35" s="1"/>
    </row>
    <row r="36" spans="2:28" ht="18" x14ac:dyDescent="0.25">
      <c r="B36" s="3">
        <v>6</v>
      </c>
      <c r="C36" s="3">
        <f>C37+19</f>
        <v>55276</v>
      </c>
      <c r="D36" s="3">
        <f>D37+21</f>
        <v>469362</v>
      </c>
      <c r="E36" s="3">
        <f>E37+4</f>
        <v>70938</v>
      </c>
      <c r="F36" s="8">
        <f t="shared" si="38"/>
        <v>595576</v>
      </c>
      <c r="G36" s="22">
        <f t="shared" si="39"/>
        <v>595549.41666666663</v>
      </c>
      <c r="H36" s="7">
        <f t="shared" si="40"/>
        <v>595553.79166666663</v>
      </c>
      <c r="I36" s="3">
        <f>I37+16</f>
        <v>202580</v>
      </c>
      <c r="J36" s="6">
        <f t="shared" si="41"/>
        <v>19</v>
      </c>
      <c r="K36" s="6">
        <f t="shared" si="41"/>
        <v>21</v>
      </c>
      <c r="L36" s="6">
        <f t="shared" si="41"/>
        <v>4</v>
      </c>
      <c r="M36" s="6">
        <f t="shared" si="42"/>
        <v>16</v>
      </c>
      <c r="N36" s="5">
        <f t="shared" si="24"/>
        <v>58.548387096774192</v>
      </c>
      <c r="O36" s="3">
        <f t="shared" si="43"/>
        <v>4</v>
      </c>
      <c r="P36" s="5">
        <f t="shared" si="44"/>
        <v>54.548387096774192</v>
      </c>
      <c r="Q36" s="5">
        <f t="shared" si="45"/>
        <v>4.375</v>
      </c>
      <c r="R36" s="7">
        <f t="shared" si="28"/>
        <v>354.83870967741933</v>
      </c>
      <c r="S36" s="6">
        <f t="shared" si="46"/>
        <v>44</v>
      </c>
      <c r="T36" s="7">
        <f t="shared" si="47"/>
        <v>310.83870967741933</v>
      </c>
      <c r="U36" s="7">
        <f t="shared" si="48"/>
        <v>351.29032258064518</v>
      </c>
      <c r="V36" s="6">
        <f t="shared" si="48"/>
        <v>140</v>
      </c>
      <c r="W36" s="7">
        <f t="shared" si="49"/>
        <v>211.29032258064518</v>
      </c>
      <c r="X36" s="7">
        <f t="shared" si="50"/>
        <v>2129.0322580645161</v>
      </c>
      <c r="Y36" s="7">
        <f t="shared" si="50"/>
        <v>919</v>
      </c>
      <c r="Z36" s="7">
        <f t="shared" si="51"/>
        <v>1210.0322580645161</v>
      </c>
      <c r="AA36" s="24">
        <f t="shared" si="52"/>
        <v>0.93979342348843709</v>
      </c>
      <c r="AB36" s="1"/>
    </row>
    <row r="37" spans="2:28" ht="18" x14ac:dyDescent="0.25">
      <c r="B37" s="3">
        <v>5</v>
      </c>
      <c r="C37" s="3">
        <f>C38+21</f>
        <v>55257</v>
      </c>
      <c r="D37" s="3">
        <f>D38+23</f>
        <v>469341</v>
      </c>
      <c r="E37" s="3">
        <f>E38+5</f>
        <v>70934</v>
      </c>
      <c r="F37" s="8">
        <f t="shared" si="38"/>
        <v>595532</v>
      </c>
      <c r="G37" s="22">
        <f t="shared" si="39"/>
        <v>595502.39583333337</v>
      </c>
      <c r="H37" s="7">
        <f t="shared" si="40"/>
        <v>595507.1875</v>
      </c>
      <c r="I37" s="3">
        <f>I38+18</f>
        <v>202564</v>
      </c>
      <c r="J37" s="6">
        <f t="shared" si="41"/>
        <v>21</v>
      </c>
      <c r="K37" s="6">
        <f t="shared" si="41"/>
        <v>23</v>
      </c>
      <c r="L37" s="6">
        <f t="shared" si="41"/>
        <v>5</v>
      </c>
      <c r="M37" s="6">
        <f t="shared" si="42"/>
        <v>18</v>
      </c>
      <c r="N37" s="5">
        <f t="shared" si="24"/>
        <v>58.548387096774192</v>
      </c>
      <c r="O37" s="3">
        <f t="shared" si="43"/>
        <v>5</v>
      </c>
      <c r="P37" s="5">
        <f t="shared" si="44"/>
        <v>53.548387096774192</v>
      </c>
      <c r="Q37" s="5">
        <f t="shared" si="45"/>
        <v>4.7916666666278616</v>
      </c>
      <c r="R37" s="7">
        <f t="shared" si="28"/>
        <v>354.83870967741933</v>
      </c>
      <c r="S37" s="6">
        <f t="shared" si="46"/>
        <v>49</v>
      </c>
      <c r="T37" s="7">
        <f t="shared" si="47"/>
        <v>305.83870967741933</v>
      </c>
      <c r="U37" s="7">
        <f t="shared" si="48"/>
        <v>292.74193548387098</v>
      </c>
      <c r="V37" s="6">
        <f t="shared" si="48"/>
        <v>136</v>
      </c>
      <c r="W37" s="7">
        <f t="shared" si="49"/>
        <v>156.74193548387098</v>
      </c>
      <c r="X37" s="7">
        <f t="shared" si="50"/>
        <v>1774.1935483870966</v>
      </c>
      <c r="Y37" s="7">
        <f t="shared" si="50"/>
        <v>875</v>
      </c>
      <c r="Z37" s="7">
        <f t="shared" si="51"/>
        <v>899.1935483870966</v>
      </c>
      <c r="AA37" s="24">
        <f t="shared" si="52"/>
        <v>0.93866975951672837</v>
      </c>
      <c r="AB37" s="1"/>
    </row>
    <row r="38" spans="2:28" ht="18" x14ac:dyDescent="0.25">
      <c r="B38" s="3">
        <v>4</v>
      </c>
      <c r="C38" s="3">
        <f>C39+25</f>
        <v>55236</v>
      </c>
      <c r="D38" s="3">
        <f>D39+27</f>
        <v>469318</v>
      </c>
      <c r="E38" s="3">
        <f>E39+9</f>
        <v>70929</v>
      </c>
      <c r="F38" s="8">
        <f t="shared" si="38"/>
        <v>595483</v>
      </c>
      <c r="G38" s="22">
        <f t="shared" si="39"/>
        <v>595446.14583333337</v>
      </c>
      <c r="H38" s="7">
        <f t="shared" si="40"/>
        <v>595451.77083333337</v>
      </c>
      <c r="I38" s="3">
        <f>I39+27</f>
        <v>202546</v>
      </c>
      <c r="J38" s="6">
        <f t="shared" si="41"/>
        <v>25</v>
      </c>
      <c r="K38" s="6">
        <f t="shared" si="41"/>
        <v>27</v>
      </c>
      <c r="L38" s="6">
        <f t="shared" si="41"/>
        <v>9</v>
      </c>
      <c r="M38" s="6">
        <f t="shared" si="42"/>
        <v>27</v>
      </c>
      <c r="N38" s="5">
        <f t="shared" si="24"/>
        <v>58.548387096774192</v>
      </c>
      <c r="O38" s="3">
        <f t="shared" si="43"/>
        <v>9</v>
      </c>
      <c r="P38" s="5">
        <f t="shared" si="44"/>
        <v>49.548387096774192</v>
      </c>
      <c r="Q38" s="5">
        <f t="shared" si="45"/>
        <v>5.625</v>
      </c>
      <c r="R38" s="7">
        <f t="shared" si="28"/>
        <v>354.83870967741933</v>
      </c>
      <c r="S38" s="6">
        <f t="shared" si="46"/>
        <v>61</v>
      </c>
      <c r="T38" s="7">
        <f t="shared" si="47"/>
        <v>293.83870967741933</v>
      </c>
      <c r="U38" s="7">
        <f t="shared" si="48"/>
        <v>234.19354838709677</v>
      </c>
      <c r="V38" s="6">
        <f t="shared" si="48"/>
        <v>131</v>
      </c>
      <c r="W38" s="7">
        <f t="shared" si="49"/>
        <v>103.19354838709677</v>
      </c>
      <c r="X38" s="7">
        <f t="shared" si="50"/>
        <v>1419.3548387096773</v>
      </c>
      <c r="Y38" s="7">
        <f t="shared" si="50"/>
        <v>826</v>
      </c>
      <c r="Z38" s="7">
        <f t="shared" si="51"/>
        <v>593.35483870967732</v>
      </c>
      <c r="AA38" s="24">
        <f t="shared" si="52"/>
        <v>0.91442866057495098</v>
      </c>
      <c r="AB38" s="1"/>
    </row>
    <row r="39" spans="2:28" ht="18" x14ac:dyDescent="0.25">
      <c r="B39" s="3">
        <v>3</v>
      </c>
      <c r="C39" s="3">
        <v>55211</v>
      </c>
      <c r="D39" s="3">
        <v>469291</v>
      </c>
      <c r="E39" s="3">
        <v>70920</v>
      </c>
      <c r="F39" s="8">
        <f t="shared" si="38"/>
        <v>595422</v>
      </c>
      <c r="G39" s="22">
        <f t="shared" si="39"/>
        <v>595162.20833333337</v>
      </c>
      <c r="H39" s="7">
        <f t="shared" si="40"/>
        <v>595228.04166666674</v>
      </c>
      <c r="I39" s="3">
        <v>202519</v>
      </c>
      <c r="J39" s="6">
        <f t="shared" si="41"/>
        <v>56</v>
      </c>
      <c r="K39" s="6">
        <f t="shared" si="41"/>
        <v>316</v>
      </c>
      <c r="L39" s="6">
        <f t="shared" si="41"/>
        <v>58</v>
      </c>
      <c r="M39" s="6">
        <f t="shared" si="42"/>
        <v>164</v>
      </c>
      <c r="N39" s="5">
        <f t="shared" si="24"/>
        <v>58.548387096774192</v>
      </c>
      <c r="O39" s="3">
        <f t="shared" si="43"/>
        <v>58</v>
      </c>
      <c r="P39" s="5">
        <f t="shared" si="44"/>
        <v>0.54838709677419217</v>
      </c>
      <c r="Q39" s="5">
        <f t="shared" si="45"/>
        <v>65.833333333372138</v>
      </c>
      <c r="R39" s="7">
        <f t="shared" si="28"/>
        <v>354.83870967741933</v>
      </c>
      <c r="S39" s="6">
        <f t="shared" si="46"/>
        <v>430</v>
      </c>
      <c r="T39" s="7">
        <f t="shared" si="47"/>
        <v>-75.161290322580669</v>
      </c>
      <c r="U39" s="7">
        <f t="shared" si="48"/>
        <v>175.64516129032256</v>
      </c>
      <c r="V39" s="6">
        <f t="shared" si="48"/>
        <v>122</v>
      </c>
      <c r="W39" s="7">
        <f t="shared" si="49"/>
        <v>53.645161290322562</v>
      </c>
      <c r="X39" s="7">
        <f t="shared" si="50"/>
        <v>1064.516129032258</v>
      </c>
      <c r="Y39" s="7">
        <f t="shared" si="50"/>
        <v>765</v>
      </c>
      <c r="Z39" s="7">
        <f t="shared" si="51"/>
        <v>299.51612903225805</v>
      </c>
      <c r="AA39" s="24">
        <f t="shared" si="52"/>
        <v>0.9343499758812136</v>
      </c>
      <c r="AB39" s="1"/>
    </row>
    <row r="40" spans="2:28" ht="18" x14ac:dyDescent="0.25">
      <c r="B40" s="3">
        <v>2</v>
      </c>
      <c r="C40" s="3">
        <v>55155</v>
      </c>
      <c r="D40" s="3">
        <v>468975</v>
      </c>
      <c r="E40" s="3">
        <v>70862</v>
      </c>
      <c r="F40" s="8">
        <f t="shared" si="38"/>
        <v>594992</v>
      </c>
      <c r="G40" s="22">
        <f t="shared" si="39"/>
        <v>594886.875</v>
      </c>
      <c r="H40" s="7">
        <f t="shared" si="40"/>
        <v>594907.5</v>
      </c>
      <c r="I40" s="3">
        <v>202355</v>
      </c>
      <c r="J40" s="6">
        <f t="shared" si="41"/>
        <v>42</v>
      </c>
      <c r="K40" s="6">
        <f t="shared" si="41"/>
        <v>99</v>
      </c>
      <c r="L40" s="6">
        <f t="shared" si="41"/>
        <v>33</v>
      </c>
      <c r="M40" s="6">
        <f t="shared" si="42"/>
        <v>78</v>
      </c>
      <c r="N40" s="5">
        <f t="shared" si="24"/>
        <v>58.548387096774192</v>
      </c>
      <c r="O40" s="3">
        <f t="shared" si="43"/>
        <v>33</v>
      </c>
      <c r="P40" s="5">
        <f t="shared" si="44"/>
        <v>25.548387096774192</v>
      </c>
      <c r="Q40" s="5">
        <f t="shared" si="45"/>
        <v>20.625</v>
      </c>
      <c r="R40" s="7">
        <f>R41</f>
        <v>354.83870967741933</v>
      </c>
      <c r="S40" s="6">
        <f t="shared" si="46"/>
        <v>174</v>
      </c>
      <c r="T40" s="7">
        <f t="shared" si="47"/>
        <v>180.83870967741933</v>
      </c>
      <c r="U40" s="7">
        <f t="shared" si="48"/>
        <v>117.09677419354838</v>
      </c>
      <c r="V40" s="6">
        <f t="shared" si="48"/>
        <v>64</v>
      </c>
      <c r="W40" s="7">
        <f t="shared" si="49"/>
        <v>53.096774193548384</v>
      </c>
      <c r="X40" s="7">
        <f t="shared" si="50"/>
        <v>709.67741935483866</v>
      </c>
      <c r="Y40" s="7">
        <f t="shared" si="50"/>
        <v>335</v>
      </c>
      <c r="Z40" s="7">
        <f t="shared" si="51"/>
        <v>374.67741935483866</v>
      </c>
      <c r="AA40" s="24">
        <f t="shared" si="52"/>
        <v>0.91250932451495126</v>
      </c>
      <c r="AB40" s="1"/>
    </row>
    <row r="41" spans="2:28" ht="18" x14ac:dyDescent="0.25">
      <c r="B41" s="3">
        <v>1</v>
      </c>
      <c r="C41" s="5">
        <f>C42+37</f>
        <v>55113</v>
      </c>
      <c r="D41" s="5">
        <f>D42+93</f>
        <v>468876</v>
      </c>
      <c r="E41" s="5">
        <f>E42+31</f>
        <v>70829</v>
      </c>
      <c r="F41" s="8">
        <f t="shared" si="38"/>
        <v>594818</v>
      </c>
      <c r="G41" s="22">
        <f>(C42+D42+E42)+((S41/24)*9.5)</f>
        <v>594720.72916666663</v>
      </c>
      <c r="H41" s="7">
        <f>G41+((K41/12)*2.5)</f>
        <v>594740.10416666663</v>
      </c>
      <c r="I41" s="5">
        <f>I42+69</f>
        <v>202277</v>
      </c>
      <c r="J41" s="6">
        <f t="shared" si="41"/>
        <v>37</v>
      </c>
      <c r="K41" s="6">
        <f t="shared" si="41"/>
        <v>93</v>
      </c>
      <c r="L41" s="6">
        <f t="shared" si="41"/>
        <v>31</v>
      </c>
      <c r="M41" s="6">
        <f t="shared" si="42"/>
        <v>69</v>
      </c>
      <c r="N41" s="43">
        <f>O6/31</f>
        <v>58.548387096774192</v>
      </c>
      <c r="O41" s="3">
        <f t="shared" si="43"/>
        <v>31</v>
      </c>
      <c r="P41" s="5">
        <f t="shared" si="44"/>
        <v>27.548387096774192</v>
      </c>
      <c r="Q41" s="5">
        <f t="shared" si="45"/>
        <v>19.375</v>
      </c>
      <c r="R41" s="45">
        <f>S6/31</f>
        <v>354.83870967741933</v>
      </c>
      <c r="S41" s="6">
        <f t="shared" si="46"/>
        <v>161</v>
      </c>
      <c r="T41" s="7">
        <f t="shared" si="47"/>
        <v>193.83870967741933</v>
      </c>
      <c r="U41" s="7">
        <f>N41</f>
        <v>58.548387096774192</v>
      </c>
      <c r="V41" s="6">
        <f>O41</f>
        <v>31</v>
      </c>
      <c r="W41" s="7">
        <f t="shared" si="49"/>
        <v>27.548387096774192</v>
      </c>
      <c r="X41" s="7">
        <f>R41</f>
        <v>354.83870967741933</v>
      </c>
      <c r="Y41" s="7">
        <f>S41</f>
        <v>161</v>
      </c>
      <c r="Z41" s="7">
        <f t="shared" si="51"/>
        <v>193.83870967741933</v>
      </c>
      <c r="AA41" s="24">
        <f t="shared" si="52"/>
        <v>0.91914503001805792</v>
      </c>
      <c r="AB41" s="1"/>
    </row>
    <row r="42" spans="2:28" ht="54" x14ac:dyDescent="0.25">
      <c r="B42" s="33" t="s">
        <v>13</v>
      </c>
      <c r="C42" s="3">
        <v>55076</v>
      </c>
      <c r="D42" s="3">
        <v>468783</v>
      </c>
      <c r="E42" s="3">
        <v>70798</v>
      </c>
      <c r="F42" s="8">
        <v>594657</v>
      </c>
      <c r="G42" s="9">
        <v>594525</v>
      </c>
      <c r="H42" s="9">
        <v>594561</v>
      </c>
      <c r="I42" s="3">
        <v>202208</v>
      </c>
      <c r="J42" s="10"/>
      <c r="K42" s="10"/>
      <c r="L42" s="10"/>
      <c r="M42" s="46">
        <f>SUM(M11:M41)</f>
        <v>1250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4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50" spans="26:27" ht="18" x14ac:dyDescent="0.25">
      <c r="Z50" s="10" t="s">
        <v>38</v>
      </c>
    </row>
    <row r="51" spans="26:27" ht="18" x14ac:dyDescent="0.25">
      <c r="Z51" s="10" t="s">
        <v>44</v>
      </c>
      <c r="AA51" s="10"/>
    </row>
    <row r="52" spans="26:27" ht="18" x14ac:dyDescent="0.25">
      <c r="Z52" s="10" t="s">
        <v>45</v>
      </c>
      <c r="AA52" s="10"/>
    </row>
    <row r="53" spans="26:27" ht="18" x14ac:dyDescent="0.25">
      <c r="Z53" s="10" t="s">
        <v>12</v>
      </c>
      <c r="AA53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B2:AB55"/>
  <sheetViews>
    <sheetView tabSelected="1" topLeftCell="K1" zoomScale="85" zoomScaleNormal="85" zoomScaleSheetLayoutView="95" workbookViewId="0">
      <pane ySplit="1" topLeftCell="A5" activePane="bottomLeft" state="frozen"/>
      <selection pane="bottomLeft" activeCell="I14" sqref="I14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6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37</v>
      </c>
      <c r="D5" s="56"/>
      <c r="E5" s="56"/>
      <c r="T5" s="52"/>
      <c r="U5" s="52" t="s">
        <v>42</v>
      </c>
      <c r="V5" s="52" t="s">
        <v>43</v>
      </c>
      <c r="W5" s="42"/>
    </row>
    <row r="6" spans="2:28" ht="15.75" x14ac:dyDescent="0.25">
      <c r="N6" s="13" t="s">
        <v>27</v>
      </c>
      <c r="O6" s="29">
        <f>S6*16.5%</f>
        <v>1032.9000000000001</v>
      </c>
      <c r="P6" s="30" t="s">
        <v>26</v>
      </c>
      <c r="Q6" s="11">
        <f>(S6*8)/100</f>
        <v>500.8</v>
      </c>
      <c r="R6" s="17" t="s">
        <v>25</v>
      </c>
      <c r="S6" s="11">
        <v>6260</v>
      </c>
      <c r="T6" s="52" t="s">
        <v>41</v>
      </c>
      <c r="U6" s="52">
        <v>382.8</v>
      </c>
      <c r="V6" s="51">
        <f>U6/30</f>
        <v>12.76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8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19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0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>
        <v>31</v>
      </c>
      <c r="C11" s="3">
        <v>148457</v>
      </c>
      <c r="D11" s="3">
        <v>1430057</v>
      </c>
      <c r="E11" s="3">
        <v>291896</v>
      </c>
      <c r="F11" s="8">
        <f t="shared" ref="F11" si="0">C11+D11+E11</f>
        <v>1870410</v>
      </c>
      <c r="G11" s="22">
        <f t="shared" ref="G11" si="1">(C12+D12+E12)+((S12/24)*3)</f>
        <v>1870290.625</v>
      </c>
      <c r="H11" s="7">
        <f t="shared" ref="H11" si="2">G11+((K11/12)*1.5)</f>
        <v>1870300.125</v>
      </c>
      <c r="I11" s="7">
        <v>975721</v>
      </c>
      <c r="J11" s="6">
        <f t="shared" ref="J11:L11" si="3">C11-C12</f>
        <v>53</v>
      </c>
      <c r="K11" s="6">
        <f t="shared" si="3"/>
        <v>76</v>
      </c>
      <c r="L11" s="6">
        <f t="shared" si="3"/>
        <v>3</v>
      </c>
      <c r="M11" s="6">
        <f t="shared" ref="M11" si="4">I11-I12</f>
        <v>24</v>
      </c>
      <c r="N11" s="5">
        <f t="shared" ref="N11" si="5">N12</f>
        <v>33.319354838709678</v>
      </c>
      <c r="O11" s="23">
        <f t="shared" ref="O11" si="6">L11</f>
        <v>3</v>
      </c>
      <c r="P11" s="5">
        <f t="shared" ref="P11" si="7">N11-O11</f>
        <v>30.319354838709678</v>
      </c>
      <c r="Q11" s="5">
        <f t="shared" ref="Q11" si="8">H11-G11</f>
        <v>9.5</v>
      </c>
      <c r="R11" s="20">
        <f t="shared" ref="R11" si="9">R12</f>
        <v>201.93548387096774</v>
      </c>
      <c r="S11" s="6">
        <f t="shared" ref="S11" si="10">J11+K11+L11</f>
        <v>132</v>
      </c>
      <c r="T11" s="7">
        <f t="shared" ref="T11" si="11">R11-S11</f>
        <v>69.935483870967744</v>
      </c>
      <c r="U11" s="7">
        <f t="shared" ref="U11:V11" si="12">U12+N11</f>
        <v>1032.9000000000008</v>
      </c>
      <c r="V11" s="7">
        <f t="shared" si="12"/>
        <v>505</v>
      </c>
      <c r="W11" s="7">
        <f t="shared" ref="W11" si="13">U11-V11</f>
        <v>527.90000000000077</v>
      </c>
      <c r="X11" s="7">
        <f t="shared" ref="X11:Y11" si="14">X12+R11</f>
        <v>6260.0000000000009</v>
      </c>
      <c r="Y11" s="7">
        <f t="shared" si="14"/>
        <v>2163</v>
      </c>
      <c r="Z11" s="7">
        <f t="shared" ref="Z11" si="15">X11-Y11</f>
        <v>4097.0000000000009</v>
      </c>
      <c r="AA11" s="24">
        <f t="shared" ref="AA11" si="16">COS(ATAN(M11/S11))</f>
        <v>0.98386991009990743</v>
      </c>
      <c r="AB11" s="25"/>
    </row>
    <row r="12" spans="2:28" ht="18" x14ac:dyDescent="0.25">
      <c r="B12" s="3">
        <v>30</v>
      </c>
      <c r="C12" s="3">
        <f>C13+81</f>
        <v>148404</v>
      </c>
      <c r="D12" s="3">
        <f>D13+12</f>
        <v>1429981</v>
      </c>
      <c r="E12" s="3">
        <f>E13+8</f>
        <v>291893</v>
      </c>
      <c r="F12" s="8">
        <f t="shared" ref="F12" si="17">C12+D12+E12</f>
        <v>1870278</v>
      </c>
      <c r="G12" s="22">
        <f t="shared" ref="G12" si="18">(C13+D13+E13)+((S13/24)*3)</f>
        <v>1870189.125</v>
      </c>
      <c r="H12" s="7">
        <f t="shared" ref="H12" si="19">G12+((K12/12)*1.5)</f>
        <v>1870190.625</v>
      </c>
      <c r="I12" s="7">
        <f>I13+40</f>
        <v>975697</v>
      </c>
      <c r="J12" s="6">
        <f t="shared" ref="J12" si="20">C12-C13</f>
        <v>81</v>
      </c>
      <c r="K12" s="6">
        <f t="shared" ref="K12" si="21">D12-D13</f>
        <v>12</v>
      </c>
      <c r="L12" s="6">
        <f t="shared" ref="L12" si="22">E12-E13</f>
        <v>8</v>
      </c>
      <c r="M12" s="6">
        <f t="shared" ref="M12" si="23">I12-I13</f>
        <v>40</v>
      </c>
      <c r="N12" s="5">
        <f t="shared" ref="N12:N40" si="24">N13</f>
        <v>33.319354838709678</v>
      </c>
      <c r="O12" s="23">
        <f t="shared" ref="O12" si="25">L12</f>
        <v>8</v>
      </c>
      <c r="P12" s="5">
        <f t="shared" ref="P12" si="26">N12-O12</f>
        <v>25.319354838709678</v>
      </c>
      <c r="Q12" s="5">
        <f t="shared" ref="Q12" si="27">H12-G12</f>
        <v>1.5</v>
      </c>
      <c r="R12" s="20">
        <f t="shared" ref="R12:R38" si="28">R13</f>
        <v>201.93548387096774</v>
      </c>
      <c r="S12" s="6">
        <f t="shared" ref="S12" si="29">J12+K12+L12</f>
        <v>101</v>
      </c>
      <c r="T12" s="7">
        <f t="shared" ref="T12" si="30">R12-S12</f>
        <v>100.93548387096774</v>
      </c>
      <c r="U12" s="7">
        <f t="shared" ref="U12" si="31">U13+N12</f>
        <v>999.58064516129105</v>
      </c>
      <c r="V12" s="7">
        <f t="shared" ref="V12" si="32">V13+O12</f>
        <v>502</v>
      </c>
      <c r="W12" s="7">
        <f t="shared" ref="W12" si="33">U12-V12</f>
        <v>497.58064516129105</v>
      </c>
      <c r="X12" s="7">
        <f t="shared" ref="X12" si="34">X13+R12</f>
        <v>6058.0645161290331</v>
      </c>
      <c r="Y12" s="7">
        <f t="shared" ref="Y12" si="35">Y13+S12</f>
        <v>2031</v>
      </c>
      <c r="Z12" s="7">
        <f t="shared" ref="Z12" si="36">X12-Y12</f>
        <v>4027.0645161290331</v>
      </c>
      <c r="AA12" s="24">
        <f t="shared" ref="AA12" si="37">COS(ATAN(M12/S12))</f>
        <v>0.92974096910815229</v>
      </c>
      <c r="AB12" s="25"/>
    </row>
    <row r="13" spans="2:28" ht="18" x14ac:dyDescent="0.25">
      <c r="B13" s="3">
        <v>29</v>
      </c>
      <c r="C13" s="3">
        <f>C14+70</f>
        <v>148323</v>
      </c>
      <c r="D13" s="3">
        <v>1429969</v>
      </c>
      <c r="E13" s="3">
        <v>291885</v>
      </c>
      <c r="F13" s="8">
        <f t="shared" ref="F13:F41" si="38">C13+D13+E13</f>
        <v>1870177</v>
      </c>
      <c r="G13" s="22">
        <f t="shared" ref="G13:G40" si="39">(C14+D14+E14)+((S14/24)*3)</f>
        <v>1870090.875</v>
      </c>
      <c r="H13" s="7">
        <f t="shared" ref="H13:H40" si="40">G13+((K13/12)*1.5)</f>
        <v>1870092</v>
      </c>
      <c r="I13" s="7">
        <v>975657</v>
      </c>
      <c r="J13" s="6">
        <f t="shared" ref="J13:L41" si="41">C13-C14</f>
        <v>70</v>
      </c>
      <c r="K13" s="6">
        <f t="shared" si="41"/>
        <v>9</v>
      </c>
      <c r="L13" s="6">
        <f t="shared" si="41"/>
        <v>18</v>
      </c>
      <c r="M13" s="6">
        <f t="shared" ref="M13:M41" si="42">I13-I14</f>
        <v>34</v>
      </c>
      <c r="N13" s="5">
        <f t="shared" si="24"/>
        <v>33.319354838709678</v>
      </c>
      <c r="O13" s="23">
        <f t="shared" ref="O13:O41" si="43">L13</f>
        <v>18</v>
      </c>
      <c r="P13" s="5">
        <f t="shared" ref="P13:P41" si="44">N13-O13</f>
        <v>15.319354838709678</v>
      </c>
      <c r="Q13" s="5">
        <f t="shared" ref="Q13:Q41" si="45">H13-G13</f>
        <v>1.125</v>
      </c>
      <c r="R13" s="20">
        <f t="shared" si="28"/>
        <v>201.93548387096774</v>
      </c>
      <c r="S13" s="6">
        <f t="shared" ref="S13:S41" si="46">J13+K13+L13</f>
        <v>97</v>
      </c>
      <c r="T13" s="7">
        <f t="shared" ref="T13:T41" si="47">R13-S13</f>
        <v>104.93548387096774</v>
      </c>
      <c r="U13" s="7">
        <f t="shared" ref="U13:V40" si="48">U14+N13</f>
        <v>966.26129032258132</v>
      </c>
      <c r="V13" s="7">
        <f t="shared" si="48"/>
        <v>494</v>
      </c>
      <c r="W13" s="7">
        <f t="shared" ref="W13:W41" si="49">U13-V13</f>
        <v>472.26129032258132</v>
      </c>
      <c r="X13" s="7">
        <f t="shared" ref="X13:Y40" si="50">X14+R13</f>
        <v>5856.1290322580653</v>
      </c>
      <c r="Y13" s="7">
        <f t="shared" si="50"/>
        <v>1930</v>
      </c>
      <c r="Z13" s="7">
        <f t="shared" ref="Z13:Z41" si="51">X13-Y13</f>
        <v>3926.1290322580653</v>
      </c>
      <c r="AA13" s="24">
        <f t="shared" ref="AA13:AA41" si="52">COS(ATAN(M13/S13))</f>
        <v>0.94370658085181292</v>
      </c>
      <c r="AB13" s="25"/>
    </row>
    <row r="14" spans="2:28" ht="18" x14ac:dyDescent="0.25">
      <c r="B14" s="3">
        <v>28</v>
      </c>
      <c r="C14" s="3">
        <f>C15+59</f>
        <v>148253</v>
      </c>
      <c r="D14" s="3">
        <f>D15+8</f>
        <v>1429960</v>
      </c>
      <c r="E14" s="3">
        <f t="shared" ref="E14" si="53">E15+20</f>
        <v>291867</v>
      </c>
      <c r="F14" s="8">
        <f t="shared" si="38"/>
        <v>1870080</v>
      </c>
      <c r="G14" s="22">
        <f t="shared" si="39"/>
        <v>1870003.5</v>
      </c>
      <c r="H14" s="7">
        <f t="shared" si="40"/>
        <v>1870004.5</v>
      </c>
      <c r="I14" s="7">
        <f>I15+53</f>
        <v>975623</v>
      </c>
      <c r="J14" s="7">
        <f>C14-C15</f>
        <v>59</v>
      </c>
      <c r="K14" s="6">
        <f t="shared" si="41"/>
        <v>8</v>
      </c>
      <c r="L14" s="6">
        <f t="shared" si="41"/>
        <v>20</v>
      </c>
      <c r="M14" s="6">
        <f t="shared" si="42"/>
        <v>53</v>
      </c>
      <c r="N14" s="5">
        <f t="shared" si="24"/>
        <v>33.319354838709678</v>
      </c>
      <c r="O14" s="23">
        <f t="shared" si="43"/>
        <v>20</v>
      </c>
      <c r="P14" s="5">
        <f t="shared" si="44"/>
        <v>13.319354838709678</v>
      </c>
      <c r="Q14" s="5">
        <f t="shared" si="45"/>
        <v>1</v>
      </c>
      <c r="R14" s="20">
        <f t="shared" si="28"/>
        <v>201.93548387096774</v>
      </c>
      <c r="S14" s="6">
        <f t="shared" si="46"/>
        <v>87</v>
      </c>
      <c r="T14" s="7">
        <f t="shared" si="47"/>
        <v>114.93548387096774</v>
      </c>
      <c r="U14" s="7">
        <f t="shared" si="48"/>
        <v>932.94193548387159</v>
      </c>
      <c r="V14" s="7">
        <f t="shared" si="48"/>
        <v>476</v>
      </c>
      <c r="W14" s="7">
        <f t="shared" si="49"/>
        <v>456.94193548387159</v>
      </c>
      <c r="X14" s="7">
        <f t="shared" si="50"/>
        <v>5654.1935483870975</v>
      </c>
      <c r="Y14" s="7">
        <f t="shared" si="50"/>
        <v>1833</v>
      </c>
      <c r="Z14" s="7">
        <f t="shared" si="51"/>
        <v>3821.1935483870975</v>
      </c>
      <c r="AA14" s="24">
        <f t="shared" si="52"/>
        <v>0.85400894474404243</v>
      </c>
      <c r="AB14" s="25"/>
    </row>
    <row r="15" spans="2:28" ht="18" x14ac:dyDescent="0.25">
      <c r="B15" s="3">
        <v>27</v>
      </c>
      <c r="C15" s="3">
        <f>C16+57</f>
        <v>148194</v>
      </c>
      <c r="D15" s="3">
        <f>D16+5</f>
        <v>1429952</v>
      </c>
      <c r="E15" s="3">
        <f>E16+22</f>
        <v>291847</v>
      </c>
      <c r="F15" s="8">
        <f t="shared" si="38"/>
        <v>1869993</v>
      </c>
      <c r="G15" s="22">
        <f>(C16+D16+E16)+((S16/24)*3)</f>
        <v>1869913.25</v>
      </c>
      <c r="H15" s="7">
        <f t="shared" si="40"/>
        <v>1869913.875</v>
      </c>
      <c r="I15" s="7">
        <f>I16+47</f>
        <v>975570</v>
      </c>
      <c r="J15" s="6">
        <f t="shared" si="41"/>
        <v>57</v>
      </c>
      <c r="K15" s="6">
        <f>D15-D16</f>
        <v>5</v>
      </c>
      <c r="L15" s="6">
        <f t="shared" si="41"/>
        <v>22</v>
      </c>
      <c r="M15" s="6">
        <f t="shared" si="42"/>
        <v>47</v>
      </c>
      <c r="N15" s="5">
        <f t="shared" si="24"/>
        <v>33.319354838709678</v>
      </c>
      <c r="O15" s="23">
        <f t="shared" si="43"/>
        <v>22</v>
      </c>
      <c r="P15" s="5">
        <f t="shared" si="44"/>
        <v>11.319354838709678</v>
      </c>
      <c r="Q15" s="5">
        <f t="shared" si="45"/>
        <v>0.625</v>
      </c>
      <c r="R15" s="20">
        <f t="shared" si="28"/>
        <v>201.93548387096774</v>
      </c>
      <c r="S15" s="6">
        <f t="shared" si="46"/>
        <v>84</v>
      </c>
      <c r="T15" s="7">
        <f t="shared" si="47"/>
        <v>117.93548387096774</v>
      </c>
      <c r="U15" s="7">
        <f t="shared" si="48"/>
        <v>899.62258064516186</v>
      </c>
      <c r="V15" s="7">
        <f t="shared" si="48"/>
        <v>456</v>
      </c>
      <c r="W15" s="7">
        <f t="shared" si="49"/>
        <v>443.62258064516186</v>
      </c>
      <c r="X15" s="7">
        <f t="shared" si="50"/>
        <v>5452.2580645161297</v>
      </c>
      <c r="Y15" s="7">
        <f t="shared" si="50"/>
        <v>1746</v>
      </c>
      <c r="Z15" s="7">
        <f t="shared" si="51"/>
        <v>3706.2580645161297</v>
      </c>
      <c r="AA15" s="24">
        <f t="shared" si="52"/>
        <v>0.87268311716782188</v>
      </c>
      <c r="AB15" s="25"/>
    </row>
    <row r="16" spans="2:28" ht="18" x14ac:dyDescent="0.25">
      <c r="B16" s="3">
        <v>26</v>
      </c>
      <c r="C16" s="3">
        <f>C17+15</f>
        <v>148137</v>
      </c>
      <c r="D16" s="3">
        <f t="shared" ref="D16:D17" si="54">D17+0</f>
        <v>1429947</v>
      </c>
      <c r="E16" s="3">
        <f>E17+19</f>
        <v>291825</v>
      </c>
      <c r="F16" s="8">
        <f>C16+D16+E16</f>
        <v>1869909</v>
      </c>
      <c r="G16" s="22">
        <f>(C17+D17+E17)+((S17/24)*3)</f>
        <v>1869878.125</v>
      </c>
      <c r="H16" s="7">
        <f t="shared" si="40"/>
        <v>1869878.125</v>
      </c>
      <c r="I16" s="7">
        <f>I17+44</f>
        <v>975523</v>
      </c>
      <c r="J16" s="6">
        <f t="shared" si="41"/>
        <v>15</v>
      </c>
      <c r="K16" s="6">
        <f>D16-D17</f>
        <v>0</v>
      </c>
      <c r="L16" s="6">
        <f t="shared" si="41"/>
        <v>19</v>
      </c>
      <c r="M16" s="6">
        <f t="shared" si="42"/>
        <v>44</v>
      </c>
      <c r="N16" s="5">
        <f t="shared" si="24"/>
        <v>33.319354838709678</v>
      </c>
      <c r="O16" s="23">
        <f t="shared" si="43"/>
        <v>19</v>
      </c>
      <c r="P16" s="5">
        <f t="shared" si="44"/>
        <v>14.319354838709678</v>
      </c>
      <c r="Q16" s="5">
        <f t="shared" si="45"/>
        <v>0</v>
      </c>
      <c r="R16" s="20">
        <f t="shared" si="28"/>
        <v>201.93548387096774</v>
      </c>
      <c r="S16" s="6">
        <f t="shared" si="46"/>
        <v>34</v>
      </c>
      <c r="T16" s="7">
        <f t="shared" si="47"/>
        <v>167.93548387096774</v>
      </c>
      <c r="U16" s="7">
        <f t="shared" si="48"/>
        <v>866.30322580645213</v>
      </c>
      <c r="V16" s="7">
        <f t="shared" si="48"/>
        <v>434</v>
      </c>
      <c r="W16" s="7">
        <f t="shared" si="49"/>
        <v>432.30322580645213</v>
      </c>
      <c r="X16" s="7">
        <f t="shared" si="50"/>
        <v>5250.3225806451619</v>
      </c>
      <c r="Y16" s="7">
        <f t="shared" si="50"/>
        <v>1662</v>
      </c>
      <c r="Z16" s="7">
        <f t="shared" si="51"/>
        <v>3588.3225806451619</v>
      </c>
      <c r="AA16" s="24">
        <f t="shared" si="52"/>
        <v>0.6114475010757654</v>
      </c>
      <c r="AB16" s="25"/>
    </row>
    <row r="17" spans="2:28" ht="18" x14ac:dyDescent="0.25">
      <c r="B17" s="3">
        <v>25</v>
      </c>
      <c r="C17" s="3">
        <f>C18+7</f>
        <v>148122</v>
      </c>
      <c r="D17" s="3">
        <f t="shared" si="54"/>
        <v>1429947</v>
      </c>
      <c r="E17" s="3">
        <f>E18+18</f>
        <v>291806</v>
      </c>
      <c r="F17" s="8">
        <f>C17+D17+E17</f>
        <v>1869875</v>
      </c>
      <c r="G17" s="22">
        <f>(C18+D18+E18)+((S18/24)*3)</f>
        <v>1869855.375</v>
      </c>
      <c r="H17" s="7">
        <f t="shared" si="40"/>
        <v>1869855.375</v>
      </c>
      <c r="I17" s="7">
        <f>I18+42</f>
        <v>975479</v>
      </c>
      <c r="J17" s="6">
        <f t="shared" si="41"/>
        <v>7</v>
      </c>
      <c r="K17" s="6">
        <f>D17-D18</f>
        <v>0</v>
      </c>
      <c r="L17" s="6">
        <f t="shared" si="41"/>
        <v>18</v>
      </c>
      <c r="M17" s="6">
        <f t="shared" si="42"/>
        <v>42</v>
      </c>
      <c r="N17" s="5">
        <f t="shared" si="24"/>
        <v>33.319354838709678</v>
      </c>
      <c r="O17" s="23">
        <f t="shared" si="43"/>
        <v>18</v>
      </c>
      <c r="P17" s="5">
        <f t="shared" si="44"/>
        <v>15.319354838709678</v>
      </c>
      <c r="Q17" s="5">
        <f t="shared" si="45"/>
        <v>0</v>
      </c>
      <c r="R17" s="20">
        <f t="shared" si="28"/>
        <v>201.93548387096774</v>
      </c>
      <c r="S17" s="6">
        <f t="shared" si="46"/>
        <v>25</v>
      </c>
      <c r="T17" s="7">
        <f t="shared" si="47"/>
        <v>176.93548387096774</v>
      </c>
      <c r="U17" s="7">
        <f t="shared" si="48"/>
        <v>832.9838709677424</v>
      </c>
      <c r="V17" s="7">
        <f t="shared" si="48"/>
        <v>415</v>
      </c>
      <c r="W17" s="7">
        <f t="shared" si="49"/>
        <v>417.9838709677424</v>
      </c>
      <c r="X17" s="7">
        <f t="shared" si="50"/>
        <v>5048.3870967741941</v>
      </c>
      <c r="Y17" s="7">
        <f t="shared" si="50"/>
        <v>1628</v>
      </c>
      <c r="Z17" s="7">
        <f t="shared" si="51"/>
        <v>3420.3870967741941</v>
      </c>
      <c r="AA17" s="24">
        <f t="shared" si="52"/>
        <v>0.51148385976768251</v>
      </c>
      <c r="AB17" s="25"/>
    </row>
    <row r="18" spans="2:28" ht="18" x14ac:dyDescent="0.25">
      <c r="B18" s="3">
        <v>24</v>
      </c>
      <c r="C18" s="3">
        <f>C19+12</f>
        <v>148115</v>
      </c>
      <c r="D18" s="3">
        <f>D19+10</f>
        <v>1429947</v>
      </c>
      <c r="E18" s="3">
        <f>E19+21</f>
        <v>291788</v>
      </c>
      <c r="F18" s="8">
        <f t="shared" si="38"/>
        <v>1869850</v>
      </c>
      <c r="G18" s="22">
        <f t="shared" si="39"/>
        <v>1869813.375</v>
      </c>
      <c r="H18" s="7">
        <f t="shared" si="40"/>
        <v>1869814.625</v>
      </c>
      <c r="I18" s="7">
        <f>I19+46</f>
        <v>975437</v>
      </c>
      <c r="J18" s="6">
        <f t="shared" si="41"/>
        <v>12</v>
      </c>
      <c r="K18" s="6">
        <f t="shared" si="41"/>
        <v>10</v>
      </c>
      <c r="L18" s="6">
        <f t="shared" si="41"/>
        <v>21</v>
      </c>
      <c r="M18" s="6">
        <f t="shared" si="42"/>
        <v>46</v>
      </c>
      <c r="N18" s="5">
        <f t="shared" si="24"/>
        <v>33.319354838709678</v>
      </c>
      <c r="O18" s="23">
        <f t="shared" si="43"/>
        <v>21</v>
      </c>
      <c r="P18" s="5">
        <f t="shared" si="44"/>
        <v>12.319354838709678</v>
      </c>
      <c r="Q18" s="5">
        <f t="shared" si="45"/>
        <v>1.25</v>
      </c>
      <c r="R18" s="20">
        <f t="shared" si="28"/>
        <v>201.93548387096774</v>
      </c>
      <c r="S18" s="6">
        <f t="shared" si="46"/>
        <v>43</v>
      </c>
      <c r="T18" s="7">
        <f t="shared" si="47"/>
        <v>158.93548387096774</v>
      </c>
      <c r="U18" s="7">
        <f t="shared" si="48"/>
        <v>799.66451612903268</v>
      </c>
      <c r="V18" s="7">
        <f t="shared" si="48"/>
        <v>397</v>
      </c>
      <c r="W18" s="7">
        <f t="shared" si="49"/>
        <v>402.66451612903268</v>
      </c>
      <c r="X18" s="7">
        <f t="shared" si="50"/>
        <v>4846.4516129032263</v>
      </c>
      <c r="Y18" s="7">
        <f t="shared" si="50"/>
        <v>1603</v>
      </c>
      <c r="Z18" s="7">
        <f t="shared" si="51"/>
        <v>3243.4516129032263</v>
      </c>
      <c r="AA18" s="24">
        <f t="shared" si="52"/>
        <v>0.68288387806460538</v>
      </c>
      <c r="AB18" s="25"/>
    </row>
    <row r="19" spans="2:28" ht="18" x14ac:dyDescent="0.25">
      <c r="B19" s="3">
        <v>23</v>
      </c>
      <c r="C19" s="3">
        <f>C20+10</f>
        <v>148103</v>
      </c>
      <c r="D19" s="3">
        <f>D20+17</f>
        <v>1429937</v>
      </c>
      <c r="E19" s="3">
        <f>E20+24</f>
        <v>291767</v>
      </c>
      <c r="F19" s="8">
        <f t="shared" si="38"/>
        <v>1869807</v>
      </c>
      <c r="G19" s="22">
        <f t="shared" si="39"/>
        <v>1869760.625</v>
      </c>
      <c r="H19" s="7">
        <f t="shared" si="40"/>
        <v>1869762.75</v>
      </c>
      <c r="I19" s="7">
        <f>I20+50</f>
        <v>975391</v>
      </c>
      <c r="J19" s="6">
        <f t="shared" si="41"/>
        <v>10</v>
      </c>
      <c r="K19" s="6">
        <f t="shared" si="41"/>
        <v>17</v>
      </c>
      <c r="L19" s="6">
        <f t="shared" si="41"/>
        <v>24</v>
      </c>
      <c r="M19" s="6">
        <f t="shared" si="42"/>
        <v>50</v>
      </c>
      <c r="N19" s="5">
        <f t="shared" si="24"/>
        <v>33.319354838709678</v>
      </c>
      <c r="O19" s="3">
        <f t="shared" si="43"/>
        <v>24</v>
      </c>
      <c r="P19" s="5">
        <f t="shared" si="44"/>
        <v>9.3193548387096783</v>
      </c>
      <c r="Q19" s="5">
        <f t="shared" si="45"/>
        <v>2.125</v>
      </c>
      <c r="R19" s="20">
        <f t="shared" si="28"/>
        <v>201.93548387096774</v>
      </c>
      <c r="S19" s="6">
        <f t="shared" si="46"/>
        <v>51</v>
      </c>
      <c r="T19" s="7">
        <f t="shared" si="47"/>
        <v>150.93548387096774</v>
      </c>
      <c r="U19" s="7">
        <f t="shared" si="48"/>
        <v>766.34516129032295</v>
      </c>
      <c r="V19" s="7">
        <f t="shared" si="48"/>
        <v>376</v>
      </c>
      <c r="W19" s="7">
        <f t="shared" si="49"/>
        <v>390.34516129032295</v>
      </c>
      <c r="X19" s="7">
        <f t="shared" si="50"/>
        <v>4644.5161290322585</v>
      </c>
      <c r="Y19" s="7">
        <f t="shared" si="50"/>
        <v>1560</v>
      </c>
      <c r="Z19" s="7">
        <f t="shared" si="51"/>
        <v>3084.5161290322585</v>
      </c>
      <c r="AA19" s="24">
        <f t="shared" si="52"/>
        <v>0.71407283914457864</v>
      </c>
      <c r="AB19" s="1"/>
    </row>
    <row r="20" spans="2:28" ht="18" x14ac:dyDescent="0.25">
      <c r="B20" s="3">
        <v>22</v>
      </c>
      <c r="C20" s="3">
        <f>C21+5</f>
        <v>148093</v>
      </c>
      <c r="D20" s="3">
        <f>D21+12</f>
        <v>1429920</v>
      </c>
      <c r="E20" s="3">
        <f>E21+20</f>
        <v>291743</v>
      </c>
      <c r="F20" s="8">
        <f t="shared" si="38"/>
        <v>1869756</v>
      </c>
      <c r="G20" s="22">
        <f t="shared" si="39"/>
        <v>1869725.75</v>
      </c>
      <c r="H20" s="7">
        <f t="shared" si="40"/>
        <v>1869727.25</v>
      </c>
      <c r="I20" s="7">
        <f>I21+48</f>
        <v>975341</v>
      </c>
      <c r="J20" s="6">
        <f t="shared" si="41"/>
        <v>5</v>
      </c>
      <c r="K20" s="6">
        <f t="shared" si="41"/>
        <v>12</v>
      </c>
      <c r="L20" s="6">
        <f t="shared" si="41"/>
        <v>20</v>
      </c>
      <c r="M20" s="6">
        <f t="shared" si="42"/>
        <v>48</v>
      </c>
      <c r="N20" s="5">
        <f t="shared" si="24"/>
        <v>33.319354838709678</v>
      </c>
      <c r="O20" s="3">
        <f t="shared" si="43"/>
        <v>20</v>
      </c>
      <c r="P20" s="5">
        <f t="shared" si="44"/>
        <v>13.319354838709678</v>
      </c>
      <c r="Q20" s="5">
        <f t="shared" si="45"/>
        <v>1.5</v>
      </c>
      <c r="R20" s="20">
        <f t="shared" si="28"/>
        <v>201.93548387096774</v>
      </c>
      <c r="S20" s="6">
        <f t="shared" si="46"/>
        <v>37</v>
      </c>
      <c r="T20" s="7">
        <f t="shared" si="47"/>
        <v>164.93548387096774</v>
      </c>
      <c r="U20" s="7">
        <f t="shared" si="48"/>
        <v>733.02580645161322</v>
      </c>
      <c r="V20" s="7">
        <f t="shared" si="48"/>
        <v>352</v>
      </c>
      <c r="W20" s="7">
        <f t="shared" si="49"/>
        <v>381.02580645161322</v>
      </c>
      <c r="X20" s="7">
        <f t="shared" si="50"/>
        <v>4442.5806451612907</v>
      </c>
      <c r="Y20" s="7">
        <f t="shared" si="50"/>
        <v>1509</v>
      </c>
      <c r="Z20" s="7">
        <f t="shared" si="51"/>
        <v>2933.5806451612907</v>
      </c>
      <c r="AA20" s="24">
        <f t="shared" si="52"/>
        <v>0.61050786033930304</v>
      </c>
      <c r="AB20" s="1"/>
    </row>
    <row r="21" spans="2:28" ht="18" x14ac:dyDescent="0.25">
      <c r="B21" s="3">
        <v>21</v>
      </c>
      <c r="C21" s="3">
        <v>148088</v>
      </c>
      <c r="D21" s="3">
        <v>1429908</v>
      </c>
      <c r="E21" s="3">
        <v>291723</v>
      </c>
      <c r="F21" s="8">
        <f t="shared" si="38"/>
        <v>1869719</v>
      </c>
      <c r="G21" s="22">
        <f t="shared" si="39"/>
        <v>1869672.25</v>
      </c>
      <c r="H21" s="7">
        <f t="shared" si="40"/>
        <v>1869673</v>
      </c>
      <c r="I21" s="7">
        <f t="shared" ref="I21" si="55">I22+16</f>
        <v>975293</v>
      </c>
      <c r="J21" s="6">
        <f t="shared" si="41"/>
        <v>43</v>
      </c>
      <c r="K21" s="6">
        <f t="shared" si="41"/>
        <v>6</v>
      </c>
      <c r="L21" s="6">
        <f t="shared" si="41"/>
        <v>5</v>
      </c>
      <c r="M21" s="6">
        <f t="shared" si="42"/>
        <v>16</v>
      </c>
      <c r="N21" s="5">
        <f t="shared" si="24"/>
        <v>33.319354838709678</v>
      </c>
      <c r="O21" s="3">
        <f t="shared" si="43"/>
        <v>5</v>
      </c>
      <c r="P21" s="5">
        <f t="shared" si="44"/>
        <v>28.319354838709678</v>
      </c>
      <c r="Q21" s="5">
        <f t="shared" si="45"/>
        <v>0.75</v>
      </c>
      <c r="R21" s="20">
        <f t="shared" si="28"/>
        <v>201.93548387096774</v>
      </c>
      <c r="S21" s="6">
        <f t="shared" si="46"/>
        <v>54</v>
      </c>
      <c r="T21" s="7">
        <f t="shared" si="47"/>
        <v>147.93548387096774</v>
      </c>
      <c r="U21" s="7">
        <f t="shared" si="48"/>
        <v>699.70645161290349</v>
      </c>
      <c r="V21" s="7">
        <f t="shared" si="48"/>
        <v>332</v>
      </c>
      <c r="W21" s="7">
        <f t="shared" si="49"/>
        <v>367.70645161290349</v>
      </c>
      <c r="X21" s="7">
        <f t="shared" si="50"/>
        <v>4240.6451612903229</v>
      </c>
      <c r="Y21" s="7">
        <f t="shared" si="50"/>
        <v>1472</v>
      </c>
      <c r="Z21" s="7">
        <f t="shared" si="51"/>
        <v>2768.6451612903229</v>
      </c>
      <c r="AA21" s="24">
        <f t="shared" si="52"/>
        <v>0.95879811270838722</v>
      </c>
      <c r="AB21" s="1"/>
    </row>
    <row r="22" spans="2:28" ht="18" x14ac:dyDescent="0.25">
      <c r="B22" s="3">
        <v>20</v>
      </c>
      <c r="C22" s="3">
        <f>C23+41</f>
        <v>148045</v>
      </c>
      <c r="D22" s="3">
        <f>D23+10</f>
        <v>1429902</v>
      </c>
      <c r="E22" s="3">
        <f t="shared" ref="E22:E26" si="56">E23+7</f>
        <v>291718</v>
      </c>
      <c r="F22" s="9">
        <f>C22+D22+E22</f>
        <v>1869665</v>
      </c>
      <c r="G22" s="22">
        <f t="shared" si="39"/>
        <v>1869613.25</v>
      </c>
      <c r="H22" s="7">
        <f t="shared" si="40"/>
        <v>1869614.5</v>
      </c>
      <c r="I22" s="7">
        <f>I23+13</f>
        <v>975277</v>
      </c>
      <c r="J22" s="6">
        <f t="shared" si="41"/>
        <v>41</v>
      </c>
      <c r="K22" s="6">
        <f t="shared" si="41"/>
        <v>10</v>
      </c>
      <c r="L22" s="6">
        <f t="shared" si="41"/>
        <v>7</v>
      </c>
      <c r="M22" s="6">
        <f t="shared" si="42"/>
        <v>13</v>
      </c>
      <c r="N22" s="5">
        <f t="shared" si="24"/>
        <v>33.319354838709678</v>
      </c>
      <c r="O22" s="3">
        <f t="shared" si="43"/>
        <v>7</v>
      </c>
      <c r="P22" s="5">
        <f t="shared" si="44"/>
        <v>26.319354838709678</v>
      </c>
      <c r="Q22" s="5">
        <f t="shared" si="45"/>
        <v>1.25</v>
      </c>
      <c r="R22" s="20">
        <f t="shared" si="28"/>
        <v>201.93548387096774</v>
      </c>
      <c r="S22" s="6">
        <f t="shared" si="46"/>
        <v>58</v>
      </c>
      <c r="T22" s="7">
        <f t="shared" si="47"/>
        <v>143.93548387096774</v>
      </c>
      <c r="U22" s="7">
        <f t="shared" si="48"/>
        <v>666.38709677419376</v>
      </c>
      <c r="V22" s="7">
        <f t="shared" si="48"/>
        <v>327</v>
      </c>
      <c r="W22" s="7">
        <f t="shared" si="49"/>
        <v>339.38709677419376</v>
      </c>
      <c r="X22" s="7">
        <f t="shared" si="50"/>
        <v>4038.7096774193556</v>
      </c>
      <c r="Y22" s="7">
        <f t="shared" si="50"/>
        <v>1418</v>
      </c>
      <c r="Z22" s="7">
        <f t="shared" si="51"/>
        <v>2620.7096774193556</v>
      </c>
      <c r="AA22" s="24">
        <f t="shared" si="52"/>
        <v>0.97578957701600644</v>
      </c>
      <c r="AB22" s="1"/>
    </row>
    <row r="23" spans="2:28" ht="18" x14ac:dyDescent="0.25">
      <c r="B23" s="3">
        <v>19</v>
      </c>
      <c r="C23" s="3">
        <f>C24+40</f>
        <v>148004</v>
      </c>
      <c r="D23" s="3">
        <f>D24+7</f>
        <v>1429892</v>
      </c>
      <c r="E23" s="3">
        <f>E24+3</f>
        <v>291711</v>
      </c>
      <c r="F23" s="8">
        <f t="shared" si="38"/>
        <v>1869607</v>
      </c>
      <c r="G23" s="22">
        <f t="shared" si="39"/>
        <v>1869563.5</v>
      </c>
      <c r="H23" s="7">
        <f t="shared" si="40"/>
        <v>1869564.375</v>
      </c>
      <c r="I23" s="7">
        <f>I24+9</f>
        <v>975264</v>
      </c>
      <c r="J23" s="6">
        <f t="shared" si="41"/>
        <v>40</v>
      </c>
      <c r="K23" s="6">
        <f t="shared" si="41"/>
        <v>7</v>
      </c>
      <c r="L23" s="6">
        <f t="shared" si="41"/>
        <v>3</v>
      </c>
      <c r="M23" s="6">
        <f t="shared" si="42"/>
        <v>9</v>
      </c>
      <c r="N23" s="5">
        <f t="shared" si="24"/>
        <v>33.319354838709678</v>
      </c>
      <c r="O23" s="3">
        <f t="shared" si="43"/>
        <v>3</v>
      </c>
      <c r="P23" s="5">
        <f t="shared" si="44"/>
        <v>30.319354838709678</v>
      </c>
      <c r="Q23" s="5">
        <f t="shared" si="45"/>
        <v>0.875</v>
      </c>
      <c r="R23" s="20">
        <f t="shared" si="28"/>
        <v>201.93548387096774</v>
      </c>
      <c r="S23" s="6">
        <f t="shared" si="46"/>
        <v>50</v>
      </c>
      <c r="T23" s="7">
        <f t="shared" si="47"/>
        <v>151.93548387096774</v>
      </c>
      <c r="U23" s="7">
        <f t="shared" si="48"/>
        <v>633.06774193548404</v>
      </c>
      <c r="V23" s="7">
        <f t="shared" si="48"/>
        <v>320</v>
      </c>
      <c r="W23" s="7">
        <f t="shared" si="49"/>
        <v>313.06774193548404</v>
      </c>
      <c r="X23" s="7">
        <f t="shared" si="50"/>
        <v>3836.7741935483878</v>
      </c>
      <c r="Y23" s="7">
        <f t="shared" si="50"/>
        <v>1360</v>
      </c>
      <c r="Z23" s="7">
        <f t="shared" si="51"/>
        <v>2476.7741935483878</v>
      </c>
      <c r="AA23" s="24">
        <f t="shared" si="52"/>
        <v>0.98418332397369535</v>
      </c>
      <c r="AB23" s="1"/>
    </row>
    <row r="24" spans="2:28" ht="18" x14ac:dyDescent="0.25">
      <c r="B24" s="3">
        <v>18</v>
      </c>
      <c r="C24" s="3">
        <f>C25+42</f>
        <v>147964</v>
      </c>
      <c r="D24" s="3">
        <f>D25+4</f>
        <v>1429885</v>
      </c>
      <c r="E24" s="3">
        <f>E25+6</f>
        <v>291708</v>
      </c>
      <c r="F24" s="8">
        <f t="shared" si="38"/>
        <v>1869557</v>
      </c>
      <c r="G24" s="22">
        <f t="shared" si="39"/>
        <v>1869509.75</v>
      </c>
      <c r="H24" s="7">
        <f t="shared" si="40"/>
        <v>1869510.25</v>
      </c>
      <c r="I24" s="7">
        <f>I25+11</f>
        <v>975255</v>
      </c>
      <c r="J24" s="6">
        <f t="shared" si="41"/>
        <v>42</v>
      </c>
      <c r="K24" s="6">
        <f t="shared" si="41"/>
        <v>4</v>
      </c>
      <c r="L24" s="6">
        <f t="shared" si="41"/>
        <v>6</v>
      </c>
      <c r="M24" s="6">
        <f t="shared" si="42"/>
        <v>11</v>
      </c>
      <c r="N24" s="5">
        <f t="shared" si="24"/>
        <v>33.319354838709678</v>
      </c>
      <c r="O24" s="3">
        <f t="shared" si="43"/>
        <v>6</v>
      </c>
      <c r="P24" s="5">
        <f t="shared" si="44"/>
        <v>27.319354838709678</v>
      </c>
      <c r="Q24" s="5">
        <f t="shared" si="45"/>
        <v>0.5</v>
      </c>
      <c r="R24" s="20">
        <f t="shared" si="28"/>
        <v>201.93548387096774</v>
      </c>
      <c r="S24" s="6">
        <f t="shared" si="46"/>
        <v>52</v>
      </c>
      <c r="T24" s="7">
        <f t="shared" si="47"/>
        <v>149.93548387096774</v>
      </c>
      <c r="U24" s="7">
        <f t="shared" si="48"/>
        <v>599.74838709677431</v>
      </c>
      <c r="V24" s="7">
        <f t="shared" si="48"/>
        <v>317</v>
      </c>
      <c r="W24" s="7">
        <f t="shared" si="49"/>
        <v>282.74838709677431</v>
      </c>
      <c r="X24" s="7">
        <f t="shared" si="50"/>
        <v>3634.83870967742</v>
      </c>
      <c r="Y24" s="7">
        <f t="shared" si="50"/>
        <v>1310</v>
      </c>
      <c r="Z24" s="7">
        <f t="shared" si="51"/>
        <v>2324.83870967742</v>
      </c>
      <c r="AA24" s="24">
        <f t="shared" si="52"/>
        <v>0.97834970311894121</v>
      </c>
      <c r="AB24" s="1"/>
    </row>
    <row r="25" spans="2:28" ht="18" x14ac:dyDescent="0.25">
      <c r="B25" s="3">
        <v>17</v>
      </c>
      <c r="C25" s="3">
        <f>C26+31</f>
        <v>147922</v>
      </c>
      <c r="D25" s="3">
        <f>D26+2</f>
        <v>1429881</v>
      </c>
      <c r="E25" s="3">
        <f>E26+5</f>
        <v>291702</v>
      </c>
      <c r="F25" s="8">
        <f t="shared" si="38"/>
        <v>1869505</v>
      </c>
      <c r="G25" s="22">
        <f t="shared" si="39"/>
        <v>1869473.125</v>
      </c>
      <c r="H25" s="7">
        <f t="shared" si="40"/>
        <v>1869473.375</v>
      </c>
      <c r="I25" s="7">
        <f>I26+10</f>
        <v>975244</v>
      </c>
      <c r="J25" s="6">
        <f t="shared" si="41"/>
        <v>31</v>
      </c>
      <c r="K25" s="6">
        <f t="shared" si="41"/>
        <v>2</v>
      </c>
      <c r="L25" s="6">
        <f t="shared" si="41"/>
        <v>5</v>
      </c>
      <c r="M25" s="7">
        <f t="shared" si="42"/>
        <v>10</v>
      </c>
      <c r="N25" s="5">
        <f t="shared" si="24"/>
        <v>33.319354838709678</v>
      </c>
      <c r="O25" s="3">
        <f t="shared" si="43"/>
        <v>5</v>
      </c>
      <c r="P25" s="5">
        <f t="shared" si="44"/>
        <v>28.319354838709678</v>
      </c>
      <c r="Q25" s="5">
        <f t="shared" si="45"/>
        <v>0.25</v>
      </c>
      <c r="R25" s="20">
        <f t="shared" si="28"/>
        <v>201.93548387096774</v>
      </c>
      <c r="S25" s="6">
        <f t="shared" si="46"/>
        <v>38</v>
      </c>
      <c r="T25" s="7">
        <f t="shared" si="47"/>
        <v>163.93548387096774</v>
      </c>
      <c r="U25" s="7">
        <f t="shared" si="48"/>
        <v>566.42903225806458</v>
      </c>
      <c r="V25" s="6">
        <f t="shared" si="48"/>
        <v>311</v>
      </c>
      <c r="W25" s="7">
        <f t="shared" si="49"/>
        <v>255.42903225806458</v>
      </c>
      <c r="X25" s="7">
        <f t="shared" si="50"/>
        <v>3432.9032258064522</v>
      </c>
      <c r="Y25" s="7">
        <f t="shared" si="50"/>
        <v>1258</v>
      </c>
      <c r="Z25" s="7">
        <f t="shared" si="51"/>
        <v>2174.9032258064522</v>
      </c>
      <c r="AA25" s="24">
        <f t="shared" si="52"/>
        <v>0.96707453726264636</v>
      </c>
      <c r="AB25" s="1"/>
    </row>
    <row r="26" spans="2:28" ht="18" x14ac:dyDescent="0.25">
      <c r="B26" s="3">
        <v>16</v>
      </c>
      <c r="C26" s="3">
        <f>C27+33</f>
        <v>147891</v>
      </c>
      <c r="D26" s="3">
        <f>D27+9</f>
        <v>1429879</v>
      </c>
      <c r="E26" s="3">
        <f t="shared" si="56"/>
        <v>291697</v>
      </c>
      <c r="F26" s="8">
        <f t="shared" si="38"/>
        <v>1869467</v>
      </c>
      <c r="G26" s="22">
        <f t="shared" si="39"/>
        <v>1869423.875</v>
      </c>
      <c r="H26" s="7">
        <f t="shared" si="40"/>
        <v>1869425</v>
      </c>
      <c r="I26" s="7">
        <f>I27+12</f>
        <v>975234</v>
      </c>
      <c r="J26" s="6">
        <f t="shared" si="41"/>
        <v>33</v>
      </c>
      <c r="K26" s="6">
        <f t="shared" si="41"/>
        <v>9</v>
      </c>
      <c r="L26" s="6">
        <f t="shared" si="41"/>
        <v>7</v>
      </c>
      <c r="M26" s="7">
        <f t="shared" si="42"/>
        <v>12</v>
      </c>
      <c r="N26" s="5">
        <f t="shared" si="24"/>
        <v>33.319354838709678</v>
      </c>
      <c r="O26" s="3">
        <f t="shared" si="43"/>
        <v>7</v>
      </c>
      <c r="P26" s="5">
        <f t="shared" si="44"/>
        <v>26.319354838709678</v>
      </c>
      <c r="Q26" s="5">
        <f t="shared" si="45"/>
        <v>1.125</v>
      </c>
      <c r="R26" s="20">
        <f t="shared" si="28"/>
        <v>201.93548387096774</v>
      </c>
      <c r="S26" s="6">
        <f t="shared" si="46"/>
        <v>49</v>
      </c>
      <c r="T26" s="7">
        <f t="shared" si="47"/>
        <v>152.93548387096774</v>
      </c>
      <c r="U26" s="7">
        <f t="shared" si="48"/>
        <v>533.10967741935485</v>
      </c>
      <c r="V26" s="6">
        <f t="shared" si="48"/>
        <v>306</v>
      </c>
      <c r="W26" s="7">
        <f t="shared" si="49"/>
        <v>227.10967741935485</v>
      </c>
      <c r="X26" s="7">
        <f t="shared" si="50"/>
        <v>3230.9677419354844</v>
      </c>
      <c r="Y26" s="7">
        <f t="shared" si="50"/>
        <v>1220</v>
      </c>
      <c r="Z26" s="7">
        <f t="shared" si="51"/>
        <v>2010.9677419354844</v>
      </c>
      <c r="AA26" s="24">
        <f t="shared" si="52"/>
        <v>0.97129731163197253</v>
      </c>
      <c r="AB26" s="1"/>
    </row>
    <row r="27" spans="2:28" ht="18" x14ac:dyDescent="0.25">
      <c r="B27" s="3">
        <v>15</v>
      </c>
      <c r="C27" s="3">
        <f>C28+36</f>
        <v>147858</v>
      </c>
      <c r="D27" s="3">
        <f>D28+7</f>
        <v>1429870</v>
      </c>
      <c r="E27" s="3">
        <f>E28+4</f>
        <v>291690</v>
      </c>
      <c r="F27" s="8">
        <f t="shared" si="38"/>
        <v>1869418</v>
      </c>
      <c r="G27" s="22">
        <f t="shared" si="39"/>
        <v>1869377.25</v>
      </c>
      <c r="H27" s="7">
        <f t="shared" si="40"/>
        <v>1869378.125</v>
      </c>
      <c r="I27" s="7">
        <f>I28+16</f>
        <v>975222</v>
      </c>
      <c r="J27" s="6">
        <f t="shared" si="41"/>
        <v>36</v>
      </c>
      <c r="K27" s="6">
        <f t="shared" si="41"/>
        <v>7</v>
      </c>
      <c r="L27" s="6">
        <f t="shared" si="41"/>
        <v>4</v>
      </c>
      <c r="M27" s="7">
        <f t="shared" si="42"/>
        <v>16</v>
      </c>
      <c r="N27" s="5">
        <f t="shared" si="24"/>
        <v>33.319354838709678</v>
      </c>
      <c r="O27" s="3">
        <f t="shared" si="43"/>
        <v>4</v>
      </c>
      <c r="P27" s="5">
        <f t="shared" si="44"/>
        <v>29.319354838709678</v>
      </c>
      <c r="Q27" s="5">
        <f t="shared" si="45"/>
        <v>0.875</v>
      </c>
      <c r="R27" s="20">
        <f t="shared" si="28"/>
        <v>201.93548387096774</v>
      </c>
      <c r="S27" s="6">
        <f t="shared" si="46"/>
        <v>47</v>
      </c>
      <c r="T27" s="7">
        <f t="shared" si="47"/>
        <v>154.93548387096774</v>
      </c>
      <c r="U27" s="7">
        <f t="shared" si="48"/>
        <v>499.79032258064512</v>
      </c>
      <c r="V27" s="6">
        <f t="shared" si="48"/>
        <v>299</v>
      </c>
      <c r="W27" s="7">
        <f t="shared" si="49"/>
        <v>200.79032258064512</v>
      </c>
      <c r="X27" s="7">
        <f t="shared" si="50"/>
        <v>3029.0322580645166</v>
      </c>
      <c r="Y27" s="7">
        <f t="shared" si="50"/>
        <v>1171</v>
      </c>
      <c r="Z27" s="7">
        <f t="shared" si="51"/>
        <v>1858.0322580645166</v>
      </c>
      <c r="AA27" s="24">
        <f t="shared" si="52"/>
        <v>0.94664990605014399</v>
      </c>
      <c r="AB27" s="1"/>
    </row>
    <row r="28" spans="2:28" ht="18" x14ac:dyDescent="0.25">
      <c r="B28" s="3">
        <v>14</v>
      </c>
      <c r="C28" s="3">
        <f>C29+38</f>
        <v>147822</v>
      </c>
      <c r="D28" s="3">
        <f>D29+5</f>
        <v>1429863</v>
      </c>
      <c r="E28" s="3">
        <f>E29+7</f>
        <v>291686</v>
      </c>
      <c r="F28" s="8">
        <f>C28+D28+E28</f>
        <v>1869371</v>
      </c>
      <c r="G28" s="22">
        <f t="shared" si="39"/>
        <v>1869328.875</v>
      </c>
      <c r="H28" s="7">
        <f t="shared" si="40"/>
        <v>1869329.5</v>
      </c>
      <c r="I28" s="7">
        <f>I29+45</f>
        <v>975206</v>
      </c>
      <c r="J28" s="6">
        <f t="shared" si="41"/>
        <v>38</v>
      </c>
      <c r="K28" s="6">
        <f t="shared" ref="K28:L30" si="57">D28-D29</f>
        <v>5</v>
      </c>
      <c r="L28" s="6">
        <f t="shared" si="57"/>
        <v>7</v>
      </c>
      <c r="M28" s="7">
        <f t="shared" si="42"/>
        <v>45</v>
      </c>
      <c r="N28" s="5">
        <f t="shared" si="24"/>
        <v>33.319354838709678</v>
      </c>
      <c r="O28" s="3">
        <f t="shared" si="43"/>
        <v>7</v>
      </c>
      <c r="P28" s="5">
        <f t="shared" si="44"/>
        <v>26.319354838709678</v>
      </c>
      <c r="Q28" s="5">
        <f t="shared" si="45"/>
        <v>0.625</v>
      </c>
      <c r="R28" s="20">
        <f t="shared" si="28"/>
        <v>201.93548387096774</v>
      </c>
      <c r="S28" s="6">
        <f t="shared" si="46"/>
        <v>50</v>
      </c>
      <c r="T28" s="7">
        <f t="shared" si="47"/>
        <v>151.93548387096774</v>
      </c>
      <c r="U28" s="7">
        <f t="shared" si="48"/>
        <v>466.47096774193545</v>
      </c>
      <c r="V28" s="6">
        <f t="shared" si="48"/>
        <v>295</v>
      </c>
      <c r="W28" s="7">
        <f t="shared" si="49"/>
        <v>171.47096774193545</v>
      </c>
      <c r="X28" s="7">
        <f t="shared" si="50"/>
        <v>2827.0967741935488</v>
      </c>
      <c r="Y28" s="7">
        <f t="shared" si="50"/>
        <v>1124</v>
      </c>
      <c r="Z28" s="7">
        <f t="shared" si="51"/>
        <v>1703.0967741935488</v>
      </c>
      <c r="AA28" s="24">
        <f t="shared" si="52"/>
        <v>0.74329414624716639</v>
      </c>
      <c r="AB28" s="1"/>
    </row>
    <row r="29" spans="2:28" ht="18" x14ac:dyDescent="0.25">
      <c r="B29" s="3">
        <v>13</v>
      </c>
      <c r="C29" s="3">
        <f>C30+43</f>
        <v>147784</v>
      </c>
      <c r="D29" s="3">
        <f>D30+10</f>
        <v>1429858</v>
      </c>
      <c r="E29" s="3">
        <f>E30+10</f>
        <v>291679</v>
      </c>
      <c r="F29" s="8">
        <f>C29+D29+E29</f>
        <v>1869321</v>
      </c>
      <c r="G29" s="22">
        <f t="shared" si="39"/>
        <v>1869266.5</v>
      </c>
      <c r="H29" s="7">
        <f t="shared" si="40"/>
        <v>1869267.75</v>
      </c>
      <c r="I29" s="7">
        <f>I30+26</f>
        <v>975161</v>
      </c>
      <c r="J29" s="6">
        <f t="shared" si="41"/>
        <v>43</v>
      </c>
      <c r="K29" s="6">
        <f t="shared" si="57"/>
        <v>10</v>
      </c>
      <c r="L29" s="6">
        <f t="shared" si="57"/>
        <v>10</v>
      </c>
      <c r="M29" s="6">
        <f t="shared" si="42"/>
        <v>26</v>
      </c>
      <c r="N29" s="5">
        <f t="shared" si="24"/>
        <v>33.319354838709678</v>
      </c>
      <c r="O29" s="3">
        <f t="shared" si="43"/>
        <v>10</v>
      </c>
      <c r="P29" s="5">
        <f t="shared" si="44"/>
        <v>23.319354838709678</v>
      </c>
      <c r="Q29" s="5">
        <f t="shared" si="45"/>
        <v>1.25</v>
      </c>
      <c r="R29" s="20">
        <f t="shared" si="28"/>
        <v>201.93548387096774</v>
      </c>
      <c r="S29" s="6">
        <f t="shared" si="46"/>
        <v>63</v>
      </c>
      <c r="T29" s="7">
        <f t="shared" si="47"/>
        <v>138.93548387096774</v>
      </c>
      <c r="U29" s="7">
        <f t="shared" si="48"/>
        <v>433.15161290322578</v>
      </c>
      <c r="V29" s="6">
        <f t="shared" si="48"/>
        <v>288</v>
      </c>
      <c r="W29" s="7">
        <f t="shared" si="49"/>
        <v>145.15161290322578</v>
      </c>
      <c r="X29" s="7">
        <f t="shared" si="50"/>
        <v>2625.161290322581</v>
      </c>
      <c r="Y29" s="7">
        <f t="shared" si="50"/>
        <v>1074</v>
      </c>
      <c r="Z29" s="7">
        <f t="shared" si="51"/>
        <v>1551.161290322581</v>
      </c>
      <c r="AA29" s="24">
        <f t="shared" si="52"/>
        <v>0.92437393353497566</v>
      </c>
      <c r="AB29" s="1"/>
    </row>
    <row r="30" spans="2:28" ht="18" x14ac:dyDescent="0.25">
      <c r="B30" s="3">
        <v>12</v>
      </c>
      <c r="C30" s="3">
        <f>C31+29</f>
        <v>147741</v>
      </c>
      <c r="D30" s="3">
        <f>D31+12</f>
        <v>1429848</v>
      </c>
      <c r="E30" s="3">
        <f>E31+27</f>
        <v>291669</v>
      </c>
      <c r="F30" s="8">
        <f>C30+D30+E30</f>
        <v>1869258</v>
      </c>
      <c r="G30" s="22">
        <f t="shared" si="39"/>
        <v>1869199.875</v>
      </c>
      <c r="H30" s="7">
        <f t="shared" si="40"/>
        <v>1869201.375</v>
      </c>
      <c r="I30" s="7">
        <f>I31+38</f>
        <v>975135</v>
      </c>
      <c r="J30" s="6">
        <f t="shared" si="41"/>
        <v>29</v>
      </c>
      <c r="K30" s="6">
        <f t="shared" si="57"/>
        <v>12</v>
      </c>
      <c r="L30" s="6">
        <f t="shared" si="57"/>
        <v>27</v>
      </c>
      <c r="M30" s="6">
        <f t="shared" si="42"/>
        <v>38</v>
      </c>
      <c r="N30" s="5">
        <f t="shared" si="24"/>
        <v>33.319354838709678</v>
      </c>
      <c r="O30" s="3">
        <f t="shared" si="43"/>
        <v>27</v>
      </c>
      <c r="P30" s="5">
        <f t="shared" si="44"/>
        <v>6.3193548387096783</v>
      </c>
      <c r="Q30" s="5">
        <f t="shared" si="45"/>
        <v>1.5</v>
      </c>
      <c r="R30" s="20">
        <f t="shared" si="28"/>
        <v>201.93548387096774</v>
      </c>
      <c r="S30" s="6">
        <f t="shared" si="46"/>
        <v>68</v>
      </c>
      <c r="T30" s="7">
        <f t="shared" si="47"/>
        <v>133.93548387096774</v>
      </c>
      <c r="U30" s="7">
        <f t="shared" si="48"/>
        <v>399.83225806451611</v>
      </c>
      <c r="V30" s="6">
        <f t="shared" si="48"/>
        <v>278</v>
      </c>
      <c r="W30" s="7">
        <f t="shared" si="49"/>
        <v>121.83225806451611</v>
      </c>
      <c r="X30" s="7">
        <f t="shared" si="50"/>
        <v>2423.2258064516132</v>
      </c>
      <c r="Y30" s="7">
        <f t="shared" si="50"/>
        <v>1011</v>
      </c>
      <c r="Z30" s="7">
        <f t="shared" si="51"/>
        <v>1412.2258064516132</v>
      </c>
      <c r="AA30" s="24">
        <f t="shared" si="52"/>
        <v>0.87294348213726458</v>
      </c>
      <c r="AB30" s="1"/>
    </row>
    <row r="31" spans="2:28" ht="18" x14ac:dyDescent="0.25">
      <c r="B31" s="3">
        <v>11</v>
      </c>
      <c r="C31" s="3">
        <f>C32+39</f>
        <v>147712</v>
      </c>
      <c r="D31" s="3">
        <f>D32+18</f>
        <v>1429836</v>
      </c>
      <c r="E31" s="3">
        <f>E32+22</f>
        <v>291642</v>
      </c>
      <c r="F31" s="8">
        <f t="shared" si="38"/>
        <v>1869190</v>
      </c>
      <c r="G31" s="22">
        <f t="shared" si="39"/>
        <v>1869125.875</v>
      </c>
      <c r="H31" s="7">
        <f t="shared" si="40"/>
        <v>1869128.125</v>
      </c>
      <c r="I31" s="7">
        <f>I32+48</f>
        <v>975097</v>
      </c>
      <c r="J31" s="6">
        <f t="shared" si="41"/>
        <v>39</v>
      </c>
      <c r="K31" s="6">
        <f t="shared" si="41"/>
        <v>18</v>
      </c>
      <c r="L31" s="6">
        <f t="shared" si="41"/>
        <v>22</v>
      </c>
      <c r="M31" s="6">
        <f t="shared" si="42"/>
        <v>48</v>
      </c>
      <c r="N31" s="5">
        <f t="shared" si="24"/>
        <v>33.319354838709678</v>
      </c>
      <c r="O31" s="3">
        <f t="shared" si="43"/>
        <v>22</v>
      </c>
      <c r="P31" s="5">
        <f t="shared" si="44"/>
        <v>11.319354838709678</v>
      </c>
      <c r="Q31" s="5">
        <f t="shared" si="45"/>
        <v>2.25</v>
      </c>
      <c r="R31" s="20">
        <f t="shared" si="28"/>
        <v>201.93548387096774</v>
      </c>
      <c r="S31" s="6">
        <f t="shared" si="46"/>
        <v>79</v>
      </c>
      <c r="T31" s="7">
        <f t="shared" si="47"/>
        <v>122.93548387096774</v>
      </c>
      <c r="U31" s="7">
        <f t="shared" si="48"/>
        <v>366.51290322580644</v>
      </c>
      <c r="V31" s="6">
        <f t="shared" si="48"/>
        <v>251</v>
      </c>
      <c r="W31" s="7">
        <f t="shared" si="49"/>
        <v>115.51290322580644</v>
      </c>
      <c r="X31" s="7">
        <f t="shared" si="50"/>
        <v>2221.2903225806454</v>
      </c>
      <c r="Y31" s="7">
        <f t="shared" si="50"/>
        <v>943</v>
      </c>
      <c r="Z31" s="7">
        <f t="shared" si="51"/>
        <v>1278.2903225806454</v>
      </c>
      <c r="AA31" s="24">
        <f t="shared" si="52"/>
        <v>0.85461607557406027</v>
      </c>
      <c r="AB31" s="1"/>
    </row>
    <row r="32" spans="2:28" ht="18" x14ac:dyDescent="0.25">
      <c r="B32" s="3">
        <v>10</v>
      </c>
      <c r="C32" s="3">
        <f>C33+41</f>
        <v>147673</v>
      </c>
      <c r="D32" s="3">
        <f>D33+39</f>
        <v>1429818</v>
      </c>
      <c r="E32" s="3">
        <f>E33+39</f>
        <v>291620</v>
      </c>
      <c r="F32" s="8">
        <f t="shared" si="38"/>
        <v>1869111</v>
      </c>
      <c r="G32" s="22">
        <f t="shared" si="39"/>
        <v>1869003.75</v>
      </c>
      <c r="H32" s="7">
        <f t="shared" si="40"/>
        <v>1869008.625</v>
      </c>
      <c r="I32" s="7">
        <f>I33+24</f>
        <v>975049</v>
      </c>
      <c r="J32" s="6">
        <f t="shared" si="41"/>
        <v>41</v>
      </c>
      <c r="K32" s="6">
        <f t="shared" si="41"/>
        <v>39</v>
      </c>
      <c r="L32" s="6">
        <f t="shared" si="41"/>
        <v>39</v>
      </c>
      <c r="M32" s="6">
        <f t="shared" si="42"/>
        <v>24</v>
      </c>
      <c r="N32" s="5">
        <f t="shared" si="24"/>
        <v>33.319354838709678</v>
      </c>
      <c r="O32" s="3">
        <f t="shared" si="43"/>
        <v>39</v>
      </c>
      <c r="P32" s="5">
        <f t="shared" si="44"/>
        <v>-5.6806451612903217</v>
      </c>
      <c r="Q32" s="5">
        <f t="shared" si="45"/>
        <v>4.875</v>
      </c>
      <c r="R32" s="20">
        <f t="shared" si="28"/>
        <v>201.93548387096774</v>
      </c>
      <c r="S32" s="6">
        <f t="shared" si="46"/>
        <v>119</v>
      </c>
      <c r="T32" s="7">
        <f t="shared" si="47"/>
        <v>82.935483870967744</v>
      </c>
      <c r="U32" s="7">
        <f t="shared" si="48"/>
        <v>333.19354838709677</v>
      </c>
      <c r="V32" s="6">
        <f t="shared" si="48"/>
        <v>229</v>
      </c>
      <c r="W32" s="7">
        <f t="shared" si="49"/>
        <v>104.19354838709677</v>
      </c>
      <c r="X32" s="7">
        <f t="shared" si="50"/>
        <v>2019.3548387096778</v>
      </c>
      <c r="Y32" s="7">
        <f t="shared" si="50"/>
        <v>864</v>
      </c>
      <c r="Z32" s="7">
        <f t="shared" si="51"/>
        <v>1155.3548387096778</v>
      </c>
      <c r="AA32" s="24">
        <f t="shared" si="52"/>
        <v>0.98026256915446341</v>
      </c>
      <c r="AB32" s="1"/>
    </row>
    <row r="33" spans="2:28" ht="18" x14ac:dyDescent="0.25">
      <c r="B33" s="3">
        <v>9</v>
      </c>
      <c r="C33" s="3">
        <f>C34+37</f>
        <v>147632</v>
      </c>
      <c r="D33" s="3">
        <f>D34+23</f>
        <v>1429779</v>
      </c>
      <c r="E33" s="3">
        <f>E34+34</f>
        <v>291581</v>
      </c>
      <c r="F33" s="8">
        <f t="shared" si="38"/>
        <v>1868992</v>
      </c>
      <c r="G33" s="22">
        <f t="shared" si="39"/>
        <v>1868907.75</v>
      </c>
      <c r="H33" s="7">
        <f t="shared" si="40"/>
        <v>1868910.625</v>
      </c>
      <c r="I33" s="7">
        <f>I34+56</f>
        <v>975025</v>
      </c>
      <c r="J33" s="6">
        <f t="shared" si="41"/>
        <v>37</v>
      </c>
      <c r="K33" s="6">
        <f t="shared" si="41"/>
        <v>23</v>
      </c>
      <c r="L33" s="6">
        <f t="shared" si="41"/>
        <v>34</v>
      </c>
      <c r="M33" s="6">
        <f t="shared" si="42"/>
        <v>56</v>
      </c>
      <c r="N33" s="5">
        <f t="shared" si="24"/>
        <v>33.319354838709678</v>
      </c>
      <c r="O33" s="3">
        <f t="shared" si="43"/>
        <v>34</v>
      </c>
      <c r="P33" s="5">
        <f t="shared" si="44"/>
        <v>-0.68064516129032171</v>
      </c>
      <c r="Q33" s="5">
        <f t="shared" si="45"/>
        <v>2.875</v>
      </c>
      <c r="R33" s="20">
        <f t="shared" si="28"/>
        <v>201.93548387096774</v>
      </c>
      <c r="S33" s="6">
        <f t="shared" si="46"/>
        <v>94</v>
      </c>
      <c r="T33" s="7">
        <f t="shared" si="47"/>
        <v>107.93548387096774</v>
      </c>
      <c r="U33" s="7">
        <f t="shared" si="48"/>
        <v>299.8741935483871</v>
      </c>
      <c r="V33" s="6">
        <f t="shared" si="48"/>
        <v>190</v>
      </c>
      <c r="W33" s="7">
        <f t="shared" si="49"/>
        <v>109.8741935483871</v>
      </c>
      <c r="X33" s="7">
        <f t="shared" si="50"/>
        <v>1817.41935483871</v>
      </c>
      <c r="Y33" s="7">
        <f t="shared" si="50"/>
        <v>745</v>
      </c>
      <c r="Z33" s="7">
        <f t="shared" si="51"/>
        <v>1072.41935483871</v>
      </c>
      <c r="AA33" s="24">
        <f t="shared" si="52"/>
        <v>0.85910154390875604</v>
      </c>
      <c r="AB33" s="1"/>
    </row>
    <row r="34" spans="2:28" ht="18" x14ac:dyDescent="0.25">
      <c r="B34" s="3">
        <v>8</v>
      </c>
      <c r="C34" s="3">
        <f>C35+25</f>
        <v>147595</v>
      </c>
      <c r="D34" s="3">
        <f>D35+28</f>
        <v>1429756</v>
      </c>
      <c r="E34" s="3">
        <f>E35+25</f>
        <v>291547</v>
      </c>
      <c r="F34" s="8">
        <f t="shared" si="38"/>
        <v>1868898</v>
      </c>
      <c r="G34" s="22">
        <f t="shared" si="39"/>
        <v>1868830.75</v>
      </c>
      <c r="H34" s="7">
        <f t="shared" si="40"/>
        <v>1868834.25</v>
      </c>
      <c r="I34" s="7">
        <f>I35+34</f>
        <v>974969</v>
      </c>
      <c r="J34" s="6">
        <f t="shared" si="41"/>
        <v>25</v>
      </c>
      <c r="K34" s="6">
        <f t="shared" si="41"/>
        <v>28</v>
      </c>
      <c r="L34" s="6">
        <f t="shared" si="41"/>
        <v>25</v>
      </c>
      <c r="M34" s="6">
        <f t="shared" si="42"/>
        <v>34</v>
      </c>
      <c r="N34" s="5">
        <f t="shared" si="24"/>
        <v>33.319354838709678</v>
      </c>
      <c r="O34" s="3">
        <f t="shared" si="43"/>
        <v>25</v>
      </c>
      <c r="P34" s="5">
        <f t="shared" si="44"/>
        <v>8.3193548387096783</v>
      </c>
      <c r="Q34" s="5">
        <f t="shared" si="45"/>
        <v>3.5</v>
      </c>
      <c r="R34" s="20">
        <f t="shared" si="28"/>
        <v>201.93548387096774</v>
      </c>
      <c r="S34" s="6">
        <f t="shared" si="46"/>
        <v>78</v>
      </c>
      <c r="T34" s="7">
        <f t="shared" si="47"/>
        <v>123.93548387096774</v>
      </c>
      <c r="U34" s="7">
        <f t="shared" si="48"/>
        <v>266.55483870967743</v>
      </c>
      <c r="V34" s="6">
        <f t="shared" si="48"/>
        <v>156</v>
      </c>
      <c r="W34" s="7">
        <f t="shared" si="49"/>
        <v>110.55483870967743</v>
      </c>
      <c r="X34" s="7">
        <f t="shared" si="50"/>
        <v>1615.4838709677422</v>
      </c>
      <c r="Y34" s="7">
        <f t="shared" si="50"/>
        <v>651</v>
      </c>
      <c r="Z34" s="7">
        <f t="shared" si="51"/>
        <v>964.48387096774218</v>
      </c>
      <c r="AA34" s="24">
        <f t="shared" si="52"/>
        <v>0.91669596470842352</v>
      </c>
      <c r="AB34" s="1"/>
    </row>
    <row r="35" spans="2:28" ht="18" x14ac:dyDescent="0.25">
      <c r="B35" s="3">
        <v>7</v>
      </c>
      <c r="C35" s="3">
        <v>147570</v>
      </c>
      <c r="D35" s="3">
        <v>1429728</v>
      </c>
      <c r="E35" s="3">
        <v>291522</v>
      </c>
      <c r="F35" s="8">
        <f t="shared" si="38"/>
        <v>1868820</v>
      </c>
      <c r="G35" s="22">
        <f t="shared" si="39"/>
        <v>1868744.125</v>
      </c>
      <c r="H35" s="7">
        <f t="shared" si="40"/>
        <v>1868747</v>
      </c>
      <c r="I35" s="7">
        <v>974935</v>
      </c>
      <c r="J35" s="6">
        <f t="shared" si="41"/>
        <v>38</v>
      </c>
      <c r="K35" s="6">
        <f t="shared" si="41"/>
        <v>23</v>
      </c>
      <c r="L35" s="6">
        <f t="shared" si="41"/>
        <v>25</v>
      </c>
      <c r="M35" s="6">
        <f t="shared" si="42"/>
        <v>33</v>
      </c>
      <c r="N35" s="5">
        <f t="shared" si="24"/>
        <v>33.319354838709678</v>
      </c>
      <c r="O35" s="3">
        <f t="shared" si="43"/>
        <v>25</v>
      </c>
      <c r="P35" s="5">
        <f t="shared" si="44"/>
        <v>8.3193548387096783</v>
      </c>
      <c r="Q35" s="5">
        <f t="shared" si="45"/>
        <v>2.875</v>
      </c>
      <c r="R35" s="20">
        <f t="shared" si="28"/>
        <v>201.93548387096774</v>
      </c>
      <c r="S35" s="6">
        <f t="shared" si="46"/>
        <v>86</v>
      </c>
      <c r="T35" s="7">
        <f t="shared" si="47"/>
        <v>115.93548387096774</v>
      </c>
      <c r="U35" s="7">
        <f t="shared" si="48"/>
        <v>233.23548387096773</v>
      </c>
      <c r="V35" s="6">
        <f t="shared" si="48"/>
        <v>131</v>
      </c>
      <c r="W35" s="7">
        <f t="shared" si="49"/>
        <v>102.23548387096773</v>
      </c>
      <c r="X35" s="7">
        <f t="shared" si="50"/>
        <v>1413.5483870967744</v>
      </c>
      <c r="Y35" s="7">
        <f t="shared" si="50"/>
        <v>573</v>
      </c>
      <c r="Z35" s="7">
        <f t="shared" si="51"/>
        <v>840.54838709677438</v>
      </c>
      <c r="AA35" s="24">
        <f t="shared" si="52"/>
        <v>0.93362511924656122</v>
      </c>
      <c r="AB35" s="1"/>
    </row>
    <row r="36" spans="2:28" ht="18" x14ac:dyDescent="0.25">
      <c r="B36" s="3">
        <v>6</v>
      </c>
      <c r="C36" s="3">
        <v>147532</v>
      </c>
      <c r="D36" s="3">
        <v>1429705</v>
      </c>
      <c r="E36" s="3">
        <v>291497</v>
      </c>
      <c r="F36" s="8">
        <f t="shared" si="38"/>
        <v>1868734</v>
      </c>
      <c r="G36" s="22">
        <f t="shared" si="39"/>
        <v>1868662.75</v>
      </c>
      <c r="H36" s="7">
        <f t="shared" si="40"/>
        <v>1868664.75</v>
      </c>
      <c r="I36" s="7">
        <v>974902</v>
      </c>
      <c r="J36" s="6">
        <f t="shared" si="41"/>
        <v>41</v>
      </c>
      <c r="K36" s="6">
        <f t="shared" si="41"/>
        <v>16</v>
      </c>
      <c r="L36" s="6">
        <f t="shared" si="41"/>
        <v>24</v>
      </c>
      <c r="M36" s="6">
        <f t="shared" si="42"/>
        <v>36</v>
      </c>
      <c r="N36" s="5">
        <f t="shared" si="24"/>
        <v>33.319354838709678</v>
      </c>
      <c r="O36" s="3">
        <f t="shared" si="43"/>
        <v>24</v>
      </c>
      <c r="P36" s="5">
        <f t="shared" si="44"/>
        <v>9.3193548387096783</v>
      </c>
      <c r="Q36" s="5">
        <f t="shared" si="45"/>
        <v>2</v>
      </c>
      <c r="R36" s="20">
        <f t="shared" si="28"/>
        <v>201.93548387096774</v>
      </c>
      <c r="S36" s="6">
        <f t="shared" si="46"/>
        <v>81</v>
      </c>
      <c r="T36" s="7">
        <f t="shared" si="47"/>
        <v>120.93548387096774</v>
      </c>
      <c r="U36" s="7">
        <f t="shared" si="48"/>
        <v>199.91612903225806</v>
      </c>
      <c r="V36" s="6">
        <f t="shared" si="48"/>
        <v>106</v>
      </c>
      <c r="W36" s="7">
        <f t="shared" si="49"/>
        <v>93.916129032258056</v>
      </c>
      <c r="X36" s="7">
        <f t="shared" si="50"/>
        <v>1211.6129032258066</v>
      </c>
      <c r="Y36" s="7">
        <f t="shared" si="50"/>
        <v>487</v>
      </c>
      <c r="Z36" s="7">
        <f t="shared" si="51"/>
        <v>724.61290322580658</v>
      </c>
      <c r="AA36" s="24">
        <f t="shared" si="52"/>
        <v>0.91381154862025715</v>
      </c>
      <c r="AB36" s="1"/>
    </row>
    <row r="37" spans="2:28" ht="18" x14ac:dyDescent="0.25">
      <c r="B37" s="3">
        <v>5</v>
      </c>
      <c r="C37" s="3">
        <v>147491</v>
      </c>
      <c r="D37" s="3">
        <v>1429689</v>
      </c>
      <c r="E37" s="3">
        <v>291473</v>
      </c>
      <c r="F37" s="8">
        <f t="shared" si="38"/>
        <v>1868653</v>
      </c>
      <c r="G37" s="22">
        <f t="shared" si="39"/>
        <v>1868585.125</v>
      </c>
      <c r="H37" s="7">
        <f t="shared" si="40"/>
        <v>1868586.75</v>
      </c>
      <c r="I37" s="7">
        <v>974866</v>
      </c>
      <c r="J37" s="6">
        <f t="shared" si="41"/>
        <v>47</v>
      </c>
      <c r="K37" s="6">
        <f t="shared" si="41"/>
        <v>13</v>
      </c>
      <c r="L37" s="6">
        <f t="shared" si="41"/>
        <v>18</v>
      </c>
      <c r="M37" s="6">
        <f t="shared" si="42"/>
        <v>27</v>
      </c>
      <c r="N37" s="5">
        <f t="shared" si="24"/>
        <v>33.319354838709678</v>
      </c>
      <c r="O37" s="3">
        <f t="shared" si="43"/>
        <v>18</v>
      </c>
      <c r="P37" s="5">
        <f t="shared" si="44"/>
        <v>15.319354838709678</v>
      </c>
      <c r="Q37" s="5">
        <f t="shared" si="45"/>
        <v>1.625</v>
      </c>
      <c r="R37" s="20">
        <f t="shared" si="28"/>
        <v>201.93548387096774</v>
      </c>
      <c r="S37" s="6">
        <f t="shared" si="46"/>
        <v>78</v>
      </c>
      <c r="T37" s="7">
        <f t="shared" si="47"/>
        <v>123.93548387096774</v>
      </c>
      <c r="U37" s="7">
        <f t="shared" si="48"/>
        <v>166.59677419354838</v>
      </c>
      <c r="V37" s="6">
        <f t="shared" si="48"/>
        <v>82</v>
      </c>
      <c r="W37" s="7">
        <f t="shared" si="49"/>
        <v>84.596774193548384</v>
      </c>
      <c r="X37" s="7">
        <f t="shared" si="50"/>
        <v>1009.6774193548388</v>
      </c>
      <c r="Y37" s="7">
        <f t="shared" si="50"/>
        <v>406</v>
      </c>
      <c r="Z37" s="7">
        <f t="shared" si="51"/>
        <v>603.67741935483878</v>
      </c>
      <c r="AA37" s="24">
        <f t="shared" si="52"/>
        <v>0.9449860734402582</v>
      </c>
      <c r="AB37" s="1"/>
    </row>
    <row r="38" spans="2:28" ht="18" x14ac:dyDescent="0.25">
      <c r="B38" s="3">
        <v>4</v>
      </c>
      <c r="C38" s="5">
        <f>C39+45</f>
        <v>147444</v>
      </c>
      <c r="D38" s="5">
        <f>D39+19</f>
        <v>1429676</v>
      </c>
      <c r="E38" s="5">
        <f>E39+17</f>
        <v>291455</v>
      </c>
      <c r="F38" s="9">
        <f>C38+D38+E38</f>
        <v>1868575</v>
      </c>
      <c r="G38" s="22">
        <f t="shared" si="39"/>
        <v>1868503.75</v>
      </c>
      <c r="H38" s="7">
        <f t="shared" si="40"/>
        <v>1868506.125</v>
      </c>
      <c r="I38" s="7">
        <f>I39+30</f>
        <v>974839</v>
      </c>
      <c r="J38" s="6">
        <f t="shared" si="41"/>
        <v>45</v>
      </c>
      <c r="K38" s="6">
        <f t="shared" si="41"/>
        <v>19</v>
      </c>
      <c r="L38" s="6">
        <f t="shared" si="41"/>
        <v>17</v>
      </c>
      <c r="M38" s="6">
        <f t="shared" si="42"/>
        <v>30</v>
      </c>
      <c r="N38" s="5">
        <f t="shared" si="24"/>
        <v>33.319354838709678</v>
      </c>
      <c r="O38" s="3">
        <f t="shared" si="43"/>
        <v>17</v>
      </c>
      <c r="P38" s="5">
        <f t="shared" si="44"/>
        <v>16.319354838709678</v>
      </c>
      <c r="Q38" s="5">
        <f t="shared" si="45"/>
        <v>2.375</v>
      </c>
      <c r="R38" s="20">
        <f t="shared" si="28"/>
        <v>201.93548387096774</v>
      </c>
      <c r="S38" s="6">
        <f t="shared" si="46"/>
        <v>81</v>
      </c>
      <c r="T38" s="7">
        <f t="shared" si="47"/>
        <v>120.93548387096774</v>
      </c>
      <c r="U38" s="7">
        <f t="shared" si="48"/>
        <v>133.27741935483871</v>
      </c>
      <c r="V38" s="6">
        <f t="shared" si="48"/>
        <v>64</v>
      </c>
      <c r="W38" s="7">
        <f t="shared" si="49"/>
        <v>69.277419354838713</v>
      </c>
      <c r="X38" s="7">
        <f t="shared" si="50"/>
        <v>807.74193548387098</v>
      </c>
      <c r="Y38" s="7">
        <f t="shared" si="50"/>
        <v>328</v>
      </c>
      <c r="Z38" s="7">
        <f t="shared" si="51"/>
        <v>479.74193548387098</v>
      </c>
      <c r="AA38" s="24">
        <f t="shared" si="52"/>
        <v>0.93774876072370361</v>
      </c>
      <c r="AB38" s="1"/>
    </row>
    <row r="39" spans="2:28" ht="18" x14ac:dyDescent="0.25">
      <c r="B39" s="3">
        <v>3</v>
      </c>
      <c r="C39" s="5">
        <f>C40+43</f>
        <v>147399</v>
      </c>
      <c r="D39" s="5">
        <f>D40+15</f>
        <v>1429657</v>
      </c>
      <c r="E39" s="5">
        <f>E40+20</f>
        <v>291438</v>
      </c>
      <c r="F39" s="8">
        <f t="shared" si="38"/>
        <v>1868494</v>
      </c>
      <c r="G39" s="22">
        <f t="shared" si="39"/>
        <v>1868426.125</v>
      </c>
      <c r="H39" s="7">
        <f t="shared" si="40"/>
        <v>1868428</v>
      </c>
      <c r="I39" s="7">
        <f>I40+27</f>
        <v>974809</v>
      </c>
      <c r="J39" s="6">
        <f t="shared" si="41"/>
        <v>43</v>
      </c>
      <c r="K39" s="6">
        <f t="shared" si="41"/>
        <v>15</v>
      </c>
      <c r="L39" s="6">
        <f t="shared" si="41"/>
        <v>20</v>
      </c>
      <c r="M39" s="6">
        <f t="shared" si="42"/>
        <v>27</v>
      </c>
      <c r="N39" s="5">
        <f t="shared" si="24"/>
        <v>33.319354838709678</v>
      </c>
      <c r="O39" s="3">
        <f t="shared" si="43"/>
        <v>20</v>
      </c>
      <c r="P39" s="5">
        <f t="shared" si="44"/>
        <v>13.319354838709678</v>
      </c>
      <c r="Q39" s="5">
        <f t="shared" si="45"/>
        <v>1.875</v>
      </c>
      <c r="R39" s="20">
        <f>R40</f>
        <v>201.93548387096774</v>
      </c>
      <c r="S39" s="6">
        <f t="shared" si="46"/>
        <v>78</v>
      </c>
      <c r="T39" s="7">
        <f t="shared" si="47"/>
        <v>123.93548387096774</v>
      </c>
      <c r="U39" s="7">
        <f t="shared" si="48"/>
        <v>99.958064516129042</v>
      </c>
      <c r="V39" s="6">
        <f t="shared" si="48"/>
        <v>47</v>
      </c>
      <c r="W39" s="7">
        <f t="shared" si="49"/>
        <v>52.958064516129042</v>
      </c>
      <c r="X39" s="7">
        <f t="shared" si="50"/>
        <v>605.80645161290317</v>
      </c>
      <c r="Y39" s="7">
        <f t="shared" si="50"/>
        <v>247</v>
      </c>
      <c r="Z39" s="7">
        <f t="shared" si="51"/>
        <v>358.80645161290317</v>
      </c>
      <c r="AA39" s="24">
        <f t="shared" si="52"/>
        <v>0.9449860734402582</v>
      </c>
      <c r="AB39" s="1"/>
    </row>
    <row r="40" spans="2:28" ht="18" x14ac:dyDescent="0.25">
      <c r="B40" s="3">
        <v>2</v>
      </c>
      <c r="C40" s="7">
        <f>C41+28</f>
        <v>147356</v>
      </c>
      <c r="D40" s="7">
        <f>D41+42</f>
        <v>1429642</v>
      </c>
      <c r="E40" s="22">
        <f>E41+11</f>
        <v>291418</v>
      </c>
      <c r="F40" s="8">
        <f t="shared" si="38"/>
        <v>1868416</v>
      </c>
      <c r="G40" s="22">
        <f t="shared" si="39"/>
        <v>1868346</v>
      </c>
      <c r="H40" s="7">
        <f t="shared" si="40"/>
        <v>1868351.25</v>
      </c>
      <c r="I40" s="7">
        <f>I41+49</f>
        <v>974782</v>
      </c>
      <c r="J40" s="6">
        <f t="shared" si="41"/>
        <v>28</v>
      </c>
      <c r="K40" s="6">
        <f t="shared" si="41"/>
        <v>42</v>
      </c>
      <c r="L40" s="6">
        <f t="shared" si="41"/>
        <v>11</v>
      </c>
      <c r="M40" s="6">
        <f t="shared" si="42"/>
        <v>49</v>
      </c>
      <c r="N40" s="5">
        <f t="shared" si="24"/>
        <v>33.319354838709678</v>
      </c>
      <c r="O40" s="3">
        <f t="shared" si="43"/>
        <v>11</v>
      </c>
      <c r="P40" s="5">
        <f t="shared" si="44"/>
        <v>22.319354838709678</v>
      </c>
      <c r="Q40" s="5">
        <f t="shared" si="45"/>
        <v>5.25</v>
      </c>
      <c r="R40" s="20">
        <f>R41</f>
        <v>201.93548387096774</v>
      </c>
      <c r="S40" s="6">
        <f t="shared" si="46"/>
        <v>81</v>
      </c>
      <c r="T40" s="7">
        <f t="shared" si="47"/>
        <v>120.93548387096774</v>
      </c>
      <c r="U40" s="7">
        <f t="shared" si="48"/>
        <v>66.638709677419357</v>
      </c>
      <c r="V40" s="6">
        <f t="shared" si="48"/>
        <v>27</v>
      </c>
      <c r="W40" s="7">
        <f t="shared" si="49"/>
        <v>39.638709677419357</v>
      </c>
      <c r="X40" s="7">
        <f t="shared" si="50"/>
        <v>403.87096774193549</v>
      </c>
      <c r="Y40" s="7">
        <f t="shared" si="50"/>
        <v>169</v>
      </c>
      <c r="Z40" s="7">
        <f t="shared" si="51"/>
        <v>234.87096774193549</v>
      </c>
      <c r="AA40" s="24">
        <f t="shared" si="52"/>
        <v>0.85562319458080616</v>
      </c>
      <c r="AB40" s="1"/>
    </row>
    <row r="41" spans="2:28" ht="18" x14ac:dyDescent="0.25">
      <c r="B41" s="3">
        <v>1</v>
      </c>
      <c r="C41" s="7">
        <f>C42+33</f>
        <v>147328</v>
      </c>
      <c r="D41" s="7">
        <f>D42+39</f>
        <v>1429600</v>
      </c>
      <c r="E41" s="22">
        <f>E42+16</f>
        <v>291407</v>
      </c>
      <c r="F41" s="8">
        <f t="shared" si="38"/>
        <v>1868335</v>
      </c>
      <c r="G41" s="22">
        <f>(C42+D42+E42)+((S42/24)*3)</f>
        <v>1868247</v>
      </c>
      <c r="H41" s="7">
        <f>G41+((K41/12)*1.5)</f>
        <v>1868251.875</v>
      </c>
      <c r="I41" s="7">
        <f>I42+57</f>
        <v>974733</v>
      </c>
      <c r="J41" s="6">
        <f t="shared" si="41"/>
        <v>33</v>
      </c>
      <c r="K41" s="6">
        <f t="shared" si="41"/>
        <v>39</v>
      </c>
      <c r="L41" s="6">
        <f t="shared" si="41"/>
        <v>16</v>
      </c>
      <c r="M41" s="6">
        <f t="shared" si="42"/>
        <v>57</v>
      </c>
      <c r="N41" s="43">
        <f>O6/31</f>
        <v>33.319354838709678</v>
      </c>
      <c r="O41" s="3">
        <f t="shared" si="43"/>
        <v>16</v>
      </c>
      <c r="P41" s="5">
        <f t="shared" si="44"/>
        <v>17.319354838709678</v>
      </c>
      <c r="Q41" s="5">
        <f t="shared" si="45"/>
        <v>4.875</v>
      </c>
      <c r="R41" s="47">
        <f>S6/31</f>
        <v>201.93548387096774</v>
      </c>
      <c r="S41" s="6">
        <f t="shared" si="46"/>
        <v>88</v>
      </c>
      <c r="T41" s="7">
        <f t="shared" si="47"/>
        <v>113.93548387096774</v>
      </c>
      <c r="U41" s="7">
        <f>N41</f>
        <v>33.319354838709678</v>
      </c>
      <c r="V41" s="6">
        <f>O41</f>
        <v>16</v>
      </c>
      <c r="W41" s="7">
        <f t="shared" si="49"/>
        <v>17.319354838709678</v>
      </c>
      <c r="X41" s="7">
        <f>R41</f>
        <v>201.93548387096774</v>
      </c>
      <c r="Y41" s="7">
        <f>S41</f>
        <v>88</v>
      </c>
      <c r="Z41" s="7">
        <f t="shared" si="51"/>
        <v>113.93548387096774</v>
      </c>
      <c r="AA41" s="24">
        <f t="shared" si="52"/>
        <v>0.83931417554599075</v>
      </c>
      <c r="AB41" s="1"/>
    </row>
    <row r="42" spans="2:28" ht="54" x14ac:dyDescent="0.25">
      <c r="B42" s="33" t="s">
        <v>13</v>
      </c>
      <c r="C42" s="7">
        <v>147295</v>
      </c>
      <c r="D42" s="7">
        <v>1429561</v>
      </c>
      <c r="E42" s="7">
        <v>291391</v>
      </c>
      <c r="F42" s="54">
        <v>1868247</v>
      </c>
      <c r="G42" s="55">
        <v>1868195</v>
      </c>
      <c r="H42" s="20">
        <v>1868199</v>
      </c>
      <c r="I42" s="7">
        <v>974676</v>
      </c>
      <c r="J42" s="10"/>
      <c r="K42" s="10"/>
      <c r="L42" s="10"/>
      <c r="M42" s="46">
        <f>SUM(M11:M41)</f>
        <v>1045</v>
      </c>
      <c r="N42" s="10"/>
      <c r="O42" s="10"/>
      <c r="P42" s="10"/>
      <c r="Q42" s="10"/>
      <c r="R42" s="21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1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1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41"/>
      <c r="E45" s="10"/>
      <c r="F45" s="10"/>
      <c r="G45" s="10"/>
      <c r="H45" s="10" t="s">
        <v>40</v>
      </c>
      <c r="I45" s="10"/>
      <c r="J45" s="10"/>
      <c r="K45" s="10"/>
      <c r="L45" s="10"/>
      <c r="M45" s="10"/>
      <c r="N45" s="10"/>
      <c r="O45" s="10"/>
      <c r="P45" s="10"/>
      <c r="Q45" s="10"/>
      <c r="R45" s="21"/>
      <c r="S45" s="10"/>
      <c r="T45" s="10"/>
      <c r="U45" s="10"/>
      <c r="V45" s="10"/>
      <c r="W45" s="10"/>
      <c r="X45" s="10"/>
      <c r="Y45" s="10"/>
      <c r="Z45" s="10"/>
      <c r="AA45" s="10"/>
    </row>
    <row r="46" spans="2:28" x14ac:dyDescent="0.25">
      <c r="C46" s="35"/>
    </row>
    <row r="52" spans="26:27" ht="18" x14ac:dyDescent="0.25">
      <c r="Z52" s="10" t="s">
        <v>38</v>
      </c>
    </row>
    <row r="53" spans="26:27" ht="18" x14ac:dyDescent="0.25">
      <c r="Z53" s="10" t="s">
        <v>44</v>
      </c>
      <c r="AA53" s="10"/>
    </row>
    <row r="54" spans="26:27" ht="18" x14ac:dyDescent="0.25">
      <c r="Z54" s="10" t="s">
        <v>45</v>
      </c>
      <c r="AA54" s="10"/>
    </row>
    <row r="55" spans="26:27" ht="18" x14ac:dyDescent="0.25">
      <c r="Z55" s="10" t="s">
        <v>12</v>
      </c>
      <c r="AA55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Mayelin Caballero Marrero</cp:lastModifiedBy>
  <cp:lastPrinted>2024-06-17T14:51:20Z</cp:lastPrinted>
  <dcterms:created xsi:type="dcterms:W3CDTF">2019-08-08T19:02:32Z</dcterms:created>
  <dcterms:modified xsi:type="dcterms:W3CDTF">2024-06-18T14:12:00Z</dcterms:modified>
</cp:coreProperties>
</file>